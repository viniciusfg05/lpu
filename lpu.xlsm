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LPU 2023-Itens" sheetId="1" r:id="rId5"/>
    <sheet state="visible" name="LPU Regionalizada" sheetId="2" r:id="rId6"/>
    <sheet state="hidden" name="CTRL" sheetId="3" r:id="rId7"/>
  </sheets>
  <definedNames>
    <definedName hidden="1" localSheetId="0" name="_xlnm._FilterDatabase">'LPU 2023-Itens'!$B$17:$X$870</definedName>
    <definedName hidden="1" localSheetId="1" name="_xlnm._FilterDatabase">'LPU Regionalizada'!$B$5:$N$785</definedName>
  </definedNames>
  <calcPr/>
  <extLst>
    <ext uri="GoogleSheetsCustomDataVersion2">
      <go:sheetsCustomData xmlns:go="http://customooxmlschemas.google.com/" r:id="rId8" roundtripDataChecksum="6H+9oZvUWnGMCcv1HvAEiDcpG6OLj6AHQB9dMkBXmS8="/>
    </ext>
  </extLst>
</workbook>
</file>

<file path=xl/sharedStrings.xml><?xml version="1.0" encoding="utf-8"?>
<sst xmlns="http://schemas.openxmlformats.org/spreadsheetml/2006/main" count="15899" uniqueCount="7042">
  <si>
    <t>QUADRO DE ÁREAS - EDIFICAÇÃO</t>
  </si>
  <si>
    <t>QUADRO DE ÁREAS - EXTERNA</t>
  </si>
  <si>
    <t>PROJETOS CONSIDERADOS (ORÇ.)</t>
  </si>
  <si>
    <t xml:space="preserve">SALÃO DE VENDAS (m2): </t>
  </si>
  <si>
    <t xml:space="preserve">ÁREA EXTERNA (m2): </t>
  </si>
  <si>
    <t>DISCIPLINA</t>
  </si>
  <si>
    <t>REVISÃO</t>
  </si>
  <si>
    <t xml:space="preserve">APOIO TOTAL (m2): </t>
  </si>
  <si>
    <t>ESTAC.PISO CONCRETO (m2):</t>
  </si>
  <si>
    <t>ARQUITETURA</t>
  </si>
  <si>
    <t>REVISÃO 01 - 19/07/2023</t>
  </si>
  <si>
    <t>APOIO TÉRREO (m2):</t>
  </si>
  <si>
    <t>ÁREA PERMEÁVEL (m2):</t>
  </si>
  <si>
    <t>FUNDAÇÕES</t>
  </si>
  <si>
    <t>APOIO MEZANINO (m2):</t>
  </si>
  <si>
    <t>ÁREA AJARDINADA (m2):</t>
  </si>
  <si>
    <t>ESTRUTURA</t>
  </si>
  <si>
    <t>DADOS GERAIS DA OBRA</t>
  </si>
  <si>
    <t>APOIO SUBSOLO (m2):</t>
  </si>
  <si>
    <t>ÁREA DE PEDRISCO (m2):</t>
  </si>
  <si>
    <t>INST ELÉTRICAS</t>
  </si>
  <si>
    <t>NOME:</t>
  </si>
  <si>
    <t>Residencial Porto Alegre APTO 05</t>
  </si>
  <si>
    <t>ÁREA CONSTRUÍDA (m2):</t>
  </si>
  <si>
    <t>PISO DRENANTE (m2):</t>
  </si>
  <si>
    <t>INST HIDRÁULICAS</t>
  </si>
  <si>
    <t>LOCAL:</t>
  </si>
  <si>
    <t>Porto Alegre - RS</t>
  </si>
  <si>
    <t>PROJEÇÃO DA CAIXA (m2):</t>
  </si>
  <si>
    <t>ÁREA DE MARQUISE (m2)</t>
  </si>
  <si>
    <t>EXAUSTÃO / AR COND</t>
  </si>
  <si>
    <t>TIPOLOGIA/PERFIL:</t>
  </si>
  <si>
    <t>PAISAGISMO</t>
  </si>
  <si>
    <t>DATA:</t>
  </si>
  <si>
    <t>PERCENTUAIS NEGOCIAÇÃO</t>
  </si>
  <si>
    <t>LUMINOTÉCNICA</t>
  </si>
  <si>
    <t>CONSTRUTORA:</t>
  </si>
  <si>
    <t>A definir</t>
  </si>
  <si>
    <t>DESCONTO POR VOLUME (%):</t>
  </si>
  <si>
    <t>GERENCIADORA:</t>
  </si>
  <si>
    <t>rev - 0</t>
  </si>
  <si>
    <t>RD | LPU ENGENHARIA REGIONALIZADA | 2023</t>
  </si>
  <si>
    <t>QUANTITATIVOS</t>
  </si>
  <si>
    <t xml:space="preserve">PREÇO UNITÁRIO (R$) </t>
  </si>
  <si>
    <t>PREÇO TOTAL (R$)</t>
  </si>
  <si>
    <t>TOTAL</t>
  </si>
  <si>
    <t>TOTAL C/ DESCONTOS</t>
  </si>
  <si>
    <t>Observações da construtora</t>
  </si>
  <si>
    <t>ITEM</t>
  </si>
  <si>
    <t>DISCRIMINAÇÃO DOS MATERIAIS, SERVIÇOS E EQUIPAMENTOS</t>
  </si>
  <si>
    <t>UNID</t>
  </si>
  <si>
    <t>SALÃO DE VENDAS</t>
  </si>
  <si>
    <t>APOIO</t>
  </si>
  <si>
    <t>ÁREA EXTERNA</t>
  </si>
  <si>
    <t xml:space="preserve">MAT. </t>
  </si>
  <si>
    <t>(% mat.)</t>
  </si>
  <si>
    <t>M.O.</t>
  </si>
  <si>
    <t>(% m.o.)</t>
  </si>
  <si>
    <t>1.</t>
  </si>
  <si>
    <t>OBRA CIVIL</t>
  </si>
  <si>
    <t>1.1</t>
  </si>
  <si>
    <t>PROJETOS</t>
  </si>
  <si>
    <t>1.1.1</t>
  </si>
  <si>
    <t>Laudo de vistoria de vizinhança</t>
  </si>
  <si>
    <t>vb</t>
  </si>
  <si>
    <t>1.1.2</t>
  </si>
  <si>
    <t>Plano de gerenciamento de descarte de resíduos</t>
  </si>
  <si>
    <t>1.1.3</t>
  </si>
  <si>
    <t>Seguro de obra</t>
  </si>
  <si>
    <t>1.2</t>
  </si>
  <si>
    <t>SERVIÇOS INICIAIS</t>
  </si>
  <si>
    <t>1.2.1</t>
  </si>
  <si>
    <t>Container de 3mts para canteiro de obra (escritório, almoxarifado, depósito, etc)</t>
  </si>
  <si>
    <t>Mês</t>
  </si>
  <si>
    <t>1.2.2</t>
  </si>
  <si>
    <t>Barracão de obra com madeira certificada, instalações para canteiro de obra (escritório, almoxarifado, depósito, etc)</t>
  </si>
  <si>
    <t>m2</t>
  </si>
  <si>
    <t>1.2.3</t>
  </si>
  <si>
    <t>Andaime metálico de ferro tubular para serviços externos ou internos</t>
  </si>
  <si>
    <t>1.2.4</t>
  </si>
  <si>
    <t>Plataforma elevatória tipo tesoura para serviços externos ou internos, alcançe de h: 8m</t>
  </si>
  <si>
    <t>1.2.5</t>
  </si>
  <si>
    <t>Plataforma elevatória tipo tesoura para serviços externos ou internos, alcançe de h: 12m</t>
  </si>
  <si>
    <t>1.2.6</t>
  </si>
  <si>
    <t>Plataforma elevatória tipo articulada para serviços externos ou internos, alcançe entre 12 e 15m</t>
  </si>
  <si>
    <t>1.2.7</t>
  </si>
  <si>
    <t>Locação da Obra / Marcação de alvenarias</t>
  </si>
  <si>
    <t>1.2.8</t>
  </si>
  <si>
    <t>Locação da Obra (serviços especializados de topografia)</t>
  </si>
  <si>
    <t>1.2.9</t>
  </si>
  <si>
    <t>Tapume em divisória naval com montantes metálicos</t>
  </si>
  <si>
    <t>1.2.10</t>
  </si>
  <si>
    <t>Adesivo branco para tapume em divisória naval  (shopping)</t>
  </si>
  <si>
    <t>1.2.11</t>
  </si>
  <si>
    <t>Adesivo com imagem colorida impressa, para tapume em divisória naval  (shopping)</t>
  </si>
  <si>
    <t>1.2.12</t>
  </si>
  <si>
    <t>Tapume em estrutura de caibros e fechamento em madeira compensada E=12mm com pintura branca, contemplando portão de entrada para caminhões e também para pedestres</t>
  </si>
  <si>
    <t>1.2.13</t>
  </si>
  <si>
    <t>Tapume em estrutura de caibros de madeira e fechamento em telha metalica trapezoidal simples e=0,50mm com pintura branca, contemplando portão de entrada para caminhões e também para pedestres</t>
  </si>
  <si>
    <t>1.2.14</t>
  </si>
  <si>
    <t>Tela de proteção para fachada</t>
  </si>
  <si>
    <t>1.2.15</t>
  </si>
  <si>
    <t>Tela de proteção para fachada na cor branca</t>
  </si>
  <si>
    <t>1.2.16</t>
  </si>
  <si>
    <t>Frete dedicado por Km rodado de entrega</t>
  </si>
  <si>
    <t>km</t>
  </si>
  <si>
    <t>1.3</t>
  </si>
  <si>
    <t xml:space="preserve">DEMOLIÇÕES, REMOÇÕES, E RETIRADAS </t>
  </si>
  <si>
    <t>1.3.1</t>
  </si>
  <si>
    <t>Apicoamento superficial de concreto</t>
  </si>
  <si>
    <t>1.3.2</t>
  </si>
  <si>
    <t>Demolição completa das instalações  hidráulicas (tubulações, conexões, louças, metais e acessórios), inclusive bota-fora</t>
  </si>
  <si>
    <t>1.3.3</t>
  </si>
  <si>
    <t>Demolição completa das instalações elétricas (tubulações, cabos, quadros, e etc), inclusive bota-fora</t>
  </si>
  <si>
    <t>1.3.4</t>
  </si>
  <si>
    <t>Demolição completa de sistema de climatização (equipamentos, tubulações frigorígenas, dutos e alimentação elétrica), inclusive bota-fora</t>
  </si>
  <si>
    <t>1.3.5</t>
  </si>
  <si>
    <t>Demolição de alvenaria, com bota-fora</t>
  </si>
  <si>
    <t>1.3.6</t>
  </si>
  <si>
    <t>Demolição de concreto armado  (Fundação / Estrutura), com bota-fora</t>
  </si>
  <si>
    <t>m3</t>
  </si>
  <si>
    <t>1.3.7</t>
  </si>
  <si>
    <t>Demolição de parede de gesso tipo dry wall, com bota-fora</t>
  </si>
  <si>
    <t>1.3.8</t>
  </si>
  <si>
    <t>Demolição de piso completa: revestimento / lastro / contrapiso / proteção mecânica / impermeabilização (espessura até 15cm), com bota-fora</t>
  </si>
  <si>
    <t>1.3.9</t>
  </si>
  <si>
    <t>Demolição total de edifícação, internas e externas, com transporte e remoção de entulho</t>
  </si>
  <si>
    <t>1.3.10</t>
  </si>
  <si>
    <t>Retirada de caixilhos, inclusive vidros e todos os seus elementos, com bota-fora</t>
  </si>
  <si>
    <t>1.3.11</t>
  </si>
  <si>
    <t>Retirada de divisórias e biombos, com bota-fora</t>
  </si>
  <si>
    <t>1.3.12</t>
  </si>
  <si>
    <t>Retirada de estrutura de cobertura em geral, inclusive telhas com bota-fora</t>
  </si>
  <si>
    <t>1.3.13</t>
  </si>
  <si>
    <t>Retirada de estrutura metálica (mezanino, escadas, estruturas auxiliares), com bota fora</t>
  </si>
  <si>
    <t>kg</t>
  </si>
  <si>
    <t>1.3.14</t>
  </si>
  <si>
    <t>Retirada de forro (gesso, metálico, modular, estuque, e etc.), com bota-fora</t>
  </si>
  <si>
    <t>1.3.15</t>
  </si>
  <si>
    <t>Retirada de grades e portões, com bota-fora</t>
  </si>
  <si>
    <t>1.3.16</t>
  </si>
  <si>
    <t>Retirada de porta com batente e ferragens, com bota-fora</t>
  </si>
  <si>
    <t>un</t>
  </si>
  <si>
    <t>1.3.17</t>
  </si>
  <si>
    <t>Retirada de revestimento em massa, com bota-fora</t>
  </si>
  <si>
    <t>1.3.18</t>
  </si>
  <si>
    <t>Retirada de vidros (vitrines e portas), com bota-fora</t>
  </si>
  <si>
    <t>1.3.19</t>
  </si>
  <si>
    <t>Remoção de CVI existente</t>
  </si>
  <si>
    <t>1.3.20</t>
  </si>
  <si>
    <t>Remoção e reposicionamento de mobiliário e dispensers para execução de pintura</t>
  </si>
  <si>
    <t>1.4</t>
  </si>
  <si>
    <t>TERRAPLANAGEM</t>
  </si>
  <si>
    <t>1.4.1</t>
  </si>
  <si>
    <t>Aterro compactado com aquisição</t>
  </si>
  <si>
    <t>1.4.2</t>
  </si>
  <si>
    <t>Corte do terreno com retirada</t>
  </si>
  <si>
    <t>1.4.3</t>
  </si>
  <si>
    <t>Corte e aterro dentro da obra</t>
  </si>
  <si>
    <t>1.4.4</t>
  </si>
  <si>
    <t>Raspagem e limpeza de terreno</t>
  </si>
  <si>
    <t>1.4.5</t>
  </si>
  <si>
    <t>Compactação mecanica sem controle do GC (c/ compactador de placa 400kg)</t>
  </si>
  <si>
    <t>1.5</t>
  </si>
  <si>
    <t>INSTALAÇÕES TEMPORÁRIAS</t>
  </si>
  <si>
    <t>1.5.1</t>
  </si>
  <si>
    <t>Instalação provisória de água e esgoto</t>
  </si>
  <si>
    <t>mês</t>
  </si>
  <si>
    <t>1.5.2</t>
  </si>
  <si>
    <t>Instalação provisória de energia elétrica</t>
  </si>
  <si>
    <t>1.5.3</t>
  </si>
  <si>
    <t>Instalação provisória de energia elétrica e dados para checkout e balcões</t>
  </si>
  <si>
    <t>1.5.4</t>
  </si>
  <si>
    <t>Fornecimento de água em caminhão pipa capacidade 5.000L</t>
  </si>
  <si>
    <t>1.6</t>
  </si>
  <si>
    <t>FUNDAÇÕES PROFUNDAS</t>
  </si>
  <si>
    <t>1.6.2</t>
  </si>
  <si>
    <t>Arrasamento de estaca de concreto armado, diametros de 30 a 60 cm</t>
  </si>
  <si>
    <t>1.6.3</t>
  </si>
  <si>
    <t>Broca de Ø 20 cm (esc+arm+concreto)</t>
  </si>
  <si>
    <t>ml</t>
  </si>
  <si>
    <t>1.6.4</t>
  </si>
  <si>
    <t>Broca de Ø 25 cm (esc+arm+concreto)</t>
  </si>
  <si>
    <t>1.6.5</t>
  </si>
  <si>
    <t>Estaca metálica I=10" (fornec.+crav.+ corte + mobilização)</t>
  </si>
  <si>
    <t>1.6.6</t>
  </si>
  <si>
    <t>Estaca metálica I=12" (fornec.+crav.+ corte + mobilização)</t>
  </si>
  <si>
    <t>1.6.7</t>
  </si>
  <si>
    <t>Estaca moldada in-loco Strauss Ø 30cm, inclusive escavação, bora fora do material,  concreto 20MPA e taxa de mobilização</t>
  </si>
  <si>
    <t>1.6.8</t>
  </si>
  <si>
    <t>Estaca hélice continua monitorada  Ø 30cm, inclusive escavação, bora fora do material,  concreto 20MPA e taxa de mobilização</t>
  </si>
  <si>
    <t>1.7</t>
  </si>
  <si>
    <t>FUNDAÇÕES SUPERFICIAIS</t>
  </si>
  <si>
    <t>1.7.1</t>
  </si>
  <si>
    <t>Alvenaria de embasamento (Bloco de Concreto)</t>
  </si>
  <si>
    <t>1.7.10</t>
  </si>
  <si>
    <t>Escavação para fundações</t>
  </si>
  <si>
    <t>1.7.11</t>
  </si>
  <si>
    <t>Fôrmas de tábuas de madeira para fundação</t>
  </si>
  <si>
    <t>1.7.12</t>
  </si>
  <si>
    <t>Lastro de concreto magro (incluso lançamento)</t>
  </si>
  <si>
    <t>1.7.13</t>
  </si>
  <si>
    <t>Reaterro compactado de vala</t>
  </si>
  <si>
    <t>1.7.14</t>
  </si>
  <si>
    <t>Retirada de terra para bota fora</t>
  </si>
  <si>
    <t>1.8</t>
  </si>
  <si>
    <t>SUPERESTRUTURAS DE CONCRETO</t>
  </si>
  <si>
    <t>1.8.1</t>
  </si>
  <si>
    <t>Armadura de aço CA-50 para concreto armado, Ø até 12,5mm, corte, dobra e montagem</t>
  </si>
  <si>
    <t>1.8.2</t>
  </si>
  <si>
    <t>Armadura de aço CA-60 para concreto armado, Ø de 8,00 até 9,50mm, corte, dobra e montagem</t>
  </si>
  <si>
    <t>1.8.3</t>
  </si>
  <si>
    <t xml:space="preserve">Escoramento para lajes </t>
  </si>
  <si>
    <t>1.8.4</t>
  </si>
  <si>
    <t>Execução de furos com chumbamento de ferros</t>
  </si>
  <si>
    <t>1.8.5</t>
  </si>
  <si>
    <t>Forma c/ compensado resinado 12mm, 3 aproveitamentos</t>
  </si>
  <si>
    <t>1.8.6</t>
  </si>
  <si>
    <t>Fôrmas de tábuas de madeira para estrutura</t>
  </si>
  <si>
    <t>1.8.7</t>
  </si>
  <si>
    <t>Formas (Metálicas tipo Polideck 59S - laje )</t>
  </si>
  <si>
    <t>1.8.8</t>
  </si>
  <si>
    <t>Concreto estrutural dosado em central , fck 20 Mpa, inclusive transporte, bombeamento, lançamento, adensamento e acabamento</t>
  </si>
  <si>
    <t>1.8.9</t>
  </si>
  <si>
    <t xml:space="preserve">Concreto estrutural dosado em central , fck 25 Mpa, inclusive transporte, bombeamento, lançamento, adensamento e acabamento </t>
  </si>
  <si>
    <t>1.8.10</t>
  </si>
  <si>
    <t xml:space="preserve">Concreto estrutural dosado em central , fck 30 Mpa, inclusive transporte, bombeamento, lançamento, adensamento e acabamento </t>
  </si>
  <si>
    <t>1.8.11</t>
  </si>
  <si>
    <t xml:space="preserve">Concreto estrutural virado em obra , controle "A", consistência para vibração, brita 1 e 2, fck 20 MPa, inclusive lançamento, adensamento e acabamento </t>
  </si>
  <si>
    <t>1.8.12</t>
  </si>
  <si>
    <t xml:space="preserve">Concreto estrutural virado em obra , controle "A", consistência para vibração, brita 1 e 2, fck 25 MPa, inclusive lançamento, adensamento e acabamento </t>
  </si>
  <si>
    <t>1.8.13</t>
  </si>
  <si>
    <t xml:space="preserve">Concreto estrutural virado em obra , controle "A", consistência para vibração, brita 1 e 2, fck 30 MPa, inclusive lançamento, adensamento e acabamento </t>
  </si>
  <si>
    <t>1.8.14</t>
  </si>
  <si>
    <t>Laje pré-fabricada e=12cm com capeamento de concreto  e tela</t>
  </si>
  <si>
    <t>1.8.15</t>
  </si>
  <si>
    <t>Laje pré-fabricada e=16cm com capeamento de concreto  e tela</t>
  </si>
  <si>
    <t>1.8.16</t>
  </si>
  <si>
    <t>Laje pré-fabricada e=20 cm com capeamento de concreto  e tela</t>
  </si>
  <si>
    <t>1.8.17</t>
  </si>
  <si>
    <t xml:space="preserve">Muro de arrimo em  bloco de concreto, inclusive fundação </t>
  </si>
  <si>
    <t>1.9</t>
  </si>
  <si>
    <t>ESTRUTURAS METÁLICAS - MEZANINO / JIRAU / 2º PAV.</t>
  </si>
  <si>
    <t>1.9.1</t>
  </si>
  <si>
    <t>Estrutura Metálica do Mezanino / Jirau / 2.ºpav. (incluso Escada metálica em chapa de aço xadrez anti derrapante e= 3mm - Grafite RAL 7021)</t>
  </si>
  <si>
    <t>1.9.2</t>
  </si>
  <si>
    <t>Piso Mezanino em chapas wall e=4mm</t>
  </si>
  <si>
    <t>1.10</t>
  </si>
  <si>
    <t>ESTRUTURAS AUXILIARES</t>
  </si>
  <si>
    <t>1.10.1</t>
  </si>
  <si>
    <t>Escada Metálica tipo Marinheiro - Perfil Metálico Tubular Ø 1.1/2" Soldado com tratamento anti-ferrugem e pintura em esmalte sintético cor a ser definida em projeto ( branco, cinza, vermelho )</t>
  </si>
  <si>
    <t>1.10.2</t>
  </si>
  <si>
    <t>Estrutura auxiliar para sustentação de caixas d'água com tratamento anti-ferrugem  e pintura em esmalte sintético na cor cinza chumbo</t>
  </si>
  <si>
    <t>1.10.3</t>
  </si>
  <si>
    <t>Estrutura de Sustentação da caixa cobre rolo com fechamento em chapa: Tubo 30x30x1,5mm</t>
  </si>
  <si>
    <t>1.10.4</t>
  </si>
  <si>
    <t>Estrutura Marquise (Treliça Frontal: tubo 40x40x1,5mm, Tesoura: Tubo 40,40,1,5mm, Terça: Perfil 'U" 75,x75x2,65mm, Estrutura de sustentação do forro: Tubo 20x20x1,5mm) com pintura esmalte branca -  Coberta com telha trapezoidal: GT 40/0,50mm. Fixação: Chapa 200x150mm e=10mm e parabolt de 5/8"</t>
  </si>
  <si>
    <t>1.10.5</t>
  </si>
  <si>
    <t>Plataforma Metálica com chapa expandida para circulação na cobertura da loja (acesso equipamentos) com tratamento anti-ferrugem e pintura em esmalte sintético na cor cinza chumbo.</t>
  </si>
  <si>
    <t>1.10.6</t>
  </si>
  <si>
    <t>Estrutura metálica galvanizada para reforço estrutural</t>
  </si>
  <si>
    <t>1.10.7</t>
  </si>
  <si>
    <t xml:space="preserve">Estrutura para Sustentação das Cortinas de Ar / Sanca </t>
  </si>
  <si>
    <t>1.10.8</t>
  </si>
  <si>
    <t>Estrutura para Sustentação Ar Cond. ( Un. Condensadora )</t>
  </si>
  <si>
    <t>1.11</t>
  </si>
  <si>
    <t>ALVENARIAS INTERNAS E EXTERNAS</t>
  </si>
  <si>
    <t>1.11.1</t>
  </si>
  <si>
    <t>Alven. Blocos Cerâmico - 8 Furos (11,5x14x24cm)</t>
  </si>
  <si>
    <t>1.11.2</t>
  </si>
  <si>
    <t>Alven. Blocos Cerâmico - 9 Furos (18x14x24cm)</t>
  </si>
  <si>
    <t>1.11.3</t>
  </si>
  <si>
    <t>Alven. Blocos de Concreto  (9x19x39cm)</t>
  </si>
  <si>
    <t>1.11.4</t>
  </si>
  <si>
    <t>Alven. Blocos de Concreto  (14x19x39cm)</t>
  </si>
  <si>
    <t>1.11.5</t>
  </si>
  <si>
    <t>Alven. Blocos de Concreto  (19x19x39cm)</t>
  </si>
  <si>
    <t>1.11.6</t>
  </si>
  <si>
    <t>Alven. Tijolo Maciço - enchimentos / encunhamentos</t>
  </si>
  <si>
    <t>1.11.7</t>
  </si>
  <si>
    <t>Alven. Tijolo Maciço - paredes de espelho</t>
  </si>
  <si>
    <t>1.12</t>
  </si>
  <si>
    <t>DIVISÓRIAS E FECHAMENTOS</t>
  </si>
  <si>
    <t>1.12.1</t>
  </si>
  <si>
    <t>Divisória de granito - Mictório (60x40x02cm)</t>
  </si>
  <si>
    <t>1.12.3</t>
  </si>
  <si>
    <t>Divisória piso teto em gesso - Tipo Drywall RF (resistente ao fogo), e=10cm</t>
  </si>
  <si>
    <t>1.12.4</t>
  </si>
  <si>
    <t>Divisória piso teto em gesso - Tipo Drywall RU (resistente a umidade), e=10cm</t>
  </si>
  <si>
    <t>1.12.5</t>
  </si>
  <si>
    <t>Divisória piso teto em gesso - Tipo Standard-Drywall - e=10cm - Marca Placo</t>
  </si>
  <si>
    <t>1.12.6</t>
  </si>
  <si>
    <t>Divisória piso teto em gesso - Uma face, para fechamentos</t>
  </si>
  <si>
    <t>1.12.7</t>
  </si>
  <si>
    <t>Divisórias Tipo Naval c/Laminado - Sanitários</t>
  </si>
  <si>
    <t>1.12.8</t>
  </si>
  <si>
    <t xml:space="preserve">Divisórias Tipo Naval espessura 48mm acabamento em laminado branco TX com perfis de aço com pintura eletrostática branca - considerar todos os perfis e guias necessários para fixação </t>
  </si>
  <si>
    <t>1.12.9</t>
  </si>
  <si>
    <t>Divisórias Sanitárias em laminado estrutura TS, e=10mm, fixadas em perfis de aluminío vertical. (ref.: Pertech tipo Baseplac)</t>
  </si>
  <si>
    <t>1.12.11</t>
  </si>
  <si>
    <t>Placa cimentícia, com estrutura de fixação / sustentação, considerar tratamento das juntas que deverão ser preenchidas com produtos elastoméricos, aplicação de fita de fibra de vidro de duas camadas e massa cimentícia. Considerar Fornecimento e instalação</t>
  </si>
  <si>
    <t>1.12.12</t>
  </si>
  <si>
    <t>Placa cimentícia, considerar tratamento das juntas que deverão ser preenchidas com produtos elastoméricos, aplicação de fita de fibra de vidro de dupla camada e massa cimentícia. Considerar Fornecimento e instalação (aplicação em estrutura existente)</t>
  </si>
  <si>
    <t>1.12.13</t>
  </si>
  <si>
    <t>Reforço metálico / estrutura auxiliar para Dry Wall</t>
  </si>
  <si>
    <t>1.12.14</t>
  </si>
  <si>
    <t>Divisória piso teto em gesso – Somente plaqueamento</t>
  </si>
  <si>
    <t>1.13</t>
  </si>
  <si>
    <t>PISOS - ÁREAS INTERNAS</t>
  </si>
  <si>
    <t>1.13.1</t>
  </si>
  <si>
    <t>Limpeza de pisos</t>
  </si>
  <si>
    <t>1.13.2</t>
  </si>
  <si>
    <t>Fornecimento e instalação de fita anti-derrapante de piso</t>
  </si>
  <si>
    <t>1.13.3</t>
  </si>
  <si>
    <t>Argamassa de regularização, 2cm de espessura</t>
  </si>
  <si>
    <t>1.13.4</t>
  </si>
  <si>
    <t xml:space="preserve">Contrapiso de concreto espessura 6 cm </t>
  </si>
  <si>
    <t>1.13.5</t>
  </si>
  <si>
    <t>Contrapiso de concreto espessura 6 cm  inclusive tela soldada Q192</t>
  </si>
  <si>
    <t>1.13.6</t>
  </si>
  <si>
    <t>Piso podotátil de borracha (alerta e/ou direcional)</t>
  </si>
  <si>
    <t>1.13.7</t>
  </si>
  <si>
    <t>Piso podotátil de borracha (alerta e/ou direcional) 3mm x 25cm x 25cm</t>
  </si>
  <si>
    <t>1.13.8</t>
  </si>
  <si>
    <t>Piso Cerâmico Eliane - Cargo Plus White (45x45cm), incluso argamassa de assentamento e rejunte cinza claro Eliane</t>
  </si>
  <si>
    <t>1.13.9</t>
  </si>
  <si>
    <t>Piso Porcelanato Eliane - Bianco Plus (50x50cm), incluso argamassa de assentamento e rejunte cinza claro Eliane</t>
  </si>
  <si>
    <t>1.13.10</t>
  </si>
  <si>
    <t>Piso Porcelanato Eliane - Bianco Plus (50x50cm), incluso argamassa de assentamento e rejunte cinza claro Eliane ( material deverá ser utilizado apenas para recomposição de áreas existentes).</t>
  </si>
  <si>
    <t>1.13.11</t>
  </si>
  <si>
    <t>Piso Porcelanato Eliane - Bianco Plus (60x60cm), incluso argamassa de assentamento e rejunte cinza claro Eliane</t>
  </si>
  <si>
    <t>1.13.12</t>
  </si>
  <si>
    <t>Piso Porcelanato Eliane - Super Bianco Plus (60x60cm), incluso argamassa de assentamento e rejunte cinza claro Eliane</t>
  </si>
  <si>
    <t>1.13.13</t>
  </si>
  <si>
    <t>Fornecimento de Piso Porcelanato Portobello - Polis Lux  (60x60cm) POL RET - Bandeira Raia e Drogasil</t>
  </si>
  <si>
    <t>1.13.14</t>
  </si>
  <si>
    <t>Mão de obra para instalação de piso porcelanato, considerando todos os insumos 
necessários para assentamento</t>
  </si>
  <si>
    <t>1.13.15</t>
  </si>
  <si>
    <t>Porcelanato Portobello Bianco Covelano (90x90cm) - NAT RET ref.: 24486E juntas de 1,5mm,  incluso argamassa de assentamento e rejunte fortaleza na cor branco.</t>
  </si>
  <si>
    <t>1.13.17</t>
  </si>
  <si>
    <t>Rodapé Cerâmico Eliane - Cargo Plus White (8x45cm), incluso argamassa de assentamento e rejunte cinza claro Eliane</t>
  </si>
  <si>
    <t>1.13.18</t>
  </si>
  <si>
    <t>Rodapé Porcelanato Eliane - Bianco Plus (8x50cm), incluso argamassa de assentamento e rejunte para porcelanato cinza claro Eliane</t>
  </si>
  <si>
    <t>1.13.19</t>
  </si>
  <si>
    <t>Rodapé Porcelanato Eliane - Bianco Plus (8x60cm), incluso argamassa de assentamento e rejunte para porcelanato cinza claro Eliane</t>
  </si>
  <si>
    <t>1.13.20</t>
  </si>
  <si>
    <t>Rodapé Porcelanato Eliane - Super Bianco Plus (8x60cm), incluso argamassa de assentamento e rejunte para porcelanato cinza claro Eliane</t>
  </si>
  <si>
    <t>1.13.21</t>
  </si>
  <si>
    <t>Rodapé Porcelanato Portobello Bianco Covelano (8x90cm) - NAT RET, incluso argamassa de assentamento e rejunte para porcelanato na cor branco Eliane</t>
  </si>
  <si>
    <t>1.13.22</t>
  </si>
  <si>
    <t>Soleira / Peitoril em granito com acabamento polido cor cinza andorinha - largura =até 25cm</t>
  </si>
  <si>
    <t>1.13.23</t>
  </si>
  <si>
    <t>Soleira / Peitoril em granito com acabamento polido cor cinza andorinha - largura = até 40cm</t>
  </si>
  <si>
    <t>1.13.24</t>
  </si>
  <si>
    <t>Piso porcelanato Imbuia Claro 120x20 Portobello, rejunte Amêndoa (piso Vida Saudável)</t>
  </si>
  <si>
    <t>1.13.25</t>
  </si>
  <si>
    <t>Rodapé porcelanato Imbuia Claro Portobello (Vida Saudável)</t>
  </si>
  <si>
    <t>1.13.26</t>
  </si>
  <si>
    <t>Piso Porcelanato Bali Camel 19X90 Acetinado, rejunte Amêndoa (piso Vida Saudável)</t>
  </si>
  <si>
    <t>1.13.27</t>
  </si>
  <si>
    <t>Rodapé Porcelanato Bali Camel Acetinado, rejunte Amêndoa (Vida Saudável)</t>
  </si>
  <si>
    <t>1.14</t>
  </si>
  <si>
    <t>PISOS - ÁREAS EXTERNAS</t>
  </si>
  <si>
    <t>1.14.1</t>
  </si>
  <si>
    <t>Bate rodas de concreto Tam. 1,75 x 0,15 x 0,10m com pintura em amarelo e preto com fixação através de parafusos no piso.</t>
  </si>
  <si>
    <t>1.14.2</t>
  </si>
  <si>
    <t>Bate rodas de concreto Tam. 0,48 x 0,15 x 0,085m com pintura em amarelo e preto com fixação através de parafusos no piso.</t>
  </si>
  <si>
    <t>1.14.3</t>
  </si>
  <si>
    <t>Bate rodas metálico Tam. 1,75 x 0,15 x 0,10m com pintura em amarelo e preto com fixação através de parafusos no piso.</t>
  </si>
  <si>
    <t>1.14.6</t>
  </si>
  <si>
    <t>Pintura Novacor Piso Ultra para área externa - desenho PCD para pintura das vagas de deficiente, ou idoso</t>
  </si>
  <si>
    <t>1.14.7</t>
  </si>
  <si>
    <t>Pintura Novacor Piso Ultra para área externa amarela para pintura das faixas das vagas</t>
  </si>
  <si>
    <t>1.14.8</t>
  </si>
  <si>
    <t>Pintura Novacor Piso Ultra para piso cimentado ou concreto</t>
  </si>
  <si>
    <t>1.14.9</t>
  </si>
  <si>
    <t>Piso Intertravado de concreto e=10cm - Estacionamento (trafego pesado)</t>
  </si>
  <si>
    <t>1.14.10</t>
  </si>
  <si>
    <t>Piso drenante tipo Pisograma Braston</t>
  </si>
  <si>
    <t>1.14.11</t>
  </si>
  <si>
    <t>Piso drenante tipo Concregrama e=10cm - Estacionamento (trafego pesado)</t>
  </si>
  <si>
    <t>1.14.12</t>
  </si>
  <si>
    <t>Piso drenante tipo Braston - megadreno 22x14x10cm, assentado sobre camada  detalhada em projeto (Construtora deverá apresentar da NF do fornecedor do piso)</t>
  </si>
  <si>
    <t>1.14.13</t>
  </si>
  <si>
    <t xml:space="preserve">Piso drenante tipo Intercity - natural 20x10x10cm, assentado sobre camada  detalhada em projeto </t>
  </si>
  <si>
    <t>1.14.14</t>
  </si>
  <si>
    <t>Pedrisco Branco, jardim seco</t>
  </si>
  <si>
    <t>1.14.17</t>
  </si>
  <si>
    <t>Piso em Mosaico português assentado com argamassa de cimento e areia, incluindo rejuntamento e lavagem</t>
  </si>
  <si>
    <t>1.14.18</t>
  </si>
  <si>
    <t>Piso em Ladrilho Hidráulico 20x20 - tipo calçada copacabana</t>
  </si>
  <si>
    <t>1.14.19</t>
  </si>
  <si>
    <t>Piso em Concreto Armado - Polido espess. = 6cm (FCK30 Mpa), incluso lastro de concreto e tela de aço soldada.</t>
  </si>
  <si>
    <t>1.14.20</t>
  </si>
  <si>
    <t>Piso em Concreto Armado - Polido espess. = 10cm (FCK30 Mpa), incluso lastro de concreto e tela de aço soldada.</t>
  </si>
  <si>
    <t>1.14.21</t>
  </si>
  <si>
    <t>Piso de CONCRETO com acabamento VASSOURADO espess. = 6 cm (FCK30 Mpa), incluso lastro de concreto e tela de aço soldada.</t>
  </si>
  <si>
    <t>1.14.22</t>
  </si>
  <si>
    <t>Piso de CONCRETO com acabamento VASSOURADO espess. = 10cm (FCK30 Mpa), incluso lastro de concreto e tela de aço soldada.</t>
  </si>
  <si>
    <t>1.14.23</t>
  </si>
  <si>
    <t>Piso podotátil em concreto (alerta e/ou direcional) 20x20cm</t>
  </si>
  <si>
    <t>1.14.24</t>
  </si>
  <si>
    <t xml:space="preserve">Guia em Concreto - Meio Fio Padrão (0.15 x 0.30 x 1.00 m) </t>
  </si>
  <si>
    <t>1.14.25</t>
  </si>
  <si>
    <t>Mini Guia Jardim em Concreto (0.08 x 0.20 x 0.39 cm)</t>
  </si>
  <si>
    <t>1.14.26</t>
  </si>
  <si>
    <t>Rebaixamento de guias</t>
  </si>
  <si>
    <t>1.15</t>
  </si>
  <si>
    <t>IMPERMEABILIZAÇÕES</t>
  </si>
  <si>
    <t>1.15.1</t>
  </si>
  <si>
    <t>Impermeabilização de alicerces</t>
  </si>
  <si>
    <t>1.15.2</t>
  </si>
  <si>
    <t>Impermeabilização com Tinta Asfáltica Neutrol duas demãos</t>
  </si>
  <si>
    <t>1.15.3</t>
  </si>
  <si>
    <t>Manta Líquida tipo Weber Quartzolit ou Bautech</t>
  </si>
  <si>
    <t>1.15.4</t>
  </si>
  <si>
    <t>Manta asfáltica 3mm (c/ virada de 20cm), inclusive proteção mecânica, e regularização</t>
  </si>
  <si>
    <t>1.15.5</t>
  </si>
  <si>
    <t>Manta asfáltica 4mm (c/ virada de 20cm), inclusive proteção mecânica, e regularização</t>
  </si>
  <si>
    <t>1.15.6</t>
  </si>
  <si>
    <t>Manta asfáltica 3mm (c/ virada de 25cm), inclusive proteção mecânica, e regularização (areas internas)</t>
  </si>
  <si>
    <t>1.15.7</t>
  </si>
  <si>
    <t>Manta asfáltica 4mm (c/ virada de 25cm), inclusive proteção mecânica, e regularização (areas externas e expostas ao tempo)</t>
  </si>
  <si>
    <t>1.15.8</t>
  </si>
  <si>
    <t>Fornecimento e instalação de lona plástica, para impermeabilização, espessura 150 micras</t>
  </si>
  <si>
    <t>M2</t>
  </si>
  <si>
    <t>1.16</t>
  </si>
  <si>
    <t>REVESTIMENTOS (ALVENARIAS INTERNAS E EXTERNAS)</t>
  </si>
  <si>
    <t>1.16.1</t>
  </si>
  <si>
    <t>Chapisco</t>
  </si>
  <si>
    <t>1.16.2</t>
  </si>
  <si>
    <t>Emboço</t>
  </si>
  <si>
    <t>1.16.3</t>
  </si>
  <si>
    <t>Reboco</t>
  </si>
  <si>
    <t>1.16.4</t>
  </si>
  <si>
    <t>Massa única</t>
  </si>
  <si>
    <t>1.16.5</t>
  </si>
  <si>
    <t xml:space="preserve">Cantoneira Alum. Anodizado  - pint.: Branca - proteção canto paredes </t>
  </si>
  <si>
    <t>1.16.12</t>
  </si>
  <si>
    <t>Revestimento cerâmico Eliane 20x20cm, cor BRANCO PISCINA AC (incluso argamassa de assentamento e rejunte na cor branca)</t>
  </si>
  <si>
    <t>1.16.13</t>
  </si>
  <si>
    <t xml:space="preserve">Revestimento cerâmico Strufaldi - 20x20cm, cor gelo (semi brilho) ref. 4196, PEI- 3 (incluso argamassa de assentamento e rejunte branco Fortaleza) </t>
  </si>
  <si>
    <t>1.16.14</t>
  </si>
  <si>
    <t>Revestimento em Pastilha cerâmica -  Ref. Atlas Açores Tam. 5x5cm SG 8010 (incluso argamassa de assentamento e rejunte)</t>
  </si>
  <si>
    <t>1.16.15</t>
  </si>
  <si>
    <t>Revestimento em Pastilha de vidro 2x2cm cor vermelho Vidro real, para vitrine recuada (incluso argamassa de assentamento)</t>
  </si>
  <si>
    <t>1.16.16</t>
  </si>
  <si>
    <t>Revestimento em Pastilha de Vidro 3x3cm - Vidro Real (Cores: Azul Claro, Verde Claro, Verde Escuro e Branca e Ref: 120, 220, 250, 900) Incluso argamassa Vidro real na cor verde. Rejunte deve ser executado com a propria argamassa.</t>
  </si>
  <si>
    <t>1.16.22</t>
  </si>
  <si>
    <t>Revestimento cerâmico para fachada Eliane - 10x10cm, linha Galeria Marfim Mesh BR, cor  Bege Claro (incluso argamassa de assentamento e rejunte)</t>
  </si>
  <si>
    <t>1.16.23</t>
  </si>
  <si>
    <t>Revestimento cerâmico para fachada Eliane - 10x10cm, linha Galeria Oriente Marfim Mesh BR, cor vermelho (incluso argamassa de assentamento e rejunte)</t>
  </si>
  <si>
    <t>1.16.25</t>
  </si>
  <si>
    <t>Moldura externa SG4R - Super Gart L10xH3cm (fornecimento e instalação conforme instruções do fabricante )</t>
  </si>
  <si>
    <t>1.17</t>
  </si>
  <si>
    <t>FORROS</t>
  </si>
  <si>
    <t>1.17.1</t>
  </si>
  <si>
    <t>Limpeza de forro de PVC</t>
  </si>
  <si>
    <t>1.17.2</t>
  </si>
  <si>
    <t>Abertura para luminárias / grelhas / difusores</t>
  </si>
  <si>
    <t xml:space="preserve">un </t>
  </si>
  <si>
    <t>1.17.3</t>
  </si>
  <si>
    <t>Alçapão em forro de gesso para manutenção 70x70 cm</t>
  </si>
  <si>
    <t>1.17.4</t>
  </si>
  <si>
    <t>Estrutura auxiliar em perfilado e "Metalons" para forro e pendurais</t>
  </si>
  <si>
    <t>1.17.5</t>
  </si>
  <si>
    <t>Estrutura auxiliar em metalon 2x2cm para forro e pendurais. ( considerar apenas quando altura do entreforro superar 3m ou se houver exigência em projeto ).</t>
  </si>
  <si>
    <t>1.17.6</t>
  </si>
  <si>
    <t>Forro de Gesso Acartonado com tabica perimetral (1,25x2,15m) fornecimento e instalação. Incluso estrutura e reguladores.</t>
  </si>
  <si>
    <t>1.17.7</t>
  </si>
  <si>
    <t>Forro de PVC profiplast réguas de 20cm  e=13mm - frisado - cor: branca - Marca TWB fornecimento e instalação. Incluso estrutura e reguladores.</t>
  </si>
  <si>
    <t>1.17.8</t>
  </si>
  <si>
    <t>Forro de PVC em réguas. Branco liso, espessura de 10 mm. Incluso estrutura metálica auxiliar para fixação</t>
  </si>
  <si>
    <t>1.17.9</t>
  </si>
  <si>
    <t>Alçapão em PVC para manutenção, medidas e fechamento conforme projeto</t>
  </si>
  <si>
    <t>unid</t>
  </si>
  <si>
    <t>1.17.10</t>
  </si>
  <si>
    <t>Forro modulado em placas 1250x625mm padrão liso - Gyprex, incluso perfis em alumínio e acessórios de fixação</t>
  </si>
  <si>
    <t>1.17.11</t>
  </si>
  <si>
    <t>Forro modulado em placas 1250x625mm padrão liso - Gyprex (Somente substituição das placas)</t>
  </si>
  <si>
    <t>1.17.12</t>
  </si>
  <si>
    <t>Forro modulado em placas 1250x625mm padrão liso (Somente substituição da estrutura)</t>
  </si>
  <si>
    <t>1.17.13</t>
  </si>
  <si>
    <t>Sanca de Gesso - P=0,40m H=1,10 a 1,40m. "Conferir dimensões em projeto"</t>
  </si>
  <si>
    <t>1.18</t>
  </si>
  <si>
    <t>PINTURA</t>
  </si>
  <si>
    <t>1.18.1</t>
  </si>
  <si>
    <t>Esmalte sintético Esquadrias de Ferro em 3 demãos ( marca de referencia: Coral ) cor conforme definição de projeto ( branco, cinza, vermelho )</t>
  </si>
  <si>
    <t>1.18.2</t>
  </si>
  <si>
    <t>Esmalte sintético Esquadrias de Madeira em 3 demãos  ( marca de referencia: Coral ) cor conforme definição de projeto ( branco, cinza, vermelho )</t>
  </si>
  <si>
    <t>1.18.3</t>
  </si>
  <si>
    <t>Esmalte sintético sobre calhas/rufos - ( marca de referencia: Coral ) cor conforme definição de projeto ( branco, cinza, vermelho )</t>
  </si>
  <si>
    <t>1.18.4</t>
  </si>
  <si>
    <t>Esmalte sintético tubulações - ( marca de referencia: Coral ) cor conforme NBR 6493</t>
  </si>
  <si>
    <t>1.18.5</t>
  </si>
  <si>
    <t>Fundo Antiferrugem (tipo Zarcão) - ( marca de referencia: Coral )</t>
  </si>
  <si>
    <t>1.18.6</t>
  </si>
  <si>
    <t>Fundo preparador de paredes - ( marca de referencia: Coral )</t>
  </si>
  <si>
    <t>1.18.7</t>
  </si>
  <si>
    <t>Látex Acrílico sobre massa corrida em (3 demãos) - Cor Branco Neve CORAL</t>
  </si>
  <si>
    <t>1.18.8</t>
  </si>
  <si>
    <t>Látex Acrílico sobre massa corrida em (3 demãos) - Cor Vermelho Drogasil CORAL</t>
  </si>
  <si>
    <t>1.18.9</t>
  </si>
  <si>
    <t xml:space="preserve">Pintura com TINTA ACRILICA FOSCA (3 demãos) na cor BRANCO (marca CORAL DECORA PREMIUM ou similar). </t>
  </si>
  <si>
    <t>1.18.10</t>
  </si>
  <si>
    <t>Pintura com TINTA ACRILICA BRILHANTE (3 demãos) na cor BRANCO (marca CORAL DECORA PREMIUM ou similar).</t>
  </si>
  <si>
    <t>1.18.11</t>
  </si>
  <si>
    <t>Pintura em TINTA ACRÍLICA FOSCA (5 demãos) na cor BORDEAUX (PANTONE 7427C) (marca CORAL DECORA PREMIUM ou similar).</t>
  </si>
  <si>
    <t>1.18.12</t>
  </si>
  <si>
    <t>Pintura em TINTA ACRÍLICA FOSCA (3 demãos) na cor VERMELHO (PANTONE 200) (marca CORAL DECORA PREMIUM ou similar).</t>
  </si>
  <si>
    <t>1.18.13</t>
  </si>
  <si>
    <t>Pintura em TINTA ACRÍLICA FOSCA (3 demãos) na cor PANTONE WARM GRAY 1C (marca CORAL DECORA PREMIUM ou similar).</t>
  </si>
  <si>
    <t>1.18.14</t>
  </si>
  <si>
    <t>Pintura em TINTA ACRÍLICA FOSCA (3 demãos) na cor AZUL PANTONE 3155 (marca CORAL DECORA PREMIUM ou similar).</t>
  </si>
  <si>
    <t>1.18.15</t>
  </si>
  <si>
    <t>Látex PVA sobre massa corrida em (3 demãos) - Cor Branco Neve CORAL</t>
  </si>
  <si>
    <t>1.18.16</t>
  </si>
  <si>
    <t>Massa Acrílica (2 demãos)</t>
  </si>
  <si>
    <t>1.18.17</t>
  </si>
  <si>
    <t>Massa Corrida PVA (2 demãos)</t>
  </si>
  <si>
    <t>1.18.18</t>
  </si>
  <si>
    <t>Massa Sintética para madeiras</t>
  </si>
  <si>
    <t>1.18.21</t>
  </si>
  <si>
    <t>Massa texturizada (TEXTURA EFEITO | marca CORAL) com pintura posterior em tinta acrílica cor PANTONE WARM GRAY 1C (marca CORAL DECORA PREMIUM ou similar).</t>
  </si>
  <si>
    <t>1.18.22</t>
  </si>
  <si>
    <t>Revestimento em massa texturizada, h=90cm, cor Azul - CORAL ou SUVINIL</t>
  </si>
  <si>
    <t>1.18.23</t>
  </si>
  <si>
    <t>Revestimento em massa acrília texturizada, cor Branco Gelo - CORAL ou SUVINIL</t>
  </si>
  <si>
    <t>1.18.24</t>
  </si>
  <si>
    <t>Revestimento em massa acrília texturizada, cor Branco Neve - CORAL ou SUVINIL</t>
  </si>
  <si>
    <t>1.18.25</t>
  </si>
  <si>
    <t xml:space="preserve">Látex Acrílico Brilhante sobre massa corrida (3 demãos) Cor PANTONE 415C </t>
  </si>
  <si>
    <t>1.18.26</t>
  </si>
  <si>
    <t>Látex Acrílico Brilhante sobre massa corrida (3 demãos)  -Cor PANTONE 3415C</t>
  </si>
  <si>
    <t>1.18.27</t>
  </si>
  <si>
    <t>Látex Acrílico Brilhante sobre massa corrida (3 demãos)  -Cor PANTONE 9600C (vestiário)</t>
  </si>
  <si>
    <t>1.18.28</t>
  </si>
  <si>
    <t>Látex Acrílico Brilhante sobre massa corrida (3 demãos)  -Cor PANTONE 9460C (vestiário)</t>
  </si>
  <si>
    <t>1.18.29</t>
  </si>
  <si>
    <t>Látex Acrílico Brilhante sobre massa corrida (3 demãos)  -Cor Cromio Suvinil</t>
  </si>
  <si>
    <t>1.18.30</t>
  </si>
  <si>
    <t xml:space="preserve">Látex Acrílico Acetinado sobre massa corrida (3 demãos) Cor Verde Pacífico (Coral 138) Para pintura de sanca de medicamentos e OTC loja Luxo Drogasil </t>
  </si>
  <si>
    <t>1.18.31</t>
  </si>
  <si>
    <t>Pintura Esmalte sintético Azul – 3155c, para a porta farma (salas de vacina / aplicação)</t>
  </si>
  <si>
    <t>1.18.32</t>
  </si>
  <si>
    <t>Fornecimento e instalação de número para fachada da filial</t>
  </si>
  <si>
    <t>1.18.33</t>
  </si>
  <si>
    <t>Pintura externa em Epóxi branco SherwinWillians</t>
  </si>
  <si>
    <t>1.18.34</t>
  </si>
  <si>
    <t>Aplicação de selador acrílico (Material + Mão de obra)</t>
  </si>
  <si>
    <t>1.18.35</t>
  </si>
  <si>
    <t>Pintura em TINTA PU na cor SUMATANE 355 HB S/B VERMELHO 7427 C CP.A ( marca Sherwin-Williams )</t>
  </si>
  <si>
    <t>1.18.36</t>
  </si>
  <si>
    <t>Pintura Latex Acrílico Fosco Suvinil x91 Barbante</t>
  </si>
  <si>
    <t>1.18.37</t>
  </si>
  <si>
    <t>Pintura Latex Acrilico Pantone 7409C</t>
  </si>
  <si>
    <t>1.19</t>
  </si>
  <si>
    <t>ESQUADRIAS DE MADEIRA</t>
  </si>
  <si>
    <t>1.19.1</t>
  </si>
  <si>
    <t>Porta Lisa p/ pintura (0,62x2,10m) completa com batente, guarnição, ferragens, dobradiças e fechadura  conforme projeto ( ref.: 1- dobradiça:LA FONTE EM AÇO MODELO 1500 SEM ANEL – ACABAMENTO CRA 008, 3° X 2 ½ - 2- FERRAGENS: LA FONTE CONJUNTO 515 – ACABAMENTO CORMANDO ACETINADO )</t>
  </si>
  <si>
    <t>1.19.2</t>
  </si>
  <si>
    <t>Porta Lisa p/ pintura (0,72x2,10m) completa com batente, guarnição, ferragens, dobradiças e fechadura  conforme projeto  ( ref.: 1- dobradiça:LA FONTE EM AÇO MODELO 1500 SEM ANEL – ACABAMENTO CRA 008, 3° X 2 ½ - 2- FERRAGENS: LA FONTE CONJUNTO 515 – ACABAMENTO CORMANDO ACETINADO )</t>
  </si>
  <si>
    <t>1.19.3</t>
  </si>
  <si>
    <t>Porta Lisa - p/ pintura (0,82x2,10m) completa com batente, guarnição, ferragens, dobradiças e fechadura  conforme projeto ( ref.: 1- dobradiça:LA FONTE EM AÇO MODELO 1500 SEM ANEL – ACABAMENTO CRA 008, 3° X 2 ½ - 2- FERRAGENS: LA FONTE CONJUNTO 515 – ACABAMENTO CORMANDO ACETINADO )</t>
  </si>
  <si>
    <t>1.19.4</t>
  </si>
  <si>
    <t>Porta Lisa p/ pintura (0,92x2,10m) completa com batente, guarnição, ferragens, dobradiças e fechadura  conforme projeto ( ref.: 1- dobradiça:LA FONTE EM AÇO MODELO 1500 SEM ANEL – ACABAMENTO CRA 008, 3° X 2 ½ - 2- FERRAGENS: LA FONTE CONJUNTO 515 – ACABAMENTO CORMANDO ACETINADO )</t>
  </si>
  <si>
    <t>1.19.5</t>
  </si>
  <si>
    <t>Porta PNE Lisa p/ pintura (0,92x2,10m) completa com batente, guarnição, ferragens, dobradiças, fechadura, chapa de aluminio e barra de apoio( interne e externa ),  conforme projeto ( ref.: 1- dobradiça:LA FONTE EM AÇO MODELO 1500 SEM ANEL – ACABAMENTO CRA 008, 3° X 2 ½ - 2- FERRAGENS: LA FONTE CONJUNTO 515 – ACABAMENTO CORMANDO ACETINADO )</t>
  </si>
  <si>
    <t>1.19.6</t>
  </si>
  <si>
    <t>Porta Lisa p/ pintura (1,02x2,10m) completa com batente, guarnição, ferragens, dobradiças e fechadura  conforme projeto ( ref.: 1- dobradiça:LA FONTE EM AÇO MODELO 1500 SEM ANEL – ACABAMENTO CRA 008, 3° X 2 ½ - 2- FERRAGENS: LA FONTE CONJUNTO 515 – ACABAMENTO CORMANDO ACETINADO )</t>
  </si>
  <si>
    <t>1.19.7</t>
  </si>
  <si>
    <t>Porta PNE Lisa p/ pintura (1,12x2,10m) completa com batente, guarnição, ferragens, dobradiças, fechadura, chapa de aluminio e barra de apoio,  conforme projeto ( ref.: 1- dobradiça:LA FONTE EM AÇO MODELO 1500 SEM ANEL – ACABAMENTO CRA 008, 3° X 2 ½ - 2- FERRAGENS: LA FONTE CONJUNTO 515 – ACABAMENTO CORMANDO ACETINADO )</t>
  </si>
  <si>
    <t>1.19.8</t>
  </si>
  <si>
    <t>Porta Lisa com acabamento em fórmica  (0,62x2,10m) completa com batente, guarnição, ferragens, dobradiças e fechadura  conforme projeto ( ref.: 1- dobradiça:LA FONTE EM AÇO MODELO 1500 SEM ANEL – ACABAMENTO CRA 008, 3° X 2 ½ - 2- FERRAGENS: LA FONTE CONJUNTO 515 – ACABAMENTO CORMANDO ACETINADO )</t>
  </si>
  <si>
    <t>1.19.9</t>
  </si>
  <si>
    <t>Porta Lisa com acabamento em fórmica  (0,72x2,10m) completa com batente, guarnição, ferragens, dobradiças e fechadura  conforme projeto ( ref.: 1- dobradiça:LA FONTE EM AÇO MODELO 1500 SEM ANEL – ACABAMENTO CRA 008, 3° X 2 ½ - 2- FERRAGENS: LA FONTE CONJUNTO 515 – ACABAMENTO CORMANDO ACETINADO )</t>
  </si>
  <si>
    <t>1.19.10</t>
  </si>
  <si>
    <t>Porta Lisa com acabamento em fórmica  (0,82x2,10m) completa com batente, guarnição, ferragens, dobradiças e fechadura  conforme projeto ( ref.: 1- dobradiça:LA FONTE EM AÇO MODELO 1500 SEM ANEL – ACABAMENTO CRA 008, 3° X 2 ½ - 2- FERRAGENS: LA FONTE CONJUNTO 515 – ACABAMENTO CORMANDO ACETINADO )</t>
  </si>
  <si>
    <t>1.19.11</t>
  </si>
  <si>
    <t>Porta Lisa com acabamento em fórmica  (0,92x2,10m) completa com batente, guarnição, ferragens, dobradiças e fechadura  conforme projeto ( ref.: 1- dobradiça:LA FONTE EM AÇO MODELO 1500 SEM ANEL – ACABAMENTO CRA 008, 3° X 2 ½ - 2- FERRAGENS: LA FONTE CONJUNTO 515 – ACABAMENTO CORMANDO ACETINADO )</t>
  </si>
  <si>
    <t>1.19.12</t>
  </si>
  <si>
    <t>Porta Lisa com acabamento em fórmica (1,02x2,10m) completa com batente, guarnição, ferragens, dobradiças e fechadura  conforme projeto ( ref.: 1- dobradiça:LA FONTE EM AÇO MODELO 1500 SEM ANEL – ACABAMENTO CRA 008, 3° X 2 ½ - 2- FERRAGENS: LA FONTE CONJUNTO 515 – ACABAMENTO CORMANDO ACETINADO )</t>
  </si>
  <si>
    <t>1.19.14</t>
  </si>
  <si>
    <t>Porta Sanfonada PVC (0,70x2,10)m - Cor Branca - (Incluso Trilhos e Puxadores)</t>
  </si>
  <si>
    <t>1.19.15</t>
  </si>
  <si>
    <t>Porta Sanfonada PVC (1,00x2,10)m - Cor Branca - (Incluso Trilhos e Puxadores)</t>
  </si>
  <si>
    <t>1.19.16</t>
  </si>
  <si>
    <t>Porta SANFONADA de MADEIRA (112cm), pintada com esmalte sintético SEMI BRILHO, na cor BRANCA, adaptada para deficientes físicos.</t>
  </si>
  <si>
    <t>1.19.17</t>
  </si>
  <si>
    <t>Porta de correr de madeira completa com batentes, guarnição, ferragens, dobradiças e fechadura</t>
  </si>
  <si>
    <t>1.19.18</t>
  </si>
  <si>
    <t>Porta para Divisória Naval 0,62x2,10m , cor branco, incluso ferragens, dobradiças, requadros e batentes</t>
  </si>
  <si>
    <t>1.19.19</t>
  </si>
  <si>
    <t>Porta para Divisória Naval 0,72x2,10m , cor branco, incluso ferragens, dobradiças, requadros e batentes</t>
  </si>
  <si>
    <t>1.19.20</t>
  </si>
  <si>
    <t>Porta para Divisória Naval 0,82x2,10m , cor branco, incluso ferragens, dobradiças, requadros e batentes</t>
  </si>
  <si>
    <t>1.19.21</t>
  </si>
  <si>
    <t>Porta para Divisória Naval 0,92x2,10m , cor branco, incluso ferragens, dobradiças, requadros e batentes</t>
  </si>
  <si>
    <t>1.20</t>
  </si>
  <si>
    <t>ESQUADRIAS DE FERRO</t>
  </si>
  <si>
    <t>1.20.1</t>
  </si>
  <si>
    <t>Cantoneira 2'' Ferro Galvanizado p/ canto degraus</t>
  </si>
  <si>
    <t>1.20.2</t>
  </si>
  <si>
    <t>Cantoneira em alumínio natural de 2'' p/ canto degraus - acabamento frisado</t>
  </si>
  <si>
    <t>1.20.4</t>
  </si>
  <si>
    <t>Corrente de aço galvanizado 5mm, considerar fornecimento de dois cadeados com chave ( Ref.: PRADO ).</t>
  </si>
  <si>
    <t>1.20.5</t>
  </si>
  <si>
    <t>Postes metálicos com alça para passagem de corrente para isolamento do estacionamento  ( considerar uma unidade há cada 5m pintura preta e amarela ).</t>
  </si>
  <si>
    <t>1.20.6</t>
  </si>
  <si>
    <t>Corrimão em Tubo de Aço Redondo Ø=1 1/4" (Incluso elementos de fixação), inclusive pintura esmalte semi-brilho ( cor conforme projeto: cinza, branco ou vermelho ).</t>
  </si>
  <si>
    <t>1.20.7</t>
  </si>
  <si>
    <t>Caixilho de ferro basculante com perfil "L" 1"x1/8" com pintura esmalte, inclusive vidro canelado, dobradiças e ferragens ( cor conforme projeto: cinza, branco ou vermelho ).</t>
  </si>
  <si>
    <t>1.20.8</t>
  </si>
  <si>
    <t>Gradil de proteção com ferro chato de 1 1/4"x1/4" com pintura esmalte + tela mosqueteiro com requadro de alumínio A058 e tela em nylon ( cor conforme projeto: cinza, branco ou vermelho ).</t>
  </si>
  <si>
    <t>1.20.9</t>
  </si>
  <si>
    <t>Guarda corpo em aço para rampa externa padrão NBR 9050, inclusive pintura esmalte ( cor conforme projeto: cinza, branco ou vermelho ).</t>
  </si>
  <si>
    <t>1.20.10</t>
  </si>
  <si>
    <t>Porta de aço de enrolar AUTOMATIZADA, chapa 24, completa, modelo raiada, pintada com tinta esmalte, na cor cinza platina - coral, com trava e cilindro em latão do tipo tetrachave e Caixa em ferro fundido  Ref.: Papaiz. Travas ART 140 (Incluso Trinco Ref.: Poliforte ART 008)  - Considerar portinhola de acesso quando necessário.</t>
  </si>
  <si>
    <t>1.20.11</t>
  </si>
  <si>
    <t>Porta de aço de enrolar MANUAL, chapa 24, completa, modelo raiada, pintada com tinta esmalte, na cor cinza platina - coral,  com trava e cilindro em latão do tipo tetrachave e Caixa em ferro fundido  Ref.: Papaiz. Travas ART 140 (Incluso Trinco Ref.: Poliforte ART 008)</t>
  </si>
  <si>
    <t>1.20.12</t>
  </si>
  <si>
    <t>Porta de enrolar AUTOMATIZADA microperfurada, tipo transvision, na cor branca, com trava e cilindro em latão do tipo tetrachave e Caixa em ferro fundido  Ref.: Papaiz. Travas ART 140 (Incluso Trinco Ref.: Poliforte ART 008)</t>
  </si>
  <si>
    <t>1.20.13</t>
  </si>
  <si>
    <t>Porta de enrolar MANUAL microperfurada, tipo transvision, na cor branca, com trava e cilindro em latão do tipo tetrachave e Caixa em ferro fundido  Ref.: Papaiz. Travas ART 140 (Incluso Trinco Ref.: Poliforte ART 008)</t>
  </si>
  <si>
    <t>1.20.14</t>
  </si>
  <si>
    <t>Porta Metálica em chapa completa com batente, ferragens, dobradiças e fechadura  conforme projeto</t>
  </si>
  <si>
    <t>1.20.15</t>
  </si>
  <si>
    <t>Portão de ferro tubular, inclusive pintura</t>
  </si>
  <si>
    <t>1.20.16</t>
  </si>
  <si>
    <t>Troca de segredo (miolo da chave) da porta de enrolar, após entrega da obra</t>
  </si>
  <si>
    <t>1.20.17</t>
  </si>
  <si>
    <t>Fornecimento de lixeira metálica 500 litros - 100x50x60(LxAxP)</t>
  </si>
  <si>
    <t>1.20.18</t>
  </si>
  <si>
    <t>Manutenção da porta de enrolar (revisão das molas, revisão das soldas, alinhamento, troca de perfis danificados e pintura)</t>
  </si>
  <si>
    <t>1.20.19</t>
  </si>
  <si>
    <t>Tubo de ferro fundido Ø 150 mm - 6"</t>
  </si>
  <si>
    <t>1.20.20</t>
  </si>
  <si>
    <t>Tubo de ferro fundido Ø 100 mm - 4"</t>
  </si>
  <si>
    <t>1.20.21</t>
  </si>
  <si>
    <t>Tubo de ferro fundido Ø 75 mm - 3"</t>
  </si>
  <si>
    <t>1.20.22</t>
  </si>
  <si>
    <t>Tubo de ferro fundido Ø 50 mm - 2"</t>
  </si>
  <si>
    <t>1.21</t>
  </si>
  <si>
    <t>ESQUADRIAS DE ALUMÍNIO</t>
  </si>
  <si>
    <t>1.21.1</t>
  </si>
  <si>
    <t>Caixilho fixo em montantes de alumínio anodizado com  pintura eletrostática branca, com vidro temperado incolor, e=10mm, fixos em perfis "U" de alumínio Branco ( Raia ) ou aluminio natural (Drogasil).</t>
  </si>
  <si>
    <t>1.21.2</t>
  </si>
  <si>
    <t>Caixilho fixo, com vidro temperado incolor, e=10mm, fixos em perfis "U" de alumínio Branco ( Raia ) ou aluminio natural (Drogasil).</t>
  </si>
  <si>
    <t>1.21.3</t>
  </si>
  <si>
    <t>Caixilho basculante em Alumínio anodizado com  pintura eletrostática, inclusive vidro comum 6mm, dobradiças e ferragens na cor branca ( Raia ) ou aluminio natural (Drogasil).</t>
  </si>
  <si>
    <t>1.21.4</t>
  </si>
  <si>
    <t>Grade metálica de proteção para cubículo padrão (água e luz), condensadora, inclusive pintura em esmalte sintético. Cor conforme projeto ( branco, cinza ou vermelho ).</t>
  </si>
  <si>
    <t>1.21.5</t>
  </si>
  <si>
    <t xml:space="preserve">Porta Alum. (0,72x2,10m), completa com batentes, ferragens, dobradiças e fechadura - pintura eletrost. Branca </t>
  </si>
  <si>
    <t>1.21.6</t>
  </si>
  <si>
    <t>Porta Alum. (0,82x2,10m), completa com batentes, ferragens, dobradiças e fechadura - pintura eletrost. Branca</t>
  </si>
  <si>
    <t>1.21.7</t>
  </si>
  <si>
    <t xml:space="preserve">Porta Alum. (0,92x2,10m), completa com batentes, ferragens, dobradiças e fechadura - pintura eletrost.  </t>
  </si>
  <si>
    <t>1.21.8</t>
  </si>
  <si>
    <t>Porta Alumínio para Hidrômetro, entrada de energia, quadro elétrico e abrigo de lixo -  pint.eletrost. na cor branca ( Raia ) ou aluminio natural (Drogasil).</t>
  </si>
  <si>
    <t>1.22</t>
  </si>
  <si>
    <t>FERRAGENS E ACESSÓRIOS</t>
  </si>
  <si>
    <t>1.22.1</t>
  </si>
  <si>
    <t>Amortecedor para porta</t>
  </si>
  <si>
    <t>1.22.2</t>
  </si>
  <si>
    <t>Mola Hidráulica Aérea ( tipo Dorma / Gemiclo )</t>
  </si>
  <si>
    <t>1.22.3</t>
  </si>
  <si>
    <t>kit substituição: dobradiça: LA FONTE EM AÇO MODELO 1500 SEM ANEL – ACABAMENTO CRA 008, 3° X 2 ½ - 2- FERRAGENS: LA FONTE CONJUNTO 515 – ACABAMENTO CORMANDO ACETINADO )</t>
  </si>
  <si>
    <t>1.23</t>
  </si>
  <si>
    <t>VIDROS E ESPELHOS</t>
  </si>
  <si>
    <t>1.23.1</t>
  </si>
  <si>
    <t>Espelho cristal prata 6mm  (Oval - 40 cm)</t>
  </si>
  <si>
    <t>1.23.2</t>
  </si>
  <si>
    <t>Espelho cristal prata 6mm (Retang. - 45x60cm)</t>
  </si>
  <si>
    <t>1.23.3</t>
  </si>
  <si>
    <t>Espelho cristal prata 6mm (Retang. - 45x70cm) com suporte em MDF branco inclinado ângulo de 10º em relação a parede.</t>
  </si>
  <si>
    <t>1.23.4</t>
  </si>
  <si>
    <t>Película de Proteção Branca - Padrão Blackout</t>
  </si>
  <si>
    <t>1.23.5</t>
  </si>
  <si>
    <t>Película de Proteção Caixas - Quadriculado</t>
  </si>
  <si>
    <t>1.23.6</t>
  </si>
  <si>
    <t xml:space="preserve">Porta de Vidro de correr AUTOMÁTICA 4 folhas, sendo duas fixas e duas de correr  inclusos vidros temperados e=10 mm e ferragens </t>
  </si>
  <si>
    <t>1.23.7</t>
  </si>
  <si>
    <t xml:space="preserve">Porta de Vidro de correr AUTOMÁTICA 2 folhas, sendo uma fixa e uma de correr  inclusos vidros temperados e=10 mm e ferragens </t>
  </si>
  <si>
    <t>1.23.8</t>
  </si>
  <si>
    <t xml:space="preserve">Porta de Vidro de correr MANUAL em vidro temperado e= 10 mm, inclusive ferragens, fechadura e puxador </t>
  </si>
  <si>
    <t>1.23.9</t>
  </si>
  <si>
    <t xml:space="preserve">Vidro Canelado 4mm </t>
  </si>
  <si>
    <t>1.23.10</t>
  </si>
  <si>
    <t xml:space="preserve">Vidro Canelado 6mm </t>
  </si>
  <si>
    <t>1.23.11</t>
  </si>
  <si>
    <t xml:space="preserve">Vidro Comum 4mm </t>
  </si>
  <si>
    <t>1.23.12</t>
  </si>
  <si>
    <t xml:space="preserve">Vidro Comum 6mm </t>
  </si>
  <si>
    <t>1.23.13</t>
  </si>
  <si>
    <t>Vidro temperado incolor 10mm</t>
  </si>
  <si>
    <t>1.23.14</t>
  </si>
  <si>
    <t>Espelho 180x70 (vestiários)</t>
  </si>
  <si>
    <t>1.23.15</t>
  </si>
  <si>
    <t>Espelho 90x60 (banheiros clientes e funcionários)</t>
  </si>
  <si>
    <t>1.23.16</t>
  </si>
  <si>
    <t>Espelho de rosto com moldura branca (oval ou retangular)</t>
  </si>
  <si>
    <t>1.23.17</t>
  </si>
  <si>
    <t>Espelho de corpo com moldura branca</t>
  </si>
  <si>
    <t>1.24</t>
  </si>
  <si>
    <t>COBERTURA</t>
  </si>
  <si>
    <t>1.24.1</t>
  </si>
  <si>
    <t xml:space="preserve">Calha de chapa galvanizada 16 </t>
  </si>
  <si>
    <t>1.24.2</t>
  </si>
  <si>
    <t>Cumeeira</t>
  </si>
  <si>
    <t>1.24.3</t>
  </si>
  <si>
    <t>Estrutura metálica p/ cobertura (tesouras, terças, etc) - com tratamento anticorrosivo e pintura em esmalte sintético na cor cinza chumbo.</t>
  </si>
  <si>
    <t>1.24.4</t>
  </si>
  <si>
    <t>Estrutura de madeira tratada para telha cerâmica ou de concreto</t>
  </si>
  <si>
    <t>1.24.5</t>
  </si>
  <si>
    <t>Estrutura de madeira tratada  para telha ondulada de polipropileno, fibra vegetal, fibrocimento ou alumínio.</t>
  </si>
  <si>
    <t>1.24.6</t>
  </si>
  <si>
    <t>Rufo de chapa galvanizada 16</t>
  </si>
  <si>
    <t>1.24.7</t>
  </si>
  <si>
    <t>Rufo de fibrocimento direito ou esquerdo para telha perfil ondulado e=6 ou 8 mm</t>
  </si>
  <si>
    <t>1.24.8</t>
  </si>
  <si>
    <t>Tela Telcon, fixada na estrutura, para proteção</t>
  </si>
  <si>
    <t>1.24.9</t>
  </si>
  <si>
    <t>Telha cerâmica, inclinação 35% ( apenas para recomposição de áreas existentes ou quando especificada em projeto ).</t>
  </si>
  <si>
    <t>1.24.10</t>
  </si>
  <si>
    <t>Telha de fibrocimento, perfil ondulado, e = 6 mm, inclinação 27% ( apenas para recomposição de áreas existentes ou quando especificada em projeto ).</t>
  </si>
  <si>
    <t>1.24.11</t>
  </si>
  <si>
    <t>Telha Sanduíche Trapezoidal , Aço Galvanizado esp. Chapa 0,50mm - EPS  de 30mm</t>
  </si>
  <si>
    <t>1.24.12</t>
  </si>
  <si>
    <t>Telha Termo-acustica Trapezoidal , Aço Galvanizado esp. Chapa 0,50mm - EPS  de 30mm</t>
  </si>
  <si>
    <t>1.24.13</t>
  </si>
  <si>
    <t>Telhas Trapezoidais Aço Galvanizado (1,04 x 2,14) m /e = 5mm ( apenas para recomposição de áreas existentes ou quando especificada em projeto ).</t>
  </si>
  <si>
    <t>1.24.14</t>
  </si>
  <si>
    <t>Telhas Trapezoidais Alumínio ( 1,04 x 2,14 ) m / e = 5mm ( apenas para recomposição de áreas existentes ou quando especificada em projeto ).</t>
  </si>
  <si>
    <t>1.24.15</t>
  </si>
  <si>
    <t xml:space="preserve">Vedação com Vedapren ou similares </t>
  </si>
  <si>
    <t>1.24.16</t>
  </si>
  <si>
    <t>Revisão e calafetação de cobertura existente, incluisive limpeza da calha</t>
  </si>
  <si>
    <t>1.25</t>
  </si>
  <si>
    <t>LIMPEZAS</t>
  </si>
  <si>
    <t>1.25.1</t>
  </si>
  <si>
    <t>Limpeza de fachada em ceramica</t>
  </si>
  <si>
    <t>1.25.2</t>
  </si>
  <si>
    <t>Execução e Laudo de detetização/desratização e limpeza da caixa d'água</t>
  </si>
  <si>
    <t>1.25.3</t>
  </si>
  <si>
    <t>Limpeza permanente da obra</t>
  </si>
  <si>
    <t xml:space="preserve"> </t>
  </si>
  <si>
    <t>2.</t>
  </si>
  <si>
    <t>INSTALAÇÕES ELÉTRICAS / LÓGICA / TELEFONIA</t>
  </si>
  <si>
    <t>2.1</t>
  </si>
  <si>
    <t>ENTRADA DE ENERGIA</t>
  </si>
  <si>
    <t>2.1.1</t>
  </si>
  <si>
    <t>Entrada de Energia Bifasica até 20KVA completa (Padrão, quadro e poste)</t>
  </si>
  <si>
    <t>2.1.2</t>
  </si>
  <si>
    <t>Entrada de Energia Trifasica até 27KVA completa (Padrão, quadro e poste)</t>
  </si>
  <si>
    <t>2.1.3</t>
  </si>
  <si>
    <t>Entrada de Energia Trifasica até 38KVA completa (Padrão, quadro e poste)</t>
  </si>
  <si>
    <t>2.1.4</t>
  </si>
  <si>
    <t>Entrada de Energia Trifasica até 47KVA completa (Padrão, quadro e poste)</t>
  </si>
  <si>
    <t>2.1.5</t>
  </si>
  <si>
    <t>Entrada de Energia Trifasica até 57KVA completa (Padrão, quadro e poste)</t>
  </si>
  <si>
    <t>2.1.6</t>
  </si>
  <si>
    <t>Entrada de Energia Trifasica até 66KVA completa (Padrão, quadro e poste)</t>
  </si>
  <si>
    <t>2.1.7</t>
  </si>
  <si>
    <t>Entrada de Energia Trifasica até 75KVA completa (Padrão, quadro e poste)</t>
  </si>
  <si>
    <t>2.2</t>
  </si>
  <si>
    <t>INFRAESTRUTURA TUBULAÇÕES E ACESSÓRIOS PARA REFORMAS</t>
  </si>
  <si>
    <t>2.3</t>
  </si>
  <si>
    <t>TUBULAÇÕES E ACESSÓRIOS</t>
  </si>
  <si>
    <t>2.3.1</t>
  </si>
  <si>
    <t>Eletroduto de ferro galvanizado Ø 15 mm (1/2") - incluindo conexões e acessórios - ELECON / P. THOMEU</t>
  </si>
  <si>
    <t>2.3.2</t>
  </si>
  <si>
    <t>Eletroduto de ferro galvanizado Ø 20 mm (3/4") - incluindo conexões e acessórios - ELECON / P. THOMEU</t>
  </si>
  <si>
    <t>2.3.3</t>
  </si>
  <si>
    <t>Eletroduto de ferro galvanizado Ø 25 mm (1") - incluindo conexões e acessórios - ELECON / P. THOMEU</t>
  </si>
  <si>
    <t>2.3.4</t>
  </si>
  <si>
    <t>Eletroduto de ferro galvanizado Ø 32 mm (1 1/4") - incluindo conexões e acessórios - ELECON / P. THOMEU</t>
  </si>
  <si>
    <t>2.3.5</t>
  </si>
  <si>
    <t>Eletroduto de ferro galvanizado  Ø 40 mm (1 1/2") - incluindo conexões e acessórios - ELECON / P. THOMEU</t>
  </si>
  <si>
    <t>2.3.6</t>
  </si>
  <si>
    <t>Eletroduto de ferro galvanizado Ø 50 mm (2") - incluindo conexões e acessórios - ELECON / P. THOMEU</t>
  </si>
  <si>
    <t>2.3.7</t>
  </si>
  <si>
    <t>Eletroduto de ferro galvanizado Ø 65 mm (2 1/2") - incluindo conexões e acessórios - ELECON / P. THOMEU</t>
  </si>
  <si>
    <t>2.3.8</t>
  </si>
  <si>
    <t>Eletroduto de ferro galvanizado Ø 80 mm (3") - incluindo conexões e acessórios - ELECON / P. THOMEU</t>
  </si>
  <si>
    <t>2.3.9</t>
  </si>
  <si>
    <t>Eletroduto de ferro galvanizado Ø 100 mm (4") - incluindo conexões e acessórios - ELECON / P. THOMEU</t>
  </si>
  <si>
    <t>2.3.10</t>
  </si>
  <si>
    <t>Eletroduto de PVC Roscavel 20 mm (1/2")- Incluindo conexões e acessórios - TIGRE / DAISA</t>
  </si>
  <si>
    <t>2.3.11</t>
  </si>
  <si>
    <t>Eletroduto de PVC Roscavel 25 mm (3/4")- Incluindo conexões e acessórios - TIGRE / DAISA</t>
  </si>
  <si>
    <t>2.3.12</t>
  </si>
  <si>
    <t>Eletroduto de PVC Roscavel 32 mm (1")- Incluindo conexões e acessórios- TIGRE / DAISA</t>
  </si>
  <si>
    <t>2.3.13</t>
  </si>
  <si>
    <t>Eletroduto de PVC Roscavel 40 mm (1 1/4")- Incluindo conexões e acessórios- TIGRE / DAISA</t>
  </si>
  <si>
    <t>2.3.14</t>
  </si>
  <si>
    <t>Eletroduto de PVC Roscavel 50 mm (1 1/2")- Incluindo conexões e acessórios- TIGRE / DAISA</t>
  </si>
  <si>
    <t>2.3.15</t>
  </si>
  <si>
    <t>Eletroduto de PVC Roscavel 60 mm (2")- Incluindo conexões e acessórios- TIGRE / DAISA</t>
  </si>
  <si>
    <t>2.3.16</t>
  </si>
  <si>
    <t>Eletroduto de PVC Roscavel 75 mm (2 1/2")- Incluindo conexões e acessórios- TIGRE / DAISA</t>
  </si>
  <si>
    <t>2.3.17</t>
  </si>
  <si>
    <t>Eletroduto de PVC Roscavel 85mm (3'')- Incluindo conexões e acessórios- TIGRE / DAISA</t>
  </si>
  <si>
    <t>2.3.18</t>
  </si>
  <si>
    <t>Eletroduto de PVC Roscavel 110mm (4'')- Incluindo conexões e acessórios - TIGRE / DAISA</t>
  </si>
  <si>
    <t>2.3.19</t>
  </si>
  <si>
    <t>Eletroduto flexível corrugado  diam. 25mm</t>
  </si>
  <si>
    <t>2.3.20</t>
  </si>
  <si>
    <t>Eletroduto flexível corrugado  diam. 32mm</t>
  </si>
  <si>
    <t>2.4</t>
  </si>
  <si>
    <t>CAIXAS</t>
  </si>
  <si>
    <t>2.4.1</t>
  </si>
  <si>
    <t>Caixa de embutir para alvenaria PVC 4x2"</t>
  </si>
  <si>
    <t>2.4.2</t>
  </si>
  <si>
    <t>Caixa de embutir para alvenaria PVC 4x4"</t>
  </si>
  <si>
    <t>2.4.3</t>
  </si>
  <si>
    <t>Caixa de embutir para gesso acartonado PVC 4x2"</t>
  </si>
  <si>
    <t>2.4.4</t>
  </si>
  <si>
    <t>Caixa de embutir para gesso acartonado PVC 4x4"</t>
  </si>
  <si>
    <t>2.4.5</t>
  </si>
  <si>
    <t>Caixa de passagem de liga alumínio fundida com tampa reversivel e vedação de borracha 10x10x6cm - WETZEL</t>
  </si>
  <si>
    <t>2.4.6</t>
  </si>
  <si>
    <t>Caixa de passagem de liga alumínio fundida com tampa reversivel e vedação de borracha 15x15x10cm - WETZEL</t>
  </si>
  <si>
    <t>2.4.7</t>
  </si>
  <si>
    <t>Caixa de passagem de liga alumínio fundida com tampa reversivel e vedação de borracha 20x20x10cm - WETZEL</t>
  </si>
  <si>
    <t>2.4.8</t>
  </si>
  <si>
    <t>Caixa de passagem de liga alumínio fundida com tampa reversivel e vedação de borracha 30x30x12cm - WETZEL</t>
  </si>
  <si>
    <t>2.4.9</t>
  </si>
  <si>
    <t>Caixa de passagem de liga alumínio fundida com tampa reversivel e vedação de borracha 40x40x20cm - WETZEL</t>
  </si>
  <si>
    <t>2.4.10</t>
  </si>
  <si>
    <t>Caixa de passagem em alvenaria de 0,60x0,60x0,60m</t>
  </si>
  <si>
    <t>2.4.11</t>
  </si>
  <si>
    <t>Caixa Octogonal de PVC 4x4 " - Incluso prolongador</t>
  </si>
  <si>
    <t>2.5</t>
  </si>
  <si>
    <t>CONDULETES</t>
  </si>
  <si>
    <t>2.5.1</t>
  </si>
  <si>
    <t>Condulete em liga de alumínio fundido tipo "X" Ø 3/4" - Inclui espelhos, unidutes, acessórios e fixação - DAISA / WETZEL</t>
  </si>
  <si>
    <t>2.5.2</t>
  </si>
  <si>
    <t>Condulete em liga de alumínio fundido tipo "X" Ø 1" - Inclui espelhos, unidutes, acessórios e fixação - DAISA / WETZEL</t>
  </si>
  <si>
    <t>2.5.3</t>
  </si>
  <si>
    <t>Condulete em liga de alumínio fundido tipo "X" Ø 1 1/4" - Inclui espelhos, unidutes, acessórios e fixação - DAISA / WETZEL</t>
  </si>
  <si>
    <t>2.5.4</t>
  </si>
  <si>
    <t>Condulete em liga de alumínio fundido tipo "X" Ø 1 1/2" - Inclui espelhos, unidutes, acessórios e fixação - DAISA / WETZEL</t>
  </si>
  <si>
    <t>2.5.5</t>
  </si>
  <si>
    <t>Condulete em liga de alumínio fundido tipo "X" Ø 2" - Inclui espelhos, unidutes, acessórios e fixação - DAISA / WETZEL</t>
  </si>
  <si>
    <t>2.5.6</t>
  </si>
  <si>
    <t>Condulete em liga de alumínio fundido tipo "X" Ø 2 1/2" - Inclui espelhos, unidutes, acessórios e fixação - DAISA / WETZEL</t>
  </si>
  <si>
    <t>2.5.7</t>
  </si>
  <si>
    <t>Condulete em liga de alumínio fundido tipo "X" Ø 3" - Inclui espelhos, unidutes, acessórios e fixação - DAISA / WETZEL</t>
  </si>
  <si>
    <t>2.5.8</t>
  </si>
  <si>
    <t>Condulete em liga de alumínio fundido tipo "X" Ø 4" - Inclui espelhos, unidutes, acessórios e fixação - DAISA / WETZEL</t>
  </si>
  <si>
    <t>2.6</t>
  </si>
  <si>
    <t>ELETROCALHA</t>
  </si>
  <si>
    <t>2.6.1</t>
  </si>
  <si>
    <t>Eletrocalha - Tipo padronizado chapa #16 lisa, galvanizado com tampa de encaixe, dobras de reforço na laterais 100x050x3000mm - Inclui acessórios, fixações e suportes - MOPA / GOLBRÁS / GRADELAR</t>
  </si>
  <si>
    <t>2.6.2</t>
  </si>
  <si>
    <t>Eletrocalha - Tipo padronizado chapa #16 lisa, galvanizado com tampa de encaixe, dobras de reforço na laterais 150x100x3000mm - Inclui acessórios, fixações e suportes - MOPA / GOLBRÁS / GRADELAR</t>
  </si>
  <si>
    <t>2.6.3</t>
  </si>
  <si>
    <t>Eletrocalha - Tipo padronizado chapa #16 lisa, galvanizado com tampa de encaixe, dobras de reforço na laterais 200x100x3000mm - Inclui acessórios, fixações e suportes - MOPA / GOLBRÁS / GRADELAR</t>
  </si>
  <si>
    <t>2.6.4</t>
  </si>
  <si>
    <t>Eletrocalha - Tipo padronizado chapa #16 lisa, galvanizado com tampa de encaixe, dobras de reforço na laterais 300x100x3000mm - Inclui acessórios, fixações e suportes - MOPA / GOLBRÁS / GRADELAR</t>
  </si>
  <si>
    <t>2.6.5</t>
  </si>
  <si>
    <t>Eletrocalha - Tipo padronizado chapa #16 lisa, galvanizado com tampa de encaixe, dobras de reforço na laterais 400x100x3000mm - Inclui acessórios, fixação e  - MOPA / GOLBRÁS / GRADELAR</t>
  </si>
  <si>
    <t>2.6.6</t>
  </si>
  <si>
    <t>Eletrocalha - Tipo padronizado chapa #16 lisa, galvanizado com tampa de encaixe, dobras de reforço na laterais 500x100x3000mm - Inclui acessórios, fixações e suportes - MOPA / GOLBRÁS / GRADELAR</t>
  </si>
  <si>
    <t>2.6.7</t>
  </si>
  <si>
    <t>Eletrocalha - Tipo padronizado chapa #16 lisa, galvanizado com tampa de encaixe, dobras de reforço na laterais 600x100x3000mm - Inclui acessórios, fixações e suportes - MOPA / GOLBRÁS / GRADELAR</t>
  </si>
  <si>
    <t>2.6.8</t>
  </si>
  <si>
    <t>Eletrocalha - Tipo padronizado chapa #16 lisa, galvanizado com tampa de encaixe, dobras de reforço na laterais 300x050x3000mm - Inclui acessórios, fixações e suportes - MOPA / GOLBRÁS / GRADELAR</t>
  </si>
  <si>
    <t>2.6.9</t>
  </si>
  <si>
    <t>Perfilado Tipo padronizado #16, liso galvanizado 38x38mm - Inclui acessórios, fixações e suportes  - MOPA / GOLBRÁS/GRADELAR</t>
  </si>
  <si>
    <t>2.7</t>
  </si>
  <si>
    <t>CABOS E ACESSÓRIOS</t>
  </si>
  <si>
    <t>2.7.1</t>
  </si>
  <si>
    <t>Cabo isolado em HEPR 0,6 / 1 KV - 90 C -  6 mm2 - PRYSMIAN / FICAP / PHELPS DODGE</t>
  </si>
  <si>
    <t>2.7.2</t>
  </si>
  <si>
    <t>Cabo isolado em HEPR 0,6 / 1 KV - 90 C - 10 mm2  - PRYSMIAN / FICAP / PHELPS DODGE</t>
  </si>
  <si>
    <t>2.7.3</t>
  </si>
  <si>
    <t>Cabo isolado em HEPR 0,6 / 1 KV - 90 C -  16 mm2  - PRYSMIAN / FICAP / PHELPS DODGE</t>
  </si>
  <si>
    <t>2.7.4</t>
  </si>
  <si>
    <t>Cabo isolado em HEPR 0,6 / 1 KV - 90 C -  25 mm2  - PRYSMIAN / FICAP / PHELPS DODGE</t>
  </si>
  <si>
    <t>2.7.5</t>
  </si>
  <si>
    <t>Cabo isolado em HEPR 0,6 / 1 KV - 90 C -  35 mm2  - PRYSMIAN / FICAP / PHELPS DODGE</t>
  </si>
  <si>
    <t>2.7.6</t>
  </si>
  <si>
    <t>Cabo isolado em HEPR 0,6 / 1 KV - 90 C -  50 mm2  - PRYSMIAN / FICAP / PHELPS DODGE</t>
  </si>
  <si>
    <t>2.7.7</t>
  </si>
  <si>
    <t>Cabo isolado em HEPR 0,6 / 1 KV - 90 C -  70 mm2  - PRYSMIAN / FICAP / PHELPS DODGE</t>
  </si>
  <si>
    <t>2.7.8</t>
  </si>
  <si>
    <t>Cabo isolado em HEPR 0,6 / 1 KV - 90 C -  95 mm2 - PRYSMIAN / FICAP / PHELPS DODGE</t>
  </si>
  <si>
    <t>2.7.9</t>
  </si>
  <si>
    <t>Cabo isolado em HEPR 0,6 / 1 KV - 90 C -  120 mm2 - PRYSMIAN / FICAP / PHELPS DODGE</t>
  </si>
  <si>
    <t>2.7.10</t>
  </si>
  <si>
    <t>Cabo isolado em HEPR 0,6 / 1 KV - 90 C -  150 mm2  - PRYSMIAN / FICAP / PHELPS DODGE</t>
  </si>
  <si>
    <t>2.7.11</t>
  </si>
  <si>
    <t>Cabo isolado em HEPR 0,6 / 1 KV - 90 C -  185 mm2  - PRYSMIAN / FICAP / PHELPS DODGE</t>
  </si>
  <si>
    <t>2.7.12</t>
  </si>
  <si>
    <t>Cabo isolado em PVC 750 V - 70°C - 1,5 mm²</t>
  </si>
  <si>
    <t>2.7.13</t>
  </si>
  <si>
    <t>Cabo isolado em PVC 750 V - 70°C -  2,5 mm²</t>
  </si>
  <si>
    <t>2.7.14</t>
  </si>
  <si>
    <t>Cabo isolado em PVC 750 V - 70°C -  4 mm²</t>
  </si>
  <si>
    <t>2.7.15</t>
  </si>
  <si>
    <t>Cabo isolado em PVC 750 V - 70°C -  6 mm²</t>
  </si>
  <si>
    <t>2.7.16</t>
  </si>
  <si>
    <t>Cabo tipo PP - 750V - 70 C 3x1,5mm² - preto</t>
  </si>
  <si>
    <t>2.7.17</t>
  </si>
  <si>
    <t>Cabo tipo PP - 750V - 70 C 3x2,5mm² - preto</t>
  </si>
  <si>
    <t>2.8</t>
  </si>
  <si>
    <t>TOMADAS / INTERRUPTORES / PLACAS</t>
  </si>
  <si>
    <t>2.8.1</t>
  </si>
  <si>
    <t>Caixa de piso 4x4" em alumínio c/ placa em latão polido com fechamento rosca e 1 tomada 2P+T ref. 543.13 ou 543.23 (com anel de regulagem) - STECK / PIAL LEGRAND / PRIMELÉTRICA</t>
  </si>
  <si>
    <t>cj</t>
  </si>
  <si>
    <t>2.8.2</t>
  </si>
  <si>
    <t>Caixa de piso 4x4" em alumínio c/ placa em latão polido com fechamento rosca e 2 tomada 2P+T ref. 543.13 (com anel de regulagem)  - STECK / PIAL LEGRAND / PRIMELÉTRICA</t>
  </si>
  <si>
    <t>2.8.3</t>
  </si>
  <si>
    <t>Caixa de piso 4x4" em alumínio c/ placa em latão polido para 2 conectores RJ 45 e 1 conector RJ11 - STECK / PIAL LEGRAND / PRIMELÉTRICA</t>
  </si>
  <si>
    <t>2.8.4</t>
  </si>
  <si>
    <t>Conjunto montado interruptor bipolar (simples ou paralelo) - STECK / PIAL LEGRAND / PRIMELÉTRICA</t>
  </si>
  <si>
    <t>2.8.5</t>
  </si>
  <si>
    <t>Conjunto montado interruptor monopolar (simples ou paralelo) - STECK / PIAL LEGRAND / PRIMELÉTRICA</t>
  </si>
  <si>
    <t>2.8.6</t>
  </si>
  <si>
    <t>Conjunto montado tomada 2P + T branca - comum 220 V (novo padrão) - STECK / PIAL LEGRAND / PRIMELÉTRICA</t>
  </si>
  <si>
    <t>2.8.7</t>
  </si>
  <si>
    <t>Conjunto montado tomada 2P + T branco - comum 127 V  (novo padrão) - STECK / PIAL LEGRAND / PRIMELÉTRICA</t>
  </si>
  <si>
    <t>2.8.8</t>
  </si>
  <si>
    <t>Conjunto montado tomada 2P + T vermelho (novo padrão) - STECK / PIAL LEGRAND / PRIMELÉTRICA</t>
  </si>
  <si>
    <t>2.8.9</t>
  </si>
  <si>
    <t>Conjunto montado para 2 conectores RJ45 e 2 conectores RJ11 - STECK / PIAL LEGRAND / PRIMELÉTRICA</t>
  </si>
  <si>
    <t>2.8.10</t>
  </si>
  <si>
    <t>Placa cego linha (pial plus ou silentoque) 4x2"</t>
  </si>
  <si>
    <t>2.8.11</t>
  </si>
  <si>
    <t>Placa cego linha (pial plus ou silentoque) 4x4"</t>
  </si>
  <si>
    <t>2.8.12</t>
  </si>
  <si>
    <t>Placa com furo central (pial plus ou silentoque) 4x2"</t>
  </si>
  <si>
    <t>2.8.13</t>
  </si>
  <si>
    <t>Placa com furo central (pial plus ou silentoque) 4x4"</t>
  </si>
  <si>
    <t>2.8.14</t>
  </si>
  <si>
    <t>Placa para tomada RJ45 (pial plus ou silentoque) 4x2" - 2 saídas</t>
  </si>
  <si>
    <t>2.8.15</t>
  </si>
  <si>
    <t>Placa para tomada RJ45 (pial plus ou silentoque) 4x2" - 4 saídas</t>
  </si>
  <si>
    <t>2.8.16</t>
  </si>
  <si>
    <t>Placa para tomada RJ45 (pial plus ou silentoque) 4x4" - 2 saídas</t>
  </si>
  <si>
    <t>2.8.17</t>
  </si>
  <si>
    <t>Placa para tomada RJ45 (pial plus ou silentoque) 4x4" - 4 saídas</t>
  </si>
  <si>
    <t>2.8.18</t>
  </si>
  <si>
    <t>Plug Fêmea – padrão 3 pinos (10A)</t>
  </si>
  <si>
    <t>pç</t>
  </si>
  <si>
    <t>2.8.19</t>
  </si>
  <si>
    <t>Prensa cabo</t>
  </si>
  <si>
    <t>2.9</t>
  </si>
  <si>
    <t>LUMINÁRIAS</t>
  </si>
  <si>
    <t>2.9.1</t>
  </si>
  <si>
    <t xml:space="preserve">Lum 01 - Guarillux PE-LED (aletas matt) MÓDULO GRANDE de embutir Potência: 36W Medidas: 1245 x 60 x 100mm Temp. de cor: 4.000K com rabicho -  salão de vendas/apoio (Construtora deverá apresentar da NF do fornecedor da luminária) </t>
  </si>
  <si>
    <t>2.9.2</t>
  </si>
  <si>
    <t>Lum 01 - Guarillux PE-LED (aletas matt) MEIO MÓDULO de embutir Potência: 18W Medidas: 620 x 60 x 100mm Temp. de cor: 4.000K  - salão de vendas/apoio (Construtora deverá apresentar da NF do fornecedor da luminária)</t>
  </si>
  <si>
    <t>2.9.3</t>
  </si>
  <si>
    <t>Lum 02 - Guarilux ASL  (assimétrica) MÓDULO GRANDE Potência: 36W Medida: 1245 x 65 x 200mm Temp. de cor 4.000K  com rabicho  - salão de vendas / perímetro (Construtora deverá apresentar da NF do fornecedor da luminária)</t>
  </si>
  <si>
    <t>2.9.4</t>
  </si>
  <si>
    <t>Lum 02 - Guarilux ASL (assimétrica) MEIO MÓDULO Potência: 18W Medida: 620 x 65 x 200mm Temp. de cor 4.000K  com rabicho  - salão de vendas / perímetro (Construtora deverá apresentar da NF do fornecedor da luminária)</t>
  </si>
  <si>
    <t>2.9.5</t>
  </si>
  <si>
    <t>Lum 03 - Guarilux TR 2036-20W/840 (LED, orientável)
Potência: 18W, 36º, Temp. de cor 4.000K, com rabicho - 
vitrines (Construtora deverá apresentar da NF do fornecedor da luminária)</t>
  </si>
  <si>
    <t>2.9.6</t>
  </si>
  <si>
    <t>Lum 04 - Guarilux GOP 20W/840 de embutir (LED, circular)
Potência: 20W, 90º, Temp. de cor 4.000K, com rabicho - área de apoio, marquise e sanca (Construtora deverá apresentar da NF do fornecedor da luminária)</t>
  </si>
  <si>
    <t>2.9.14</t>
  </si>
  <si>
    <t>Fita LED Lemca FIT Paris  24,5W / 4000K</t>
  </si>
  <si>
    <t>2.9.15</t>
  </si>
  <si>
    <t>Luminária tipo petála LUMINI PLANO N1 STREET 79,2W 4000K IRC80 com poste de 3m, cor branca</t>
  </si>
  <si>
    <t>2.9.16</t>
  </si>
  <si>
    <t>Luminária tipo petála LUMINI PLANO N1 STREET 79,2W 4000K IRC80 com poste de 5m, cor branca</t>
  </si>
  <si>
    <t>2.9.17</t>
  </si>
  <si>
    <t>Lumini Downled Wide MD R 1x LED 21W / 90º / 4.000K / 1.700lm / 50.000h / IRC 80 (Construtora deverá apresentar da NF do fornecedor da luminária)</t>
  </si>
  <si>
    <t>2.9.18</t>
  </si>
  <si>
    <t>Luminária tipo petála Osram Streetlight 10 mini LED 70W 4000k com poste de 3m</t>
  </si>
  <si>
    <t>2.9.19</t>
  </si>
  <si>
    <t>Luminária tipo petála Osram Streetlight 10 mini LED 70W 4000k com poste de 5m</t>
  </si>
  <si>
    <t>2.9.20</t>
  </si>
  <si>
    <t>Luminária tipo petála PHILIPS URBAN STEP 568W 5800LM 4000K com poste de 3m</t>
  </si>
  <si>
    <t>2.9.21</t>
  </si>
  <si>
    <t>Luminária tipo petála PHILIPS URBAN STEP 568W 5800LM 4000K com poste de 5m</t>
  </si>
  <si>
    <t>2.9.22</t>
  </si>
  <si>
    <t>PROJETOR FLOODLIGHT LED 50W LEDVANCE OSRAM - em alumínio com acabamento branco fosco. Fluxo Luminoso: 4500lm. Ângulo de Abertura: 100°. Grau de Proteção: IP65</t>
  </si>
  <si>
    <t>2.9.23</t>
  </si>
  <si>
    <t>PROJETOR FLOODLIGHT LED 50W LEDVANCE OSRAM - em alumínio com acabamento preto fosco. Fluxo Luminoso: 4500lm. Ângulo de Abertura: 100°. Grau de Proteção: IP65</t>
  </si>
  <si>
    <t>2.9.25</t>
  </si>
  <si>
    <t>Bloco autônomo para iluminação de emergência com indicação de saída (balizamento), 2x11W</t>
  </si>
  <si>
    <t>2.9.26</t>
  </si>
  <si>
    <t>Bloco autônomo para iluminação de emergência sem indicação de saída (aclaramento), 2x11W</t>
  </si>
  <si>
    <t>2.9.27</t>
  </si>
  <si>
    <t>Bloco autônomo para iluminação de emergência com indicação de saída (balizamento) LED 4w, autonomira 3hrs. Especifição de acordo com NBR 10898</t>
  </si>
  <si>
    <t>2.9.28</t>
  </si>
  <si>
    <t>Bloco autônomo para iluminação de emergência sem indicação de saída (aclaramento) LED 4w, autonomira 3hrs. Especifição de acordo com NBR 10898</t>
  </si>
  <si>
    <t>2.9.29</t>
  </si>
  <si>
    <t>Módulo de emergência para 1 lâmpada fluorescente compacta de 26W</t>
  </si>
  <si>
    <t>2.9.30</t>
  </si>
  <si>
    <t>Módulo de emergência para 1 lâmpada fluorescente de 14W</t>
  </si>
  <si>
    <t>2.9.31</t>
  </si>
  <si>
    <t>Módulo de emergência para 1 lâmpada fluorescente de 28W</t>
  </si>
  <si>
    <t>2.9.32</t>
  </si>
  <si>
    <t xml:space="preserve">Refletor de LED 100W Branco - fornecimento e instalação </t>
  </si>
  <si>
    <t>2.9.33</t>
  </si>
  <si>
    <t xml:space="preserve">Refletor de LED 100W Preto - fornecimento e instalação </t>
  </si>
  <si>
    <t>2.9.34</t>
  </si>
  <si>
    <t>Instalação de luminária de embutir (luminária fornecida pelo contratante)</t>
  </si>
  <si>
    <t>2.9.35</t>
  </si>
  <si>
    <t>Instalação de luminária de sobrepor (luminária fornecida pelo contratante)</t>
  </si>
  <si>
    <t>2.9.36</t>
  </si>
  <si>
    <t>Lampada Philips Master LEDTube 1200 mm 18W 840 T8 I W</t>
  </si>
  <si>
    <t>2.9.37</t>
  </si>
  <si>
    <t>Lampada Philips Master LEDTube 600 mm 10W 840 T8 I W</t>
  </si>
  <si>
    <t>2.9.38</t>
  </si>
  <si>
    <t>REATOR FLUOR ELETR AFP 1X50/54/58W 220V</t>
  </si>
  <si>
    <t>2.9.39</t>
  </si>
  <si>
    <t>Lampada Philips Master LEDTube 1200 mm 18W 840 T5 I W</t>
  </si>
  <si>
    <t>2.9.40</t>
  </si>
  <si>
    <t>Lampada Philips Master LEDTube 600 mm 10W 840 T5 I W</t>
  </si>
  <si>
    <t>2.9.41</t>
  </si>
  <si>
    <t>Limpeza de luminárias</t>
  </si>
  <si>
    <t>2.10</t>
  </si>
  <si>
    <t>QUADROS</t>
  </si>
  <si>
    <t>2.10.1</t>
  </si>
  <si>
    <t>Revisão QDLT existente ( troca de acrilico, placas de identificação, anilhas, terminais, limpeza e organização, suporte com cópia do projeto impresso na porta ) Considerar As Built da instalação.</t>
  </si>
  <si>
    <t>2.10.2</t>
  </si>
  <si>
    <t>QCIE (grande) - Acima 30 posições monofasicas e com 2 timers</t>
  </si>
  <si>
    <t>2.10.3</t>
  </si>
  <si>
    <t>QCIE (medio) - Até 30 posições monofasicas e com 2 timers</t>
  </si>
  <si>
    <t>2.10.4</t>
  </si>
  <si>
    <t>QCIE (pequeno) - Até 20 posições monofasicas e com 2 timers</t>
  </si>
  <si>
    <t>2.10.5</t>
  </si>
  <si>
    <t>QDEE (grande) - Acima 30 posições</t>
  </si>
  <si>
    <t>2.10.6</t>
  </si>
  <si>
    <t>QDEE (medio) - Até 30 posições</t>
  </si>
  <si>
    <t>2.10.7</t>
  </si>
  <si>
    <t>QDEE (pequeno) - Até 20 posições</t>
  </si>
  <si>
    <t>2.10.8</t>
  </si>
  <si>
    <t>QDFAC Quadro de força para Ar Condicionado</t>
  </si>
  <si>
    <t>2.10.9</t>
  </si>
  <si>
    <t>QDLT Baixa Tensão ( Disjuntor principal até 200 A) grande - Acima 30 posições - Incluso multimedidor digital - botoeiras na porta</t>
  </si>
  <si>
    <t>2.10.10</t>
  </si>
  <si>
    <t>QDLT Baixa Tensão ( Disjuntor principal até 200 A) grande - Acima 20 posições - Incluso multimedidor digital</t>
  </si>
  <si>
    <t>2.10.11</t>
  </si>
  <si>
    <t>QDLT Baixa Tensão ( Disjuntor principal até 200 A) medio - Até 20 posições - Incluso multimedidor digital</t>
  </si>
  <si>
    <t>2.10.12</t>
  </si>
  <si>
    <t>QDLT Baixa Tensão ( Disjuntor principal até 200 A) pequeno - Até 10 posições - Incluso multimedidor digital</t>
  </si>
  <si>
    <t>2.10.13</t>
  </si>
  <si>
    <t>QL, QT ou QLT (grande) - Acima de 40 posições monofasicas com botoeiras externas</t>
  </si>
  <si>
    <t>2.10.14</t>
  </si>
  <si>
    <t>QL, QT ou QLT (medio)- Até 40 posições monofasicas com botoeiras externas</t>
  </si>
  <si>
    <t>2.10.15</t>
  </si>
  <si>
    <t>QL, QT ou QLT (pequeno) - Até 20 posições monofasicas com botoeiras externas</t>
  </si>
  <si>
    <t>2.10.16</t>
  </si>
  <si>
    <t>Quadro de distribuição padrão Telebrás - 200x200x120mm - P.PTHOMEU / GOMER</t>
  </si>
  <si>
    <t>2.10.17</t>
  </si>
  <si>
    <t>Quadro de distribuição padrão Telebrás - 400x400x120mm - P.PTHOMEU / GOMER</t>
  </si>
  <si>
    <t>2.10.18</t>
  </si>
  <si>
    <t>Quadro de distribuição padrão Telebrás - 600x600x120mm - P.PTHOMEU / GOMER</t>
  </si>
  <si>
    <t>2.10.19</t>
  </si>
  <si>
    <t>Armário formicado branco com porta para fechamento de quadro elétrico</t>
  </si>
  <si>
    <t>2.11</t>
  </si>
  <si>
    <t>PARA RAIOS E ATERRAMENTO</t>
  </si>
  <si>
    <t>2.11.1</t>
  </si>
  <si>
    <t>Base para mastro de Ø 1 1/2'</t>
  </si>
  <si>
    <t>2.11.2</t>
  </si>
  <si>
    <t>Barra chata de alumínio 7/8" x 1/8"</t>
  </si>
  <si>
    <t>2.11.3</t>
  </si>
  <si>
    <t>Base para mastro de Ø 2'</t>
  </si>
  <si>
    <t>2.11.4</t>
  </si>
  <si>
    <t>Cabo de Aço de 1/4'</t>
  </si>
  <si>
    <t>2.11.5</t>
  </si>
  <si>
    <t>Cabo de Cobre NU Ø 10mm²</t>
  </si>
  <si>
    <t>2.11.6</t>
  </si>
  <si>
    <t>Cabo de cobre NU Ø 16mm²</t>
  </si>
  <si>
    <t>2.11.7</t>
  </si>
  <si>
    <t>Cabo de Cobre NU Ø 25mm²</t>
  </si>
  <si>
    <t>2.11.8</t>
  </si>
  <si>
    <t>Cabo de Cobre NU Ø 35mm²</t>
  </si>
  <si>
    <t>2.11.9</t>
  </si>
  <si>
    <t>Cabo de Cobre NU Ø 50mm²</t>
  </si>
  <si>
    <t>2.11.10</t>
  </si>
  <si>
    <t>Cabo de Cobre NU Ø 70mm²</t>
  </si>
  <si>
    <t>2.11.11</t>
  </si>
  <si>
    <t>Cabo de Cobre NU Ø 95mm²</t>
  </si>
  <si>
    <t>2.11.12</t>
  </si>
  <si>
    <t>Caixa de inspeção para aterramento com tampa de ferro galvanizado</t>
  </si>
  <si>
    <t>2.11.13</t>
  </si>
  <si>
    <t>Captor Franklin</t>
  </si>
  <si>
    <t>2.11.14</t>
  </si>
  <si>
    <t>Fita de alumínio de 1''x 3/8''''</t>
  </si>
  <si>
    <t>2.11.15</t>
  </si>
  <si>
    <t>Haste tipo Copperweld 3/4' X 2.4m</t>
  </si>
  <si>
    <t>2.11.16</t>
  </si>
  <si>
    <t>Haste tipo Copperweld 3/4' X 3m</t>
  </si>
  <si>
    <t>2.11.17</t>
  </si>
  <si>
    <t>Haste tipo Copperweld 5/8' X 2.4m</t>
  </si>
  <si>
    <t>2.11.18</t>
  </si>
  <si>
    <t>Haste tipo Copperweld 5/8 'X 3m</t>
  </si>
  <si>
    <t>2.11.19</t>
  </si>
  <si>
    <t>Manilha de barro vidrada Ø 12'X 60cm com tampa concreto</t>
  </si>
  <si>
    <t>2.11.20</t>
  </si>
  <si>
    <t>Manilha de Barro Vidrada Ø 6' com tampa Concreto para Haste</t>
  </si>
  <si>
    <t>2.11.21</t>
  </si>
  <si>
    <t>Mastro galvanizado Ø 2' X 3m</t>
  </si>
  <si>
    <t>2.11.22</t>
  </si>
  <si>
    <t>Mastro galvanizado Ø 2' X 4.5m (2 Lances)</t>
  </si>
  <si>
    <t>2.11.23</t>
  </si>
  <si>
    <t>Mastro galvanizado Ø 2' X 6m (2 Lances)</t>
  </si>
  <si>
    <t>2.11.24</t>
  </si>
  <si>
    <t>Tubo de PVC para proteção de cordoalha 50mm (2') X 3.00m</t>
  </si>
  <si>
    <t>2.12</t>
  </si>
  <si>
    <t>INSTALAÇÕES LÓGICAS E TELEFÔNICAS</t>
  </si>
  <si>
    <t>2.12.1</t>
  </si>
  <si>
    <t>Cabo Coaxial 75 OHMS</t>
  </si>
  <si>
    <t>2.12.2</t>
  </si>
  <si>
    <t>Cabo óptico monomodo fiber -lan SM 6F I/E</t>
  </si>
  <si>
    <t>2.12.3</t>
  </si>
  <si>
    <t>Cabos CI 50 10 Pares</t>
  </si>
  <si>
    <t>2.12.4</t>
  </si>
  <si>
    <t>Cabos CI 50 20 Pares</t>
  </si>
  <si>
    <t>2.12.5</t>
  </si>
  <si>
    <t>Cabos CI 50 30 Pares</t>
  </si>
  <si>
    <t>2.12.6</t>
  </si>
  <si>
    <t>Cabos CI 50 50 Pares</t>
  </si>
  <si>
    <t>2.12.7</t>
  </si>
  <si>
    <t>Cabos UTP 4 Pares Categoria 5E, 24 AWG - TIPO CM FURUKAWA CM azul</t>
  </si>
  <si>
    <t>2.12.8</t>
  </si>
  <si>
    <t>Conector BNC Macho</t>
  </si>
  <si>
    <t>2.12.9</t>
  </si>
  <si>
    <t>Plug - Conector RJ45</t>
  </si>
  <si>
    <t>2.12.10</t>
  </si>
  <si>
    <t>Patch cord CAT5 com pontas crimpadas com conector RJ45 Macho e metragem mínima de 1,5 metros (cor azul)</t>
  </si>
  <si>
    <t>2.12.11</t>
  </si>
  <si>
    <t>Braçadeiras de velcro para organizar cabeamento no rack</t>
  </si>
  <si>
    <t>2.12.12</t>
  </si>
  <si>
    <t>Anilhas para identificação dos cabos de rede</t>
  </si>
  <si>
    <t>2.12.13</t>
  </si>
  <si>
    <t>Cabo CTP APL 6x50 (6 pares)</t>
  </si>
  <si>
    <t>2.12.14</t>
  </si>
  <si>
    <t>Par Metálico Telefonia: (Cabo CI – 1par)</t>
  </si>
  <si>
    <t>2.12.15</t>
  </si>
  <si>
    <t xml:space="preserve">Rack Fechado Completo 24Ux23'' - incluindo acessórios e switch </t>
  </si>
  <si>
    <t>2.12.16</t>
  </si>
  <si>
    <t>Rack mini Fechado Completo 8Ux19'' preto - incluindo acessórios e switch</t>
  </si>
  <si>
    <t>2.12.17</t>
  </si>
  <si>
    <t>Verba para organização de todo o cabeamento do rack de acordo com os padrões solicitados pelo time de TI</t>
  </si>
  <si>
    <t>2.12.18</t>
  </si>
  <si>
    <t>Régua de tomadas com proteção contra surtos 8KA ou 15KA com 8 ou 10 tomadas com plug trava de giro MTM ou Clamper)</t>
  </si>
  <si>
    <t>2.12.19</t>
  </si>
  <si>
    <t>Fornecimento e instalação de filtro de linha com 04 tomadas</t>
  </si>
  <si>
    <t>2.12.20</t>
  </si>
  <si>
    <t>Fornecimento e instalação de filtro de linha com 08 tomadas (Balcão / Checkout)</t>
  </si>
  <si>
    <t>2.12.21</t>
  </si>
  <si>
    <t>Tomada tipo jack RJ45-1 sem Conector</t>
  </si>
  <si>
    <t>2.12.22</t>
  </si>
  <si>
    <t>Tomada tipo jack RJ45-2 sem Conector</t>
  </si>
  <si>
    <t>2.12.23</t>
  </si>
  <si>
    <t>Técnico Eletricista para acompanhamento da Virada de Loja (em lojas de Retrofit, onde o escopo de elétrica é menor)</t>
  </si>
  <si>
    <t>3.</t>
  </si>
  <si>
    <t xml:space="preserve">INSTALAÇÕES HIDRÁULICAS </t>
  </si>
  <si>
    <t>3.1</t>
  </si>
  <si>
    <t>LOUÇAS, METAIS, BANCADAS E ACESSÓRIOS</t>
  </si>
  <si>
    <t>3.1.1</t>
  </si>
  <si>
    <t>Assento para bacia sanitária - PNE, sem abertura frontal com sistema "slow close" easu clean - Deca cód.:  P.516.17 Vogue Plus</t>
  </si>
  <si>
    <t>3.1.2</t>
  </si>
  <si>
    <t>Assento para bacia Sanitário convencional - Deca</t>
  </si>
  <si>
    <t>3.1.3</t>
  </si>
  <si>
    <t>Assento de vaso sanitário elevado 7,5cm com tampa - PNE</t>
  </si>
  <si>
    <t>3.1.4</t>
  </si>
  <si>
    <t>Bacia Sanitária convencional conforto sem abertura frontal Vogue Plus P510.17 (PNE)</t>
  </si>
  <si>
    <t>3.1.5</t>
  </si>
  <si>
    <t>Bacia Sanitária com caixa acoplada - Linha Ravena, cor GE-17 (prever ducha higiênica nos WC's femininos) DECA</t>
  </si>
  <si>
    <t>3.1.6</t>
  </si>
  <si>
    <t xml:space="preserve">Bacia Sanitária com caixa acoplada - Acionamento Duo - Linha Vogue Plus - Ref.: CDC.01F.17 -  Cor: Branca - DECA - PNE                                                                                                                                                                                      </t>
  </si>
  <si>
    <t>3.1.9</t>
  </si>
  <si>
    <t>Cavalete PVC em Kit (pode variar conforme a concessionária)</t>
  </si>
  <si>
    <t>3.1.10</t>
  </si>
  <si>
    <t>Lavatório de canto para deficientes físico - Deca Master ref. L 76 (PNE)</t>
  </si>
  <si>
    <t>3.1.11</t>
  </si>
  <si>
    <t>Lavatório para deficientes físicos Deca linha Vogue Plus - BR com coluna suspensa na cor branca cód. L 510 17</t>
  </si>
  <si>
    <t>3.1.12</t>
  </si>
  <si>
    <t>Lavatório com coluna - Linha Ravena - Ref.: L91 - Branca GE17 - DECA</t>
  </si>
  <si>
    <t>3.1.14</t>
  </si>
  <si>
    <t>Cuba em Aço Inox</t>
  </si>
  <si>
    <t>3.1.15</t>
  </si>
  <si>
    <t>Cuba Suspensa Deca L73s (para espaço Vitat)</t>
  </si>
  <si>
    <t>3.1.16</t>
  </si>
  <si>
    <t>Sifão regulável 1680 para lavatório 1" x 1 1/2"</t>
  </si>
  <si>
    <t>3.1.17</t>
  </si>
  <si>
    <t>Sifão regulável 1680 para pia americana 1 1/2" x 2"</t>
  </si>
  <si>
    <t>3.1.18</t>
  </si>
  <si>
    <t>Tampo em granito cinza 60x150cm com cuba simples de aço inox completa com válvula, sifões, etc</t>
  </si>
  <si>
    <t>3.1.19</t>
  </si>
  <si>
    <t>Tampo em granito cinza 120x60cm com cuba simples de aço inox completa com válvula, sifões, etc</t>
  </si>
  <si>
    <t>3.1.20</t>
  </si>
  <si>
    <t>Tampo em inox 120x60cm com cuba simples de aço inox completa com válvula, sifões, etc</t>
  </si>
  <si>
    <t>3.1.21</t>
  </si>
  <si>
    <t>Tampo em inox 80x140cm com cuba simples de aço inox completa com válvula, sifões, etc</t>
  </si>
  <si>
    <t>3.1.22</t>
  </si>
  <si>
    <t>Torneira de Parede - Ref.: 1171.C - Linha Decamatic Eco - Cromada - DECA</t>
  </si>
  <si>
    <t>3.1.23</t>
  </si>
  <si>
    <t>Torneira de Parede - Ref.: 1175.C - Linha Decamatic Eco - Cromada - DECA</t>
  </si>
  <si>
    <t>3.1.24</t>
  </si>
  <si>
    <t xml:space="preserve">Tanque com Coluna - Ref.: TQ03 + CT25 - Branco GE17 - DECA </t>
  </si>
  <si>
    <t>3.1.25</t>
  </si>
  <si>
    <t>Torneira de mesa - Linha Decamatic - Ref.:1170C - Cromada - DECA</t>
  </si>
  <si>
    <t>3.1.26</t>
  </si>
  <si>
    <t>Torneira de mesa - Linha Decamatic - Ref.:1173C - Cromada - DECA</t>
  </si>
  <si>
    <t>3.1.27</t>
  </si>
  <si>
    <t>Torneira de mesa - Linha Pressmatic Benefit - Ref.: 00490706 - Cromada - DOCOL</t>
  </si>
  <si>
    <t>3.1.28</t>
  </si>
  <si>
    <t>Torneira de mesa - Linha Pressmatic Join - Ref.: 00767738 - Cromada - DOCOL</t>
  </si>
  <si>
    <t>3.1.29</t>
  </si>
  <si>
    <t>Torneira de mesa - Ref.: 00444506 - Linha Pressmatic - Cromada - DOCOL</t>
  </si>
  <si>
    <t>3.1.30</t>
  </si>
  <si>
    <t>Torneira de mesa com fechamento automático para lavatório Decamatic Eco - Ref.: 1173.C.CONF - Cromado - DECA (PNE)</t>
  </si>
  <si>
    <t>3.1.31</t>
  </si>
  <si>
    <t>Torneira de parede - Ref.: 1168 C35 - Linha Aspen - Cromada - DECA</t>
  </si>
  <si>
    <t>3.1.32</t>
  </si>
  <si>
    <t>Torneira multiuso cromada - DECA</t>
  </si>
  <si>
    <t>3.1.33</t>
  </si>
  <si>
    <t xml:space="preserve">Caixa acoplada para Bacia Sanitária -  Acionamento DUO - Linha Ravena - Ref.:CD.00F.17 - Cor: Branca = DECA - (Complemento Bacia Sanitária Ref.: P.909.17)                                                                                                  </t>
  </si>
  <si>
    <t>3.1.34</t>
  </si>
  <si>
    <t xml:space="preserve">Caixa acoplada para Bacia Sanitári - Ecoflush - Linha Azalea Plus - Ref.: 351570 - Cor: Branca - CELITE - (Complemento Bacia Sanitária Ref.:351570)         </t>
  </si>
  <si>
    <t>3.1.35</t>
  </si>
  <si>
    <t xml:space="preserve">Caixa acoplada para Bacia Sanitária - Acionamento Duo - Linha Vogue Plus - Ref.: CDC.01F.17 -  Cor: Branca - DECA - (Complemento Bacia Sanitária - Ref.: P.515.17)                                                                                                                                                                                       </t>
  </si>
  <si>
    <t>3.1.36</t>
  </si>
  <si>
    <t>Caixa acoplada para Bacia Sanitária  - Linha Acesso Ecoflush - Ref.: 31359 - Cor: Branca - CELITE - (Complemento Bacia Sanitária - Ref.: 31359)</t>
  </si>
  <si>
    <t>3.1.37</t>
  </si>
  <si>
    <t>Caixa Descarga embutida - Ref.: M 9000 DW, inclusive acabamento para caixa descarga - Linha Elegance - Cód.: A604280210 - Areia - MONTANA</t>
  </si>
  <si>
    <t>3.1.38</t>
  </si>
  <si>
    <t>Tubo de descarga para válvula flexível com joelho azul 1 1/2" e anel de borracha</t>
  </si>
  <si>
    <t>3.1.39</t>
  </si>
  <si>
    <t>Válvula de descarga metálica com registro acoplado e canopla Ø 32 mm (1 1/4") ou 40 mm (1 1/2")</t>
  </si>
  <si>
    <t>3.1.40</t>
  </si>
  <si>
    <t>Válvula de escoamento para lavatório 1603 - 1" x 1 1/2"</t>
  </si>
  <si>
    <t>3.1.41</t>
  </si>
  <si>
    <t>Válvula de escoamento para pia americana 1623 - 1 1/2" x 2"</t>
  </si>
  <si>
    <t>3.1.42</t>
  </si>
  <si>
    <t>Gabinete branco p/ pia da Copa</t>
  </si>
  <si>
    <t>3.1.43</t>
  </si>
  <si>
    <t>Central de Alarme de Deficiente Arcor</t>
  </si>
  <si>
    <t>3.1.44</t>
  </si>
  <si>
    <t>Barras de apoio, para lavatório e Bacia Sanitária - Deca Linha Conforto, ref. 2310C (PNE)</t>
  </si>
  <si>
    <t>3.1.45</t>
  </si>
  <si>
    <t xml:space="preserve">Barra de Apoio 40cm - Ref.:2310.I.040.POL - Cromado - DECA - Escovado                                                                                                                                                                                        </t>
  </si>
  <si>
    <t>3.1.46</t>
  </si>
  <si>
    <t>Barra de Apoio 40cm - Ref.: 00446616 - Cromado - DOCOL - Escovado</t>
  </si>
  <si>
    <t>3.1.47</t>
  </si>
  <si>
    <t>Barra de Apoio 80cm - Ref.:2310.I.080.POL - Cromado - DECA - Escovado</t>
  </si>
  <si>
    <t>3.1.48</t>
  </si>
  <si>
    <t>Barra de Apoio 80cm - Ref.:00446416 - Cromado - DOCOL - Escovado</t>
  </si>
  <si>
    <t>3.2</t>
  </si>
  <si>
    <t>VÁLVULAS E REGISTROS</t>
  </si>
  <si>
    <t>3.2.1</t>
  </si>
  <si>
    <t>Registro de esfera Ø entre 15 mm (1/2") e 25 mm  (1")</t>
  </si>
  <si>
    <t>3.2.2</t>
  </si>
  <si>
    <t>Registro de esfera Ø entre 32 mm (1 1/4") e 50 mm (2")</t>
  </si>
  <si>
    <t>3.2.3</t>
  </si>
  <si>
    <t>Registro de esfera Ø entre 65 mm (2 1/2") e 100 mm (4")</t>
  </si>
  <si>
    <t>3.2.4</t>
  </si>
  <si>
    <t>Registro de gaveta bruto Ø 15 mm (1/2")</t>
  </si>
  <si>
    <t>3.2.5</t>
  </si>
  <si>
    <t>Registro de gaveta bruto Ø 20 mm (3/4")</t>
  </si>
  <si>
    <t>3.2.6</t>
  </si>
  <si>
    <t>Registro de gaveta bruto Ø 25 mm (1")</t>
  </si>
  <si>
    <t>3.2.7</t>
  </si>
  <si>
    <t>Registro de gaveta bruto Ø 32 mm (1 1/4")</t>
  </si>
  <si>
    <t>3.2.8</t>
  </si>
  <si>
    <t>Registro de gaveta bruto Ø 40 mm (1 1/2")</t>
  </si>
  <si>
    <t>3.2.9</t>
  </si>
  <si>
    <t>Registro de gaveta bruto Ø 50 mm (2")</t>
  </si>
  <si>
    <t>3.2.10</t>
  </si>
  <si>
    <t>Registro de gaveta bruto Ø 65 mm (2 1/2")</t>
  </si>
  <si>
    <t>3.2.11</t>
  </si>
  <si>
    <t>Registro de gaveta bruto Ø 80 mm (3")</t>
  </si>
  <si>
    <t>3.2.12</t>
  </si>
  <si>
    <t>Registro de gaveta bruto Ø 100 mm (4")</t>
  </si>
  <si>
    <t>3.2.13</t>
  </si>
  <si>
    <t>Registro de gaveta com canopla Ø 15 mm (1/2")</t>
  </si>
  <si>
    <t>3.2.14</t>
  </si>
  <si>
    <t>Registro de gaveta com canopla Ø 20 mm (3/4")</t>
  </si>
  <si>
    <t>3.2.15</t>
  </si>
  <si>
    <t>Registro de gaveta com canopla Ø 25 mm (1")</t>
  </si>
  <si>
    <t>3.2.16</t>
  </si>
  <si>
    <t>Registro de gaveta com canopla Ø 32 mm (1 1/4")</t>
  </si>
  <si>
    <t>3.2.17</t>
  </si>
  <si>
    <t>Registro de gaveta com canopla Ø 40 mm (1 1/2")</t>
  </si>
  <si>
    <t>3.2.18</t>
  </si>
  <si>
    <t>Registro de pressão com canopla Ø 15 mm (1/2")</t>
  </si>
  <si>
    <t>3.2.19</t>
  </si>
  <si>
    <t>Registro de pressão com canopla Ø 20 mm (3/4")</t>
  </si>
  <si>
    <t>3.2.20</t>
  </si>
  <si>
    <t>Registro de pressão com canopla Ø 25 mm (1")</t>
  </si>
  <si>
    <t>3.2.21</t>
  </si>
  <si>
    <t>Válvula de retenção horizontal ou vertical Ø 15 mm (1/2")</t>
  </si>
  <si>
    <t>3.2.22</t>
  </si>
  <si>
    <t>Válvula de retenção horizontal ou vertical Ø 20 mm (3/4")</t>
  </si>
  <si>
    <t>3.2.23</t>
  </si>
  <si>
    <t>Válvula de retenção horizontal ou vertical Ø 25 mm (1")</t>
  </si>
  <si>
    <t>3.2.24</t>
  </si>
  <si>
    <t>Válvula de retenção horizontal ou vertical Ø 32 mm (1 1/4")</t>
  </si>
  <si>
    <t>3.2.25</t>
  </si>
  <si>
    <t>Válvula de retenção horizontal ou vertical Ø 40 mm (1 1/2")</t>
  </si>
  <si>
    <t>3.2.26</t>
  </si>
  <si>
    <t>Válvula de retenção horizontal ou vertical Ø 50 mm (2")</t>
  </si>
  <si>
    <t>3.2.27</t>
  </si>
  <si>
    <t>Válvula de retenção horizontal ou vertical Ø 65 mm (2 1/2")</t>
  </si>
  <si>
    <t>3.2.28</t>
  </si>
  <si>
    <t>Válvula de retenção horizontal ou vertical Ø 80 mm (3")</t>
  </si>
  <si>
    <t>3.2.29</t>
  </si>
  <si>
    <t>Válvula de retenção horizontal ou vertical Ø 100 mm (4")</t>
  </si>
  <si>
    <t>3.3</t>
  </si>
  <si>
    <t>ÁGUA FRIA</t>
  </si>
  <si>
    <t>3.3.1</t>
  </si>
  <si>
    <t>Registro de pressão Modelo Brasil PN12 - 20 mm</t>
  </si>
  <si>
    <t>3.3.2</t>
  </si>
  <si>
    <t>Registro de pressão Modelo Brasil PN12 - 25 mm</t>
  </si>
  <si>
    <t>3.3.3</t>
  </si>
  <si>
    <t>Tubo de cobre soldável Ø 15 mm (1/2") - Incluindo conexões e acessórios</t>
  </si>
  <si>
    <t>3.3.4</t>
  </si>
  <si>
    <t>Tubo de cobre soldável Ø 22 mm (3/4")- Incluindo conexões e acessórios</t>
  </si>
  <si>
    <t>3.3.5</t>
  </si>
  <si>
    <t>Tubo de cobre soldável Ø 28 mm (1") - Incluindo conexões e acessórios</t>
  </si>
  <si>
    <t>3.3.6</t>
  </si>
  <si>
    <t>Tubo de cobre soldável Ø 35 mm (1 1/4") - Incluindo conexões e acessórios</t>
  </si>
  <si>
    <t>3.3.7</t>
  </si>
  <si>
    <t>Tubo de cobre soldável Ø 42 mm (1 1/2") - Incluindo conexões e acessórios</t>
  </si>
  <si>
    <t>3.3.8</t>
  </si>
  <si>
    <t>Tubo de cobre soldável Ø 54 mm (2") - Incluindo conexões e acessórios</t>
  </si>
  <si>
    <t>3.3.9</t>
  </si>
  <si>
    <t>Tubo de polipropileno PN12 - 20 mm - incluindo conexões e acessórios</t>
  </si>
  <si>
    <t>3.3.10</t>
  </si>
  <si>
    <t>Tubo de polipropileno PN12 - 25 mm - incluindo conexões e acessórios</t>
  </si>
  <si>
    <t>3.3.11</t>
  </si>
  <si>
    <t>Tubo de polipropileno PN12 - 32 mm - incluindo conexões e acessórios</t>
  </si>
  <si>
    <t>3.3.12</t>
  </si>
  <si>
    <t>Tubo de polipropileno PN12 - 40 mm - incluindo conexões e acessórios</t>
  </si>
  <si>
    <t>3.3.13</t>
  </si>
  <si>
    <t>Tubo de polipropileno PN12 - 50 mm - incluindo conexões e acessórios</t>
  </si>
  <si>
    <t>3.3.14</t>
  </si>
  <si>
    <t>Tubo de polipropileno PN12 - 63 mm - incluindo conexões e acessórios</t>
  </si>
  <si>
    <t>3.3.15</t>
  </si>
  <si>
    <t>Tubo de polipropileno PN12 - 75 mm - incluindo conexões e acessórios</t>
  </si>
  <si>
    <t>3.3.16</t>
  </si>
  <si>
    <t>Tubo de polipropileno PN12 - 90 mm - incluindo conexões e acessórios</t>
  </si>
  <si>
    <t>3.3.17</t>
  </si>
  <si>
    <t>Tubo de polipropileno PN12 - 110 mm - incluindo conexões e acessórios</t>
  </si>
  <si>
    <t>3.3.18</t>
  </si>
  <si>
    <t>Tubo de PVC soldável Ø 20 mm  - Incluindo conexões e acessórios - TIGRE/ AMANCO</t>
  </si>
  <si>
    <t>3.3.19</t>
  </si>
  <si>
    <t>Tubo de PVC soldável Ø 25 mm  - Incluindo conexões e acessórios - TIGRE/ AMANCO</t>
  </si>
  <si>
    <t>3.3.20</t>
  </si>
  <si>
    <t>Tubo de PVC soldável Ø 32 mm  - Incluindo conexões e acessórios - TIGRE / AMANCO</t>
  </si>
  <si>
    <t>3.3.21</t>
  </si>
  <si>
    <t>Tubo de PVC soldável Ø 40 mm  - Incluindo conexões e acessórios - TIGRE / AMANCO</t>
  </si>
  <si>
    <t>3.3.22</t>
  </si>
  <si>
    <t>Tubo de PVC soldável Ø 50 mm  - Incluindo conexões e acessórios - TIGRE / AMANCO</t>
  </si>
  <si>
    <t>3.3.23</t>
  </si>
  <si>
    <t>Tubo de PVC soldável Ø 60 mm  - Incluindo conexões e acessórios - TIGRE / AMANCO</t>
  </si>
  <si>
    <t>3.3.24</t>
  </si>
  <si>
    <t>Tubo de PVC soldável Ø 75 mm  - Incluindo conexões e acessórios - TIGRE / AMANCO</t>
  </si>
  <si>
    <t>3.3.25</t>
  </si>
  <si>
    <t>Tubo de PVC soldável Ø 85 mm  - Incluindo conexões e acessórios - TIGRE / AMANCO</t>
  </si>
  <si>
    <t>3.3.26</t>
  </si>
  <si>
    <t>Tubo de PVC soldável Ø 110 mm - Incluindo conexões e acessórios - TIGRE / AMANCO</t>
  </si>
  <si>
    <t>3.4</t>
  </si>
  <si>
    <t>ÁGUAS PLUVIAIS</t>
  </si>
  <si>
    <t>3.4.1</t>
  </si>
  <si>
    <t>Tubo de PVC rígido com junta elástica, Ø 75 mm - incluindo conexões e acessórios - TIGRE / AMANCO</t>
  </si>
  <si>
    <t>3.4.2</t>
  </si>
  <si>
    <t>Tubo de PVC rígido com junta elástica, Ø 100 mm - incluindo conexões e acessórios - TIGRE / AMANCO</t>
  </si>
  <si>
    <t>3.4.3</t>
  </si>
  <si>
    <t>Tubo de PVC rígido com junta elástica, Ø 150 mm - incluindo conexões e acessórios - TIGRE / AMANCO</t>
  </si>
  <si>
    <t>3.4.4</t>
  </si>
  <si>
    <t>Tampão para caixa de inspeção com inscrição 'Água Pluvial" ferro fundido ductil, articulado com anel de Polietileno, carga de ruptura 30 tf Ø  600mm - FUMINAS / SAINT GOBAIN</t>
  </si>
  <si>
    <t>3.5</t>
  </si>
  <si>
    <t>ESGOTO</t>
  </si>
  <si>
    <t>3.5.1</t>
  </si>
  <si>
    <t>Tubo de PVC rígido com junta elástica Ø 40 mm  - incluindo conexões e acessórios - TIGRE / AMANCO</t>
  </si>
  <si>
    <t>3.5.2</t>
  </si>
  <si>
    <t>Tubo de PVC rígido com junta elástica Ø 50 mm  - incluindo conexões e acessórios - TIGRE / AMANCO</t>
  </si>
  <si>
    <t>3.5.3</t>
  </si>
  <si>
    <t>Tubo de PVC rígido com junta elástica Ø 75 mm  - incluindo conexões e acessórios - TIGRE / AMANCO</t>
  </si>
  <si>
    <t>3.5.4</t>
  </si>
  <si>
    <t>Tubo de PVC rígido com junta elástica Ø 100 mm  - incluindo conexões e acessórios - TIGRE / AMANCO</t>
  </si>
  <si>
    <t>3.5.5</t>
  </si>
  <si>
    <t>Tubo de PVC rígido com junta elástica Ø 150 mm  - incluindo conexões e acessórios - TIGRE / AMANCO</t>
  </si>
  <si>
    <t>3.6</t>
  </si>
  <si>
    <t>CAIXAS, RALOS E GRELHAS</t>
  </si>
  <si>
    <t>3.6.1</t>
  </si>
  <si>
    <t>Caixa de gordura com cesto de limpeza (50x100mm)</t>
  </si>
  <si>
    <t>3.6.2</t>
  </si>
  <si>
    <t>Caixa de inspeção de alvenaria (60x60x60cm) inclusive tampa e respiro</t>
  </si>
  <si>
    <t>3.6.3</t>
  </si>
  <si>
    <t>Caixa seca PVC saida 40 mm</t>
  </si>
  <si>
    <t>3.6.4</t>
  </si>
  <si>
    <t>Caixa sifonada de PVC rígido , 100 x 100 x 50 mm</t>
  </si>
  <si>
    <t>3.6.5</t>
  </si>
  <si>
    <t>Caixa sifonada de PVC rígido , 100 x 150 x 50 mm</t>
  </si>
  <si>
    <t>3.6.6</t>
  </si>
  <si>
    <t>Caixa sifonada de PVC rígido , 150 x 150 x 50 mm</t>
  </si>
  <si>
    <t>3.6.7</t>
  </si>
  <si>
    <t>Caixa sifonada de PVC rígido , 150 x 150 x 75 mm</t>
  </si>
  <si>
    <t>3.6.8</t>
  </si>
  <si>
    <t>Caixa sifonada de PVC rígido , 150 x 185 x 75 mm</t>
  </si>
  <si>
    <t>3.6.9</t>
  </si>
  <si>
    <t>Caixa sifonada de PVC rígido , 150 x 200 x 75 mm</t>
  </si>
  <si>
    <t>3.6.10</t>
  </si>
  <si>
    <t>Grelha hemisférica de ferro fundido Ø 75 mm (3'')</t>
  </si>
  <si>
    <t>3.6.11</t>
  </si>
  <si>
    <t>Grelha hemisférica de ferro fundido Ø 100 mm (4'')</t>
  </si>
  <si>
    <t>3.6.12</t>
  </si>
  <si>
    <t>Grelha hemisférica de ferro fundido Ø 150 mm (6'')</t>
  </si>
  <si>
    <t>3.6.13</t>
  </si>
  <si>
    <t>Grelha hemisférica flexível linha Aquapluv Style - Tigre</t>
  </si>
  <si>
    <t>3.6.14</t>
  </si>
  <si>
    <t>Grelha em ferro fundido para Água Pluvial (L=15cm)</t>
  </si>
  <si>
    <t>3.6.15</t>
  </si>
  <si>
    <t>Grelha redonda PERFLEX com fecho cromada - 10cm</t>
  </si>
  <si>
    <t>3.6.16</t>
  </si>
  <si>
    <t>Grelha redonda PERFLEX com fecho cromada - 15cm</t>
  </si>
  <si>
    <t>3.6.17</t>
  </si>
  <si>
    <t>Ralo escamoteável com grelha redonda em aço inox de alto brilho com caixilho e fecho - Esteves</t>
  </si>
  <si>
    <t>3.6.19</t>
  </si>
  <si>
    <t>Ralo de PVC rígido sifonado, 100 X40 mm</t>
  </si>
  <si>
    <t>3.6.20</t>
  </si>
  <si>
    <t>Tampa Cega PVC p/ Caixa Sifonada e Seca 100 mm</t>
  </si>
  <si>
    <t>3.7</t>
  </si>
  <si>
    <t>REDE DE SPRINKLERS</t>
  </si>
  <si>
    <t>3.7.1</t>
  </si>
  <si>
    <t>Bico de sprinkler tipo pendente, completo com canopla cromada</t>
  </si>
  <si>
    <t>pto</t>
  </si>
  <si>
    <t>3.7.2</t>
  </si>
  <si>
    <t>Tubo de aço galvanizado com costura Ø 15 mm (1/2")  - incluindo conexões e acessórios</t>
  </si>
  <si>
    <t>3.7.3</t>
  </si>
  <si>
    <t>Tubo de aço galvanizado com costura Ø 20 mm (3/4")  - incluindo conexões e acessórios</t>
  </si>
  <si>
    <t>3.7.4</t>
  </si>
  <si>
    <t>Tubo de aço galvanizado com costura Ø 25 mm (1")  - incluindo conexões e acessórios</t>
  </si>
  <si>
    <t>3.7.5</t>
  </si>
  <si>
    <t>Tubo de aço galvanizado com costura Ø 32 mm (1 1/4")  - incluindo conexões e acessórios</t>
  </si>
  <si>
    <t>3.7.6</t>
  </si>
  <si>
    <t>Tubo de aço galvanizado com costura Ø 40 mm (1 1/2")  - incluindo conexões e acessórios</t>
  </si>
  <si>
    <t>3.7.7</t>
  </si>
  <si>
    <t>Tubo de aço galvanizado com costura Ø 50 mm (2")  - incluindo conexões e acessórios</t>
  </si>
  <si>
    <t>3.7.8</t>
  </si>
  <si>
    <t>Tubo de aço galvanizado com costura Ø 65 mm (2 1/2")  - incluindo conexões e acessórios</t>
  </si>
  <si>
    <t>3.7.9</t>
  </si>
  <si>
    <t>Tubo de aço galvanizado com costura Ø 80 mm (3")  - incluindo conexões e acessórios</t>
  </si>
  <si>
    <t>3.7.10</t>
  </si>
  <si>
    <t>Tubo de aço galvanizado com costura Ø 100 mm (4")  - incluindo conexões e acessórios</t>
  </si>
  <si>
    <t>3.7.11</t>
  </si>
  <si>
    <t>Tubo de aço galvanizado com costura Ø 150 mm (6")  - incluindo conexões e acessórios</t>
  </si>
  <si>
    <t>3.7.12</t>
  </si>
  <si>
    <t>Remanejamento de sprinklers</t>
  </si>
  <si>
    <t>3.7.13</t>
  </si>
  <si>
    <t>Sistema de detecção e combate a incêndio (detector de fumaça + tubo galvanizado e acessórios) ( marca de referencia ref. ASCAEL )</t>
  </si>
  <si>
    <t>3.7.14</t>
  </si>
  <si>
    <t>Central detecção de fumaça ( marca de referencia ref. ASCAEL )</t>
  </si>
  <si>
    <t>und</t>
  </si>
  <si>
    <t>3.8</t>
  </si>
  <si>
    <t>REDE DE HIDRANTES</t>
  </si>
  <si>
    <t>3.8.1</t>
  </si>
  <si>
    <t>Caixa de hidrante simples completo, com mangueiras, chaves e Esguichos</t>
  </si>
  <si>
    <t>3.8.2</t>
  </si>
  <si>
    <t>Caixa de hidrante dupla completo, com mangueiras, chaves e Esguichos</t>
  </si>
  <si>
    <t>3.8.3</t>
  </si>
  <si>
    <t>Remanejamento de hidrantes</t>
  </si>
  <si>
    <t>3.8.4</t>
  </si>
  <si>
    <t>Tampão para caixa de inspeção com inscrição 'Esgoto" ferro fundido ductil, articulado com anel de Polietileno, carga de ruptura 30 tf Ø  600mm - FUMINAS / SAINT GOBAIN</t>
  </si>
  <si>
    <t>3.8.5</t>
  </si>
  <si>
    <t>Tubo de aço carbono din 2440 sem costura para solda - 2 1/2"</t>
  </si>
  <si>
    <t>3.8.6</t>
  </si>
  <si>
    <t>Tubo de aço carbono din 2440 sem costura para solda - 3"</t>
  </si>
  <si>
    <t>3.8.7</t>
  </si>
  <si>
    <t>Tubo de aço carbono din 2440 sem costura para solda - 4"</t>
  </si>
  <si>
    <t>3.8.8</t>
  </si>
  <si>
    <t>Tubo de aço carbono din 2440 sem costura para solda - 6"</t>
  </si>
  <si>
    <t>3.8.9</t>
  </si>
  <si>
    <t>Válvula angular 45 21/2" adaptavel com storz</t>
  </si>
  <si>
    <t>3.8.10</t>
  </si>
  <si>
    <t>Válvula de Retenção Horizontal de Bronze de 3''</t>
  </si>
  <si>
    <t>3.8.11</t>
  </si>
  <si>
    <t>Válvula de Retenção Vertical de Bronze de 3''</t>
  </si>
  <si>
    <t>3.8.12</t>
  </si>
  <si>
    <t xml:space="preserve">Válvula de Retenção Horizontal de Bronze de 2 1/2' </t>
  </si>
  <si>
    <t>3.8.13</t>
  </si>
  <si>
    <t>Válvula de Retenção Vertical de Bronze de 2 1/2''</t>
  </si>
  <si>
    <t>3.9</t>
  </si>
  <si>
    <t>BOMBAS E ACESSÓRIOS</t>
  </si>
  <si>
    <t>3.9.1</t>
  </si>
  <si>
    <t>Acionador manual com botoeira Liga-Desliga para bomba hidráulica</t>
  </si>
  <si>
    <t>3.9.2</t>
  </si>
  <si>
    <t>Bomba de incêncio trifásica 3 CV (MARCA THEBE)</t>
  </si>
  <si>
    <t>3.9.3</t>
  </si>
  <si>
    <t>Bomba de incêncio trifásica 4 CV (MARCA THEBE)</t>
  </si>
  <si>
    <t>3.9.4</t>
  </si>
  <si>
    <t>Bomba de incêncio trifásica 5 CV (MARCA THEBE)</t>
  </si>
  <si>
    <t>3.9.5</t>
  </si>
  <si>
    <t>Bomba de recalque 1,5 cv</t>
  </si>
  <si>
    <t>3.9.6</t>
  </si>
  <si>
    <t>Manutenção e teste hidráulico dos hidrantes</t>
  </si>
  <si>
    <t>3.10</t>
  </si>
  <si>
    <t>RESERVATÓRIOS PARA ÁGUA</t>
  </si>
  <si>
    <t>3.10.1</t>
  </si>
  <si>
    <t>RESERVATÓRIO d'água de polietileno de alta densidade, cilíndrico, capacidade 250 litros</t>
  </si>
  <si>
    <t>3.10.2</t>
  </si>
  <si>
    <t>RESERVATÓRIO d'água de polietileno de alta densidade, cilíndrico, capacidade 500 litros</t>
  </si>
  <si>
    <t>3.10.3</t>
  </si>
  <si>
    <t>RESERVATÓRIO d'água de polietileno de alta densidade, cilíndrico, capacidade 1000 litros</t>
  </si>
  <si>
    <t>3.10.4</t>
  </si>
  <si>
    <t>RESERVATÓRIO d'água de polietileno de alta densidade, cilíndrico, capacidade 1750 litros</t>
  </si>
  <si>
    <t>3.10.5</t>
  </si>
  <si>
    <t>RESERVATÓRIO d'água de polietileno de alta densidade, cilíndrico, capacidade 5000 litros</t>
  </si>
  <si>
    <t>3.10.6</t>
  </si>
  <si>
    <t>Torneira de bóia Ø 15 mm (1/2")</t>
  </si>
  <si>
    <t>3.10.7</t>
  </si>
  <si>
    <t>Torneira de bóia Ø 20 mm (3/4")</t>
  </si>
  <si>
    <t>3.10.8</t>
  </si>
  <si>
    <t>Torneira de bóia Ø 25 mm (1")</t>
  </si>
  <si>
    <t>4.</t>
  </si>
  <si>
    <t>INSTALAÇÕES AR CONDICIONADO</t>
  </si>
  <si>
    <t>4.1</t>
  </si>
  <si>
    <t>EQUIPAMENTOS - SOMENTE INSTALAÇÃO</t>
  </si>
  <si>
    <t>4.1.1</t>
  </si>
  <si>
    <t xml:space="preserve">Cortina de ar - SOMENTE INSTALAÇÃO </t>
  </si>
  <si>
    <t>4.1.2</t>
  </si>
  <si>
    <t xml:space="preserve">Fan coil 10 TR - SOMENTE INSTALAÇÃO </t>
  </si>
  <si>
    <t>4.1.3</t>
  </si>
  <si>
    <t xml:space="preserve">Split tipo hi-wall 9000 Btu/h - controle remoto sem fio - SOMENTE INSTALAÇÃO </t>
  </si>
  <si>
    <t>4.1.4</t>
  </si>
  <si>
    <t xml:space="preserve">Split tipo K7 - 4 vias - 36.000 Btu/h - controle remoto sem fio - SOMENTE INSTALAÇÃO </t>
  </si>
  <si>
    <t>4.1.5</t>
  </si>
  <si>
    <t xml:space="preserve">Split tipo K7 - 4 vias - 48.000 Btu/h - controle remoto sem fio - SOMENTE INSTALAÇÃO </t>
  </si>
  <si>
    <t>4.1.6</t>
  </si>
  <si>
    <t xml:space="preserve">Split tipo K7 - 4 vias - 52.000 Btu/h - controle remoto sem fio - SOMENTE INSTALAÇÃO </t>
  </si>
  <si>
    <t>4.1.7</t>
  </si>
  <si>
    <t xml:space="preserve">Split tipo K7 - 4 vias - 60.000 Btu/h - controle remoto sem fio - SOMENTE INSTALAÇÃO </t>
  </si>
  <si>
    <t>4.2</t>
  </si>
  <si>
    <t>EQUIPAMENTOS - FORNECIMENTO E INSTALAÇÃO</t>
  </si>
  <si>
    <t>4.2.1</t>
  </si>
  <si>
    <t>Cortina de ar - FORNECIMENTO E INSTALAÇÃO</t>
  </si>
  <si>
    <t>4.2.2</t>
  </si>
  <si>
    <t>Fan coil 10 TR - FORNECIMENTO E INSTALAÇÃO</t>
  </si>
  <si>
    <t>4.2.3</t>
  </si>
  <si>
    <t>Split tipo hi-wall 9000 Btu/h - controle remoto sem fio - FORNECIMENTO E INSTALAÇÃO</t>
  </si>
  <si>
    <t>4.2.4</t>
  </si>
  <si>
    <t>Split tipo K7 - 4 vias - 36.000 Btu/h - controle remoto sem fio - FORNECIMENTO E INSTALAÇÃO</t>
  </si>
  <si>
    <t>4.2.5</t>
  </si>
  <si>
    <t>Split tipo K7 - 4 vias - 48.000 Btu/h - controle remoto sem fio - FORNECIMENTO E INSTALAÇÃO</t>
  </si>
  <si>
    <t>4.2.6</t>
  </si>
  <si>
    <t>Split tipo K7 - 4 vias - 52.000 Btu/h - controle remoto sem fio - FORNECIMENTO E INSTALAÇÃO</t>
  </si>
  <si>
    <t>4.2.7</t>
  </si>
  <si>
    <t>Split tipo K7 - 4 vias - 60.000 Btu/h - controle remoto sem fio - FORNECIMENTO E INSTALAÇÃO</t>
  </si>
  <si>
    <t>4.3</t>
  </si>
  <si>
    <t>RENOVAÇÃO E EXAUSTÃO DE AR</t>
  </si>
  <si>
    <t>4.3.1</t>
  </si>
  <si>
    <t>Caixa de ventilação (especificações conforme projeto)</t>
  </si>
  <si>
    <t>4.3.2</t>
  </si>
  <si>
    <t>Damper p/ regulagem de ar  (dimensões conforme projeto)</t>
  </si>
  <si>
    <t>4.3.3</t>
  </si>
  <si>
    <t>Difusor para insuflamento, em alumínio (dimensões conforme projeto)</t>
  </si>
  <si>
    <t>4.3.4</t>
  </si>
  <si>
    <t xml:space="preserve">Duto em chapa de aço galvanizado, isolado com 1" de manta de lã de vidro revestida com filme de alumínio </t>
  </si>
  <si>
    <t>4.3.5</t>
  </si>
  <si>
    <t>Duto em chapa de aço galvanizado, sem isolamento</t>
  </si>
  <si>
    <t>4.3.6</t>
  </si>
  <si>
    <t>Duto Flexível (diâmetro conforme projeto)</t>
  </si>
  <si>
    <t>4.3.7</t>
  </si>
  <si>
    <t>Exaustor centrífugo (especificações conforme projeto)</t>
  </si>
  <si>
    <t>4.3.8</t>
  </si>
  <si>
    <t>Grelha p/ exaustão de ar c/ registro (dimensões conforme projeto)</t>
  </si>
  <si>
    <t>4.3.9</t>
  </si>
  <si>
    <t>Grelha p/ insuflamento de ar, em alumínio, dupla deflexão, c/ registro de regulagem (dimensões conforme projeto)</t>
  </si>
  <si>
    <t>4.3.10</t>
  </si>
  <si>
    <t>Grelha p/ renovação de ar c/ registro (dimensões conforme projeto)</t>
  </si>
  <si>
    <t>4.3.11</t>
  </si>
  <si>
    <t>Grelha p/ retorno de ar, em alumínio, c/ aletas fixas (dimensões conforme projeto)</t>
  </si>
  <si>
    <t>4.3.12</t>
  </si>
  <si>
    <t>Veneziana para porta, em alumínio, c/ dupla moldura (dimensões conforme projeto)</t>
  </si>
  <si>
    <t>4.3.13</t>
  </si>
  <si>
    <t>Exaustor cent. Mod. TD1300/250 HS - Soler &amp; Palau</t>
  </si>
  <si>
    <t>4.3.14</t>
  </si>
  <si>
    <t>Exaustor cent. Mod. TD1000/250 HS - Soler &amp; Palau</t>
  </si>
  <si>
    <t>4.3.15</t>
  </si>
  <si>
    <t>Exaustor cent. Mod. TD800/200 HS - Soler &amp; Palau</t>
  </si>
  <si>
    <t>4.3.16</t>
  </si>
  <si>
    <t>Exaustor cent. Mod. TD500/150 HS - Soler &amp; Palau</t>
  </si>
  <si>
    <t>4.3.17</t>
  </si>
  <si>
    <t>Exaustor cent. Mod. TD350/150 HS - Soler &amp; Palau</t>
  </si>
  <si>
    <t>4.4</t>
  </si>
  <si>
    <t>INFRAESTRUTURA</t>
  </si>
  <si>
    <t>4.4.1</t>
  </si>
  <si>
    <t>Tubo de Cobre com isolamento flexível tipo espuma elastomérica para tubo de cobre, com espessura de 13mm, com espessura 3/8" (Incluso Adesivo Armaflex 520, Cinta Auto Adesiva, Suportes, Curvas, Solda, Vácuo, Desidratação, limpeza e teste da rede frigorígena e Carga adicional de gás refrigerante conforme especificação do fabricante)</t>
  </si>
  <si>
    <t>4.4.2</t>
  </si>
  <si>
    <t>Tubo de Cobre com isolamento flexível tipo espuma elastomérica para tubo de cobre, com espessura de 13mm, com espessura 1/2" (Incluso Adesivo Armaflex 520, Cinta Auto Adesiva, Suportes, Curvas, Solda, Vácuo, Desidratação, limpeza e teste da rede frigorígena e Carga adicional de gás refrigerante conforme especificação do fabricante)</t>
  </si>
  <si>
    <t>4.4.3</t>
  </si>
  <si>
    <t>Tubo de Cobre com isolamento flexível tipo espuma elastomérica para tubo de cobre, com espessura de 13mm, com espessura 7/8". (Incluso Adesivo Armaflex 520, Cinta Auto Adesiva, Suportes, Curvas, Solda, Vácuo, Desidratação, limpeza e teste da rede frigorígena e Carga adicional de gás refrigerante conforme especificação do fabricante)</t>
  </si>
  <si>
    <t>4.4.4</t>
  </si>
  <si>
    <t>Tubo de Cobre com isolamento flexível tipo espuma elastomérica para tubo de cobre, com espessura de 13mm, com espessura 1" (Incluso Adesivo Armaflex 520, Cinta Auto Adesiva, Suportes, Curvas, Solda, Vácuo, Desidratação, limpeza e teste da rede frigorígena e Carga adicional de gás refrigerante conforme especificação do fabricante)</t>
  </si>
  <si>
    <t>4.4.5</t>
  </si>
  <si>
    <t>Tubo de Cobre com isolamento flexível tipo espuma elastomérica para tubo de cobre, com espessura de 13mm, com espessura 1/4" (Incluso Adesivo Armaflex 520, Cinta Auto Adesiva, Suportes, Curvas, Solda, Vácuo, Desidratação, limpeza e teste da rede frigorígena e Carga adicional de gás refrigerante conforme especificação do fabricante)</t>
  </si>
  <si>
    <t>4.4.6</t>
  </si>
  <si>
    <t>Tubo de Cobre com isolamento flexível tipo espuma elastomérica para tubo de cobre, com espessura de 13mm, com espessura 1 3/8". (Incluso Adesivo Armaflex 520, Cinta Auto Adesiva, Suportes, Curvas, Solda, Vácuo, Desidratação, limpeza e teste da rede frigorígena e Carga adicional de gás refrigerante conforme especificação do fabricante)</t>
  </si>
  <si>
    <t>4.4.7</t>
  </si>
  <si>
    <t>Ventokit para exaustão mecânica, sistema completo, dutado até a área externa com grelha</t>
  </si>
  <si>
    <t>5.</t>
  </si>
  <si>
    <t>ITENS AREA DE APOIO</t>
  </si>
  <si>
    <t>5.1</t>
  </si>
  <si>
    <t>Cadeira Plástico Sofia branca 82X45</t>
  </si>
  <si>
    <t>5.2</t>
  </si>
  <si>
    <t>Puff cubo 43 Moblo</t>
  </si>
  <si>
    <t>5.3</t>
  </si>
  <si>
    <t>Bancada para alimentação funcionário em marcenaria 60 x 55 (opção de medida, de acordo com cada projeto)</t>
  </si>
  <si>
    <t>5.4</t>
  </si>
  <si>
    <t>Bancada para alimentação funcionário em marcenaria 120 x 55 (opção de medida, de acordo com cada projeto)</t>
  </si>
  <si>
    <t>5.5</t>
  </si>
  <si>
    <t>Bancada para alimentação funcionário em marcenaria 180 x 55 (opção de medida, de acordo com cada projeto)</t>
  </si>
  <si>
    <t>5.6</t>
  </si>
  <si>
    <t>Armário suspenso (copa, com nicho para micro-ondas) 180x40 (h.100)</t>
  </si>
  <si>
    <t>5.7</t>
  </si>
  <si>
    <t>Gabinete em marcenaria 120x50</t>
  </si>
  <si>
    <t>5.8</t>
  </si>
  <si>
    <t>Sofá Hit Verde 2 lugares cor PANTONE 3415C ou marrom (120x68)</t>
  </si>
  <si>
    <t>5.9</t>
  </si>
  <si>
    <t>Sofá Hit Verde 3 lugares cor PANTONE 3415C ou marrom (174x68)</t>
  </si>
  <si>
    <t>5.10</t>
  </si>
  <si>
    <t>Fornecimento e instalação de filtro Eletrolux PA21 (para espaço Vitat)</t>
  </si>
  <si>
    <t>5.11</t>
  </si>
  <si>
    <t>Cadeira Farma Presidente Branca (para espaço Vitat)</t>
  </si>
  <si>
    <t>6.</t>
  </si>
  <si>
    <t>OMISSOS</t>
  </si>
  <si>
    <t>6.1</t>
  </si>
  <si>
    <t>Troca de fechadura colonial da porta de entrada</t>
  </si>
  <si>
    <t>6.2</t>
  </si>
  <si>
    <t xml:space="preserve">Troca de vidro quebrado na janela </t>
  </si>
  <si>
    <t>6.3</t>
  </si>
  <si>
    <t>Troca da fechadura auxiliar inferior da porta principal</t>
  </si>
  <si>
    <t>6.4</t>
  </si>
  <si>
    <t xml:space="preserve">Adequação e correção das portas </t>
  </si>
  <si>
    <t>Fornecedor</t>
  </si>
  <si>
    <t>Unid.</t>
  </si>
  <si>
    <t>CENTRO OESTE</t>
  </si>
  <si>
    <t>NORDESTE</t>
  </si>
  <si>
    <t>SUDESTE</t>
  </si>
  <si>
    <t>NORTE</t>
  </si>
  <si>
    <t>SUL</t>
  </si>
  <si>
    <t>Estado de origem</t>
  </si>
  <si>
    <t>--&gt; RAIA OU DROGASIL</t>
  </si>
  <si>
    <t>TIPOLOGIAS DE OBRA</t>
  </si>
  <si>
    <t>PADRÃO ARQUITETÔNICO</t>
  </si>
  <si>
    <t>PERFIL DE LOJA</t>
  </si>
  <si>
    <t>REGIÃO</t>
  </si>
  <si>
    <t>MUNICÍPIO</t>
  </si>
  <si>
    <t>GERENCIADORA</t>
  </si>
  <si>
    <t>AMPLIAÇÃO</t>
  </si>
  <si>
    <t>SUPER BÁSICO</t>
  </si>
  <si>
    <t>SUPER POPULAR</t>
  </si>
  <si>
    <t>ALC</t>
  </si>
  <si>
    <t>AC</t>
  </si>
  <si>
    <t>Abadia de Goiás</t>
  </si>
  <si>
    <t>GO</t>
  </si>
  <si>
    <t>INTERNO - RD</t>
  </si>
  <si>
    <t>BTS</t>
  </si>
  <si>
    <t>BÁSICO</t>
  </si>
  <si>
    <t>POPULAR</t>
  </si>
  <si>
    <t>ALI</t>
  </si>
  <si>
    <t>AL</t>
  </si>
  <si>
    <t>Abadia Dos Dourados</t>
  </si>
  <si>
    <t>MG</t>
  </si>
  <si>
    <t>CMS</t>
  </si>
  <si>
    <t>CCS</t>
  </si>
  <si>
    <t>STANDARD</t>
  </si>
  <si>
    <t>HÍBRIDO</t>
  </si>
  <si>
    <t>AMC</t>
  </si>
  <si>
    <t>AM</t>
  </si>
  <si>
    <t>Abadiânia</t>
  </si>
  <si>
    <t>TEKTON</t>
  </si>
  <si>
    <t>CONSTRUÇÃO</t>
  </si>
  <si>
    <t>LUXO</t>
  </si>
  <si>
    <t>NOBRE</t>
  </si>
  <si>
    <t>AMI</t>
  </si>
  <si>
    <t>AP</t>
  </si>
  <si>
    <t>Abaeté</t>
  </si>
  <si>
    <t>DEM/CONSTRUÇÃO</t>
  </si>
  <si>
    <t>SUPER LUXO</t>
  </si>
  <si>
    <t>SUPER NOBRE</t>
  </si>
  <si>
    <t>BAC</t>
  </si>
  <si>
    <t>BA</t>
  </si>
  <si>
    <t>Abaetetuba</t>
  </si>
  <si>
    <t>PA</t>
  </si>
  <si>
    <t>REFORMA</t>
  </si>
  <si>
    <t>BAI</t>
  </si>
  <si>
    <t>CE</t>
  </si>
  <si>
    <t>Abaiara</t>
  </si>
  <si>
    <t>REFORMA C/ AUMENTO DE ÁREA</t>
  </si>
  <si>
    <t>CEC</t>
  </si>
  <si>
    <t>DF</t>
  </si>
  <si>
    <t>Abaíra</t>
  </si>
  <si>
    <t>REFORMA C/ DIMINUIÇÃO DE ÁREA</t>
  </si>
  <si>
    <t>CEI</t>
  </si>
  <si>
    <t>ES</t>
  </si>
  <si>
    <t>Abaré</t>
  </si>
  <si>
    <t>SHOPPING</t>
  </si>
  <si>
    <t>Abatiá</t>
  </si>
  <si>
    <t>PR</t>
  </si>
  <si>
    <t>ESC</t>
  </si>
  <si>
    <t>MA</t>
  </si>
  <si>
    <t>Abdon Batista</t>
  </si>
  <si>
    <t>SC</t>
  </si>
  <si>
    <t>ESI</t>
  </si>
  <si>
    <t>Abel Figueiredo</t>
  </si>
  <si>
    <t>GOC</t>
  </si>
  <si>
    <t>MS</t>
  </si>
  <si>
    <t>Abelardo Luz</t>
  </si>
  <si>
    <t>GOI</t>
  </si>
  <si>
    <t>MT</t>
  </si>
  <si>
    <t>Abre Campo</t>
  </si>
  <si>
    <t>MAC</t>
  </si>
  <si>
    <t>Abreu e Lima</t>
  </si>
  <si>
    <t>PE</t>
  </si>
  <si>
    <t>MAI</t>
  </si>
  <si>
    <t>PB</t>
  </si>
  <si>
    <t>Abreulândia</t>
  </si>
  <si>
    <t>TO</t>
  </si>
  <si>
    <t>MGC</t>
  </si>
  <si>
    <t>Acaiaca</t>
  </si>
  <si>
    <t>MGI</t>
  </si>
  <si>
    <t>PI</t>
  </si>
  <si>
    <t>Açailândia</t>
  </si>
  <si>
    <t>MSC</t>
  </si>
  <si>
    <t>Acajutiba</t>
  </si>
  <si>
    <t>MSI</t>
  </si>
  <si>
    <t>RJ</t>
  </si>
  <si>
    <t>Acará</t>
  </si>
  <si>
    <t>MTC</t>
  </si>
  <si>
    <t>RN</t>
  </si>
  <si>
    <t>Acarapé</t>
  </si>
  <si>
    <t>MTI</t>
  </si>
  <si>
    <t>RO</t>
  </si>
  <si>
    <t>Acaraú</t>
  </si>
  <si>
    <t>PAC</t>
  </si>
  <si>
    <t>RR</t>
  </si>
  <si>
    <t>Acari</t>
  </si>
  <si>
    <t>PAI</t>
  </si>
  <si>
    <t>RS</t>
  </si>
  <si>
    <t>Acauã</t>
  </si>
  <si>
    <t>PBC</t>
  </si>
  <si>
    <t>Aceguá</t>
  </si>
  <si>
    <t>PBI</t>
  </si>
  <si>
    <t>SE</t>
  </si>
  <si>
    <t>Acopiara</t>
  </si>
  <si>
    <t>PEC</t>
  </si>
  <si>
    <t>SP</t>
  </si>
  <si>
    <t>Acorizal</t>
  </si>
  <si>
    <t>PEI</t>
  </si>
  <si>
    <t>Acrelândia</t>
  </si>
  <si>
    <t>PIC</t>
  </si>
  <si>
    <t>Acreúna</t>
  </si>
  <si>
    <t>PII</t>
  </si>
  <si>
    <t>Açu</t>
  </si>
  <si>
    <t>PRC</t>
  </si>
  <si>
    <t>Açucena</t>
  </si>
  <si>
    <t>PRI</t>
  </si>
  <si>
    <t>Adamantina</t>
  </si>
  <si>
    <t>RJC</t>
  </si>
  <si>
    <t>Adelândia</t>
  </si>
  <si>
    <t>RJI</t>
  </si>
  <si>
    <t>Adolfo</t>
  </si>
  <si>
    <t>RNC</t>
  </si>
  <si>
    <t>Adrianópolis</t>
  </si>
  <si>
    <t>RNI</t>
  </si>
  <si>
    <t>Adustina</t>
  </si>
  <si>
    <t>RSC</t>
  </si>
  <si>
    <t>Afogados da Ingazeira</t>
  </si>
  <si>
    <t>RSI</t>
  </si>
  <si>
    <t>Afonso Bezerra</t>
  </si>
  <si>
    <t>SCC</t>
  </si>
  <si>
    <t>Afonso Cláudio</t>
  </si>
  <si>
    <t>SCI</t>
  </si>
  <si>
    <t>Afonso Cunha</t>
  </si>
  <si>
    <t>SEC</t>
  </si>
  <si>
    <t>Afrânio</t>
  </si>
  <si>
    <t>SEI</t>
  </si>
  <si>
    <t>Afuá</t>
  </si>
  <si>
    <t>SPC</t>
  </si>
  <si>
    <t>Agrestina</t>
  </si>
  <si>
    <t>SPI</t>
  </si>
  <si>
    <t>Agricolândia</t>
  </si>
  <si>
    <t>TOC</t>
  </si>
  <si>
    <t>Agrolândia</t>
  </si>
  <si>
    <t>TOI</t>
  </si>
  <si>
    <t>Agronômica</t>
  </si>
  <si>
    <t>Água Azul do Norte</t>
  </si>
  <si>
    <t>Água Boa</t>
  </si>
  <si>
    <t>Água Branca</t>
  </si>
  <si>
    <t>Água Clara</t>
  </si>
  <si>
    <t>Água Comprida</t>
  </si>
  <si>
    <t>Água Doce</t>
  </si>
  <si>
    <t>Água Doce do Maranhão</t>
  </si>
  <si>
    <t>Água Doce do Norte</t>
  </si>
  <si>
    <t>Água Fria</t>
  </si>
  <si>
    <t>Água Fria de Goiás</t>
  </si>
  <si>
    <t>Água Limpa</t>
  </si>
  <si>
    <t>Água Nova</t>
  </si>
  <si>
    <t>Água Preta</t>
  </si>
  <si>
    <t>Água Santa</t>
  </si>
  <si>
    <t>Aguaí</t>
  </si>
  <si>
    <t>Aguanil</t>
  </si>
  <si>
    <t>Águas Belas</t>
  </si>
  <si>
    <t>Águas da Prata</t>
  </si>
  <si>
    <t>Águas de Chapecó</t>
  </si>
  <si>
    <t>Águas de Lindóia</t>
  </si>
  <si>
    <t>Águas de Santa Bárbara</t>
  </si>
  <si>
    <t>Águas de São Pedro</t>
  </si>
  <si>
    <t>Águas Formosas</t>
  </si>
  <si>
    <t>Águas Frias</t>
  </si>
  <si>
    <t>Águas Lindas de Goiás</t>
  </si>
  <si>
    <t>Águas Mornas</t>
  </si>
  <si>
    <t>Águas Vermelhas</t>
  </si>
  <si>
    <t>Agudo</t>
  </si>
  <si>
    <t>Agudos</t>
  </si>
  <si>
    <t>Agudos do Sul</t>
  </si>
  <si>
    <t>Águia Branca</t>
  </si>
  <si>
    <t>Aguiar</t>
  </si>
  <si>
    <t>Aguiarnópolis</t>
  </si>
  <si>
    <t>Aimorés</t>
  </si>
  <si>
    <t>Aiquara</t>
  </si>
  <si>
    <t>Aiuaba</t>
  </si>
  <si>
    <t>Aiuruoca</t>
  </si>
  <si>
    <t>Ajuricaba</t>
  </si>
  <si>
    <t>Alagoa</t>
  </si>
  <si>
    <t>Alagoa Grande</t>
  </si>
  <si>
    <t>Alagoa Nova</t>
  </si>
  <si>
    <t>Alagoinha</t>
  </si>
  <si>
    <t>Alagoinha do Piauí</t>
  </si>
  <si>
    <t>Alagoinhas</t>
  </si>
  <si>
    <t>Alambari</t>
  </si>
  <si>
    <t>Albertina</t>
  </si>
  <si>
    <t>Alcântara</t>
  </si>
  <si>
    <t>Alcântaras</t>
  </si>
  <si>
    <t>Alcantil</t>
  </si>
  <si>
    <t>Alcinópolis</t>
  </si>
  <si>
    <t>Alcobaça</t>
  </si>
  <si>
    <t>Aldeias Altas</t>
  </si>
  <si>
    <t>Alecrim</t>
  </si>
  <si>
    <t>Alegre</t>
  </si>
  <si>
    <t>Alegrete</t>
  </si>
  <si>
    <t>Alegrete do Piauí</t>
  </si>
  <si>
    <t>Alegria</t>
  </si>
  <si>
    <t>Além Paraíba</t>
  </si>
  <si>
    <t>Alenquer</t>
  </si>
  <si>
    <t>Alexandria</t>
  </si>
  <si>
    <t>Alexânia</t>
  </si>
  <si>
    <t>Alfenas</t>
  </si>
  <si>
    <t>Alfredo Chaves</t>
  </si>
  <si>
    <t>Alfredo Marcondes</t>
  </si>
  <si>
    <t>Alfredo Vasconcelos</t>
  </si>
  <si>
    <t>Alfredo Wagner</t>
  </si>
  <si>
    <t>Algodão de Jandaíra</t>
  </si>
  <si>
    <t>Alhandra</t>
  </si>
  <si>
    <t>Aliança</t>
  </si>
  <si>
    <t>Aliança do Tocantins</t>
  </si>
  <si>
    <t>Almadina</t>
  </si>
  <si>
    <t>Almas</t>
  </si>
  <si>
    <t>Almeirim</t>
  </si>
  <si>
    <t>Almenara</t>
  </si>
  <si>
    <t>Almino Afonso</t>
  </si>
  <si>
    <t>Almirante Tamandaré</t>
  </si>
  <si>
    <t>Almirante Tamandaré do Sul</t>
  </si>
  <si>
    <t>Aloândia</t>
  </si>
  <si>
    <t>Alpercata</t>
  </si>
  <si>
    <t>Alpestre</t>
  </si>
  <si>
    <t>Alpinópolis</t>
  </si>
  <si>
    <t>Alta Floresta</t>
  </si>
  <si>
    <t>Alta Floresta D´oeste</t>
  </si>
  <si>
    <t>Altair</t>
  </si>
  <si>
    <t>Altamira</t>
  </si>
  <si>
    <t>Altamira do Maranhão</t>
  </si>
  <si>
    <t>Altamira do Paraná</t>
  </si>
  <si>
    <t>Altaneira</t>
  </si>
  <si>
    <t>Alterosa</t>
  </si>
  <si>
    <t>Altinho</t>
  </si>
  <si>
    <t>Altinópolis</t>
  </si>
  <si>
    <t>Alto Alegre</t>
  </si>
  <si>
    <t>Alto Alegre do Maranhão</t>
  </si>
  <si>
    <t>Alto Alegre do Pindaré</t>
  </si>
  <si>
    <t>Alto Alegre Dos Parecis</t>
  </si>
  <si>
    <t>Alto Araguaia</t>
  </si>
  <si>
    <t>Alto Bela Vista</t>
  </si>
  <si>
    <t>Alto Boa Vista</t>
  </si>
  <si>
    <t>Alto Caparaó</t>
  </si>
  <si>
    <t>Alto do Rodrigues</t>
  </si>
  <si>
    <t>Alto Feliz</t>
  </si>
  <si>
    <t>Alto Garças</t>
  </si>
  <si>
    <t>Alto Horizonte</t>
  </si>
  <si>
    <t>Alto Jequitibá</t>
  </si>
  <si>
    <t>Alto Longá</t>
  </si>
  <si>
    <t>Alto Paraguai</t>
  </si>
  <si>
    <t>Alto Paraíso</t>
  </si>
  <si>
    <t>Alto Paraíso de Goiás</t>
  </si>
  <si>
    <t>Alto Paraná</t>
  </si>
  <si>
    <t>Alto Parnaíba</t>
  </si>
  <si>
    <t>Alto Piquiri</t>
  </si>
  <si>
    <t>Alto Rio Doce</t>
  </si>
  <si>
    <t>Alto Rio Novo</t>
  </si>
  <si>
    <t>Alto Santo</t>
  </si>
  <si>
    <t>Alto Taquari</t>
  </si>
  <si>
    <t>Altônia</t>
  </si>
  <si>
    <t>Altos</t>
  </si>
  <si>
    <t>Alumínio</t>
  </si>
  <si>
    <t>Alvarães</t>
  </si>
  <si>
    <t>Alvarenga</t>
  </si>
  <si>
    <t>Álvares Florence</t>
  </si>
  <si>
    <t>Álvares Machado</t>
  </si>
  <si>
    <t>Álvaro de Carvalho</t>
  </si>
  <si>
    <t>Alvinlândia</t>
  </si>
  <si>
    <t>Alvinópolis</t>
  </si>
  <si>
    <t>Alvorada</t>
  </si>
  <si>
    <t>Alvorada D´oeste</t>
  </si>
  <si>
    <t>Alvorada de Minas</t>
  </si>
  <si>
    <t>Alvorada do Gurguéia</t>
  </si>
  <si>
    <t>Alvorada do Norte</t>
  </si>
  <si>
    <t>Alvorada do Sul</t>
  </si>
  <si>
    <t>Amajari</t>
  </si>
  <si>
    <t>Amambaí</t>
  </si>
  <si>
    <t>Amapá</t>
  </si>
  <si>
    <t>Amapá do Maranhão</t>
  </si>
  <si>
    <t>Amaporã</t>
  </si>
  <si>
    <t>Amaraji</t>
  </si>
  <si>
    <t>Amaral Ferrador</t>
  </si>
  <si>
    <t>Amaralina</t>
  </si>
  <si>
    <t>Amarante</t>
  </si>
  <si>
    <t>Amarante do Maranhão</t>
  </si>
  <si>
    <t>Amargosa</t>
  </si>
  <si>
    <t>Amaturá</t>
  </si>
  <si>
    <t>Amélia Rodrigues</t>
  </si>
  <si>
    <t>América Dourada</t>
  </si>
  <si>
    <t>Americana</t>
  </si>
  <si>
    <t>Americano do Brasil</t>
  </si>
  <si>
    <t>Américo Brasiliense</t>
  </si>
  <si>
    <t>Américo de Campos</t>
  </si>
  <si>
    <t>Ametista do Sul</t>
  </si>
  <si>
    <t>Amontada</t>
  </si>
  <si>
    <t>Amorinópolis</t>
  </si>
  <si>
    <t>Amparo</t>
  </si>
  <si>
    <t>Amparo de São Francisco</t>
  </si>
  <si>
    <t>Amparo do Serra</t>
  </si>
  <si>
    <t>Ampére</t>
  </si>
  <si>
    <t>Anadia</t>
  </si>
  <si>
    <t>Anagé</t>
  </si>
  <si>
    <t>Anahy</t>
  </si>
  <si>
    <t>Anajás</t>
  </si>
  <si>
    <t>Anajatuba</t>
  </si>
  <si>
    <t>Analândia</t>
  </si>
  <si>
    <t>Anamã</t>
  </si>
  <si>
    <t>Ananás</t>
  </si>
  <si>
    <t>Ananindeua</t>
  </si>
  <si>
    <t>Anápolis</t>
  </si>
  <si>
    <t>Anapu</t>
  </si>
  <si>
    <t>Anapurus</t>
  </si>
  <si>
    <t>Anastácio</t>
  </si>
  <si>
    <t>Anaurilândia</t>
  </si>
  <si>
    <t>Anchieta</t>
  </si>
  <si>
    <t>Andaraí</t>
  </si>
  <si>
    <t>Andirá</t>
  </si>
  <si>
    <t>Andorinha</t>
  </si>
  <si>
    <t>Andradas</t>
  </si>
  <si>
    <t>Andradina</t>
  </si>
  <si>
    <t>André da Rocha</t>
  </si>
  <si>
    <t>Andrelândia</t>
  </si>
  <si>
    <t>Angatuba</t>
  </si>
  <si>
    <t>Angelândia</t>
  </si>
  <si>
    <t>Angélica</t>
  </si>
  <si>
    <t>Angelim</t>
  </si>
  <si>
    <t>Angelina</t>
  </si>
  <si>
    <t>Angical</t>
  </si>
  <si>
    <t>Angical do Piauí</t>
  </si>
  <si>
    <t>Angico</t>
  </si>
  <si>
    <t>Angicos</t>
  </si>
  <si>
    <t>Angra Dos Reis</t>
  </si>
  <si>
    <t>Anguera</t>
  </si>
  <si>
    <t>Ângulo</t>
  </si>
  <si>
    <t>Anhanguera</t>
  </si>
  <si>
    <t>Anhembi</t>
  </si>
  <si>
    <t>Anhumas</t>
  </si>
  <si>
    <t>Anicuns</t>
  </si>
  <si>
    <t>Anísio de Abreu</t>
  </si>
  <si>
    <t>Anita Garibaldi</t>
  </si>
  <si>
    <t>Anitápolis</t>
  </si>
  <si>
    <t>Anori</t>
  </si>
  <si>
    <t>Anta Gorda</t>
  </si>
  <si>
    <t>Antas</t>
  </si>
  <si>
    <t>Antonina</t>
  </si>
  <si>
    <t>Antonina do Norte</t>
  </si>
  <si>
    <t>Antônio Almeida</t>
  </si>
  <si>
    <t>Antônio Cardoso</t>
  </si>
  <si>
    <t>Antônio Carlos</t>
  </si>
  <si>
    <t>Antônio Dias</t>
  </si>
  <si>
    <t>Antônio Gonçalves</t>
  </si>
  <si>
    <t>Antônio João</t>
  </si>
  <si>
    <t>Antônio Martins</t>
  </si>
  <si>
    <t>Antônio Olinto</t>
  </si>
  <si>
    <t>Antônio Prado</t>
  </si>
  <si>
    <t>Antônio Prado de Minas</t>
  </si>
  <si>
    <t>Aparecida</t>
  </si>
  <si>
    <t>Aparecida D´oeste</t>
  </si>
  <si>
    <t>Aparecida de Goiânia</t>
  </si>
  <si>
    <t>Aparecida do Rio Doce</t>
  </si>
  <si>
    <t>Aparecida do Rio Negro</t>
  </si>
  <si>
    <t>Aparecida do Taboado</t>
  </si>
  <si>
    <t>Aperibé</t>
  </si>
  <si>
    <t>Apiacá</t>
  </si>
  <si>
    <t>Apiacás</t>
  </si>
  <si>
    <t>Apiaí</t>
  </si>
  <si>
    <t>Apicum-açu</t>
  </si>
  <si>
    <t>Apiúna</t>
  </si>
  <si>
    <t>Apodi</t>
  </si>
  <si>
    <t>Aporá</t>
  </si>
  <si>
    <t>Aporé</t>
  </si>
  <si>
    <t>Apuarema</t>
  </si>
  <si>
    <t>Apucarana</t>
  </si>
  <si>
    <t>Apuí</t>
  </si>
  <si>
    <t>Apuiarés</t>
  </si>
  <si>
    <t>Aquidabã</t>
  </si>
  <si>
    <t>Aquidauana</t>
  </si>
  <si>
    <t>Aquiraz</t>
  </si>
  <si>
    <t>Arabutã</t>
  </si>
  <si>
    <t>Araçagi</t>
  </si>
  <si>
    <t>Araçaí</t>
  </si>
  <si>
    <t>Aracaju</t>
  </si>
  <si>
    <t>Araçariguama</t>
  </si>
  <si>
    <t>Araças</t>
  </si>
  <si>
    <t>Aracati</t>
  </si>
  <si>
    <t>Aracatu</t>
  </si>
  <si>
    <t>Araçatuba</t>
  </si>
  <si>
    <t>Araci</t>
  </si>
  <si>
    <t>Aracitaba</t>
  </si>
  <si>
    <t>Aracoiaba</t>
  </si>
  <si>
    <t>Araçoiaba</t>
  </si>
  <si>
    <t>Araçoiaba da Serra</t>
  </si>
  <si>
    <t>Aracruz</t>
  </si>
  <si>
    <t>Araçu</t>
  </si>
  <si>
    <t>Araçuaí</t>
  </si>
  <si>
    <t>Aragarças</t>
  </si>
  <si>
    <t>Aragoiânia</t>
  </si>
  <si>
    <t>Aragominas</t>
  </si>
  <si>
    <t>Araguacema</t>
  </si>
  <si>
    <t>Araguaçu</t>
  </si>
  <si>
    <t>Araguaiana</t>
  </si>
  <si>
    <t>Araguaína</t>
  </si>
  <si>
    <t>Araguainha</t>
  </si>
  <si>
    <t>Araguanã</t>
  </si>
  <si>
    <t>Araguapaz</t>
  </si>
  <si>
    <t>Araguari</t>
  </si>
  <si>
    <t>Araguatins</t>
  </si>
  <si>
    <t>Araioses</t>
  </si>
  <si>
    <t>Aral Moreira</t>
  </si>
  <si>
    <t>Aramari</t>
  </si>
  <si>
    <t>Arambaré</t>
  </si>
  <si>
    <t>Arame</t>
  </si>
  <si>
    <t>Aramina</t>
  </si>
  <si>
    <t>Arandu</t>
  </si>
  <si>
    <t>Arantina</t>
  </si>
  <si>
    <t>Arapeí</t>
  </si>
  <si>
    <t>Arapiraca</t>
  </si>
  <si>
    <t>Arapoema</t>
  </si>
  <si>
    <t>Araponga</t>
  </si>
  <si>
    <t>Arapongas</t>
  </si>
  <si>
    <t>Araporã</t>
  </si>
  <si>
    <t>Arapoti</t>
  </si>
  <si>
    <t>Arapuá</t>
  </si>
  <si>
    <t>Arapuã</t>
  </si>
  <si>
    <t>Araputanga</t>
  </si>
  <si>
    <t>Araquari</t>
  </si>
  <si>
    <t>Arara</t>
  </si>
  <si>
    <t>Araranguá</t>
  </si>
  <si>
    <t>Araraquara</t>
  </si>
  <si>
    <t>Araras</t>
  </si>
  <si>
    <t>Ararendá</t>
  </si>
  <si>
    <t>Arari</t>
  </si>
  <si>
    <t>Araricá</t>
  </si>
  <si>
    <t>Araripe</t>
  </si>
  <si>
    <t>Araripina</t>
  </si>
  <si>
    <t>Araruama</t>
  </si>
  <si>
    <t>Araruna</t>
  </si>
  <si>
    <t>Arataca</t>
  </si>
  <si>
    <t>Aratiba</t>
  </si>
  <si>
    <t>Aratuba</t>
  </si>
  <si>
    <t>Aratuípe</t>
  </si>
  <si>
    <t>Arauá</t>
  </si>
  <si>
    <t>Araucária</t>
  </si>
  <si>
    <t>Araújos</t>
  </si>
  <si>
    <t>Araxá</t>
  </si>
  <si>
    <t>Arceburgo</t>
  </si>
  <si>
    <t>Arco-íris</t>
  </si>
  <si>
    <t>Arcos</t>
  </si>
  <si>
    <t>Arcoverde</t>
  </si>
  <si>
    <t>Areado</t>
  </si>
  <si>
    <t>Areal</t>
  </si>
  <si>
    <t>Arealva</t>
  </si>
  <si>
    <t>Areia</t>
  </si>
  <si>
    <t>Areia Branca</t>
  </si>
  <si>
    <t>Areia de Baraúnas</t>
  </si>
  <si>
    <t>Areial</t>
  </si>
  <si>
    <t>Areias</t>
  </si>
  <si>
    <t>Areiópolis</t>
  </si>
  <si>
    <t>Arenápolis</t>
  </si>
  <si>
    <t>Arenópolis</t>
  </si>
  <si>
    <t>Arês</t>
  </si>
  <si>
    <t>Argirita</t>
  </si>
  <si>
    <t>Aricanduva</t>
  </si>
  <si>
    <t>Arinos</t>
  </si>
  <si>
    <t>Aripuanã</t>
  </si>
  <si>
    <t>Ariquemes</t>
  </si>
  <si>
    <t>Ariranha</t>
  </si>
  <si>
    <t>Ariranha do Ivaí</t>
  </si>
  <si>
    <t>Armação Dos Búzios</t>
  </si>
  <si>
    <t>Armazém</t>
  </si>
  <si>
    <t>Arneiroz</t>
  </si>
  <si>
    <t>Aroazes</t>
  </si>
  <si>
    <t>Aroeiras</t>
  </si>
  <si>
    <t>Aroeiras do Itaim</t>
  </si>
  <si>
    <t>Arraial</t>
  </si>
  <si>
    <t>Arraial do Cabo</t>
  </si>
  <si>
    <t>Arraias</t>
  </si>
  <si>
    <t>Arroio do Meio</t>
  </si>
  <si>
    <t>Arroio do Padre</t>
  </si>
  <si>
    <t>Arroio do Sal</t>
  </si>
  <si>
    <t>Arroio do Tigre</t>
  </si>
  <si>
    <t>Arroio Dos Ratos</t>
  </si>
  <si>
    <t>Arroio Grande</t>
  </si>
  <si>
    <t>Arroio Trinta</t>
  </si>
  <si>
    <t>Artur Nogueira</t>
  </si>
  <si>
    <t>Aruanã</t>
  </si>
  <si>
    <t>Arujá</t>
  </si>
  <si>
    <t>Arvoredo</t>
  </si>
  <si>
    <t>Arvorezinha</t>
  </si>
  <si>
    <t>Ascurra</t>
  </si>
  <si>
    <t>Aspásia</t>
  </si>
  <si>
    <t>Assaí</t>
  </si>
  <si>
    <t>Assaré</t>
  </si>
  <si>
    <t>Assis</t>
  </si>
  <si>
    <t>Assis Brasil</t>
  </si>
  <si>
    <t>Assis Chateaubriand</t>
  </si>
  <si>
    <t>Assunção</t>
  </si>
  <si>
    <t>Assunção do Piauí</t>
  </si>
  <si>
    <t>Astolfo Dutra</t>
  </si>
  <si>
    <t>Astorga</t>
  </si>
  <si>
    <t>Atalaia</t>
  </si>
  <si>
    <t>Atalaia do Norte</t>
  </si>
  <si>
    <t>Atalanta</t>
  </si>
  <si>
    <t>Ataléia</t>
  </si>
  <si>
    <t>Atibaia</t>
  </si>
  <si>
    <t>Atilio Vivacqua</t>
  </si>
  <si>
    <t>Augustinópolis</t>
  </si>
  <si>
    <t>Augusto Corrêa</t>
  </si>
  <si>
    <t>Augusto de Lima</t>
  </si>
  <si>
    <t>Augusto Pestana</t>
  </si>
  <si>
    <t>Augusto Severo</t>
  </si>
  <si>
    <t>Áurea</t>
  </si>
  <si>
    <t>Aurelino Leal</t>
  </si>
  <si>
    <t>Auriflama</t>
  </si>
  <si>
    <t>Aurilândia</t>
  </si>
  <si>
    <t>Aurora</t>
  </si>
  <si>
    <t>Aurora do Pará</t>
  </si>
  <si>
    <t>Aurora do Tocantins</t>
  </si>
  <si>
    <t>Autazes</t>
  </si>
  <si>
    <t>Avaí</t>
  </si>
  <si>
    <t>Avanhandava</t>
  </si>
  <si>
    <t>Avaré</t>
  </si>
  <si>
    <t>Aveiro</t>
  </si>
  <si>
    <t>Avelino Lopes</t>
  </si>
  <si>
    <t>Avelinópolis</t>
  </si>
  <si>
    <t>Axixá</t>
  </si>
  <si>
    <t>Axixá do Tocantins</t>
  </si>
  <si>
    <t>Babaçulândia</t>
  </si>
  <si>
    <t>Bacabal</t>
  </si>
  <si>
    <t>Bacabeira</t>
  </si>
  <si>
    <t>Bacuri</t>
  </si>
  <si>
    <t>Bacurituba</t>
  </si>
  <si>
    <t>Bady Bassitt</t>
  </si>
  <si>
    <t>Baependi</t>
  </si>
  <si>
    <t>Bagé</t>
  </si>
  <si>
    <t>Bagre</t>
  </si>
  <si>
    <t>Baía da Traição</t>
  </si>
  <si>
    <t>Baía Formosa</t>
  </si>
  <si>
    <t>Baianópolis</t>
  </si>
  <si>
    <t>Baião</t>
  </si>
  <si>
    <t>Baixa Grande</t>
  </si>
  <si>
    <t>Baixa Grande do Ribeiro</t>
  </si>
  <si>
    <t>Baixio</t>
  </si>
  <si>
    <t>Baixo Guandu</t>
  </si>
  <si>
    <t>Balbinos</t>
  </si>
  <si>
    <t>Baldim</t>
  </si>
  <si>
    <t>Baliza</t>
  </si>
  <si>
    <t>Balneário Arroio do Silva</t>
  </si>
  <si>
    <t>Balneário Barra do Sul</t>
  </si>
  <si>
    <t>Balneário Camboriú</t>
  </si>
  <si>
    <t>Balneário Gaivota</t>
  </si>
  <si>
    <t>Balneário Pinhal</t>
  </si>
  <si>
    <t>Balneário Rincão</t>
  </si>
  <si>
    <t>Balsa Nova</t>
  </si>
  <si>
    <t>Bálsamo</t>
  </si>
  <si>
    <t>Balsas</t>
  </si>
  <si>
    <t>Bambuí</t>
  </si>
  <si>
    <t>Banabuiú</t>
  </si>
  <si>
    <t>Bananal</t>
  </si>
  <si>
    <t>Bananeiras</t>
  </si>
  <si>
    <t>Bandeira</t>
  </si>
  <si>
    <t>Bandeira do Sul</t>
  </si>
  <si>
    <t>Bandeirante</t>
  </si>
  <si>
    <t>Bandeirantes</t>
  </si>
  <si>
    <t>Bandeirantes do Tocantins</t>
  </si>
  <si>
    <t>Bannach</t>
  </si>
  <si>
    <t>Banzaê</t>
  </si>
  <si>
    <t>Barão</t>
  </si>
  <si>
    <t>Barão de Antonina</t>
  </si>
  <si>
    <t>Barão de Cocais</t>
  </si>
  <si>
    <t>Barão de Cotegipe</t>
  </si>
  <si>
    <t>Barão de Grajaú</t>
  </si>
  <si>
    <t>Barão de Melgaço</t>
  </si>
  <si>
    <t>Barão de Monte Alto</t>
  </si>
  <si>
    <t>Barão do Triunfo</t>
  </si>
  <si>
    <t>Baraúna</t>
  </si>
  <si>
    <t>Barbacena</t>
  </si>
  <si>
    <t>Barbalha</t>
  </si>
  <si>
    <t>Barbosa</t>
  </si>
  <si>
    <t>Barbosa Ferraz</t>
  </si>
  <si>
    <t>Barcarena</t>
  </si>
  <si>
    <t>Barcelona</t>
  </si>
  <si>
    <t>Barcelos</t>
  </si>
  <si>
    <t>Bariri</t>
  </si>
  <si>
    <t>Barra</t>
  </si>
  <si>
    <t>Barra Bonita</t>
  </si>
  <si>
    <t>Barra D´alcântara</t>
  </si>
  <si>
    <t>Barra da Estiva</t>
  </si>
  <si>
    <t>Barra de Guabiraba</t>
  </si>
  <si>
    <t>Barra de Santa Rosa</t>
  </si>
  <si>
    <t>Barra de Santana</t>
  </si>
  <si>
    <t>Barra de Santo Antônio</t>
  </si>
  <si>
    <t>Barra de São Francisco</t>
  </si>
  <si>
    <t>Barra de São Miguel</t>
  </si>
  <si>
    <t>Barra do Bugres</t>
  </si>
  <si>
    <t>Barra do Chapéu</t>
  </si>
  <si>
    <t>Barra do Choça</t>
  </si>
  <si>
    <t>Barra do Corda</t>
  </si>
  <si>
    <t>Barra do Garças</t>
  </si>
  <si>
    <t>Barra do Guarita</t>
  </si>
  <si>
    <t>Barra do Jacaré</t>
  </si>
  <si>
    <t>Barra do Mendes</t>
  </si>
  <si>
    <t>Barra do Ouro</t>
  </si>
  <si>
    <t>Barra do Piraí</t>
  </si>
  <si>
    <t>Barra do Quaraí</t>
  </si>
  <si>
    <t>Barra do Ribeiro</t>
  </si>
  <si>
    <t>Barra do Rio Azul</t>
  </si>
  <si>
    <t>Barra do Rocha</t>
  </si>
  <si>
    <t>Barra do Turvo</t>
  </si>
  <si>
    <t>Barra Dos Coqueiros</t>
  </si>
  <si>
    <t>Barra Funda</t>
  </si>
  <si>
    <t>Barra Longa</t>
  </si>
  <si>
    <t>Barra Mansa</t>
  </si>
  <si>
    <t>Barra Velha</t>
  </si>
  <si>
    <t>Barracão</t>
  </si>
  <si>
    <t>Barras</t>
  </si>
  <si>
    <t>Barreira</t>
  </si>
  <si>
    <t>Barreiras</t>
  </si>
  <si>
    <t>Barreiras do Piauí</t>
  </si>
  <si>
    <t>Barreirinha</t>
  </si>
  <si>
    <t>Barreirinhas</t>
  </si>
  <si>
    <t>Barreiros</t>
  </si>
  <si>
    <t>Barretos</t>
  </si>
  <si>
    <t>Barrinha</t>
  </si>
  <si>
    <t>Barro</t>
  </si>
  <si>
    <t>Barro Alto</t>
  </si>
  <si>
    <t>Barro Duro</t>
  </si>
  <si>
    <t>Barrocas</t>
  </si>
  <si>
    <t>Barrolândia</t>
  </si>
  <si>
    <t>Barroquinha</t>
  </si>
  <si>
    <t>Barros Cassal</t>
  </si>
  <si>
    <t>Barroso</t>
  </si>
  <si>
    <t>Barueri</t>
  </si>
  <si>
    <t>Bastos</t>
  </si>
  <si>
    <t>Bataguassu</t>
  </si>
  <si>
    <t>Batalha</t>
  </si>
  <si>
    <t>Batatais</t>
  </si>
  <si>
    <t>Batayporã</t>
  </si>
  <si>
    <t>Baturité</t>
  </si>
  <si>
    <t>Bauru</t>
  </si>
  <si>
    <t>Bayeux</t>
  </si>
  <si>
    <t>Bebedouro</t>
  </si>
  <si>
    <t>Beberibe</t>
  </si>
  <si>
    <t>Bela Cruz</t>
  </si>
  <si>
    <t>Bela Vista</t>
  </si>
  <si>
    <t>Bela Vista da Caroba</t>
  </si>
  <si>
    <t>Bela Vista de Goiás</t>
  </si>
  <si>
    <t>Bela Vista de Minas</t>
  </si>
  <si>
    <t>Bela Vista do Maranhão</t>
  </si>
  <si>
    <t>Bela Vista do Paraíso</t>
  </si>
  <si>
    <t>Bela Vista do Piauí</t>
  </si>
  <si>
    <t>Bela Vista do Toldo</t>
  </si>
  <si>
    <t>Belágua</t>
  </si>
  <si>
    <t>Belém</t>
  </si>
  <si>
    <t>Belém de Maria</t>
  </si>
  <si>
    <t>Belém de São Francisco</t>
  </si>
  <si>
    <t>Belém do Brejo do Cruz</t>
  </si>
  <si>
    <t>Belém do Piauí</t>
  </si>
  <si>
    <t>Belford Roxo</t>
  </si>
  <si>
    <t>Belmiro Braga</t>
  </si>
  <si>
    <t>Belmonte</t>
  </si>
  <si>
    <t>Belo Campo</t>
  </si>
  <si>
    <t>Belo Horizonte</t>
  </si>
  <si>
    <t>Belo Jardim</t>
  </si>
  <si>
    <t>Belo Monte</t>
  </si>
  <si>
    <t>Belo Oriente</t>
  </si>
  <si>
    <t>Belo Vale</t>
  </si>
  <si>
    <t>Belterra</t>
  </si>
  <si>
    <t>Beneditinos</t>
  </si>
  <si>
    <t>Benedito Leite</t>
  </si>
  <si>
    <t>Benedito Novo</t>
  </si>
  <si>
    <t>Benevides</t>
  </si>
  <si>
    <t>Benjamin Constant</t>
  </si>
  <si>
    <t>Benjamin Constant do Sul</t>
  </si>
  <si>
    <t>Bento de Abreu</t>
  </si>
  <si>
    <t>Bento Fernandes</t>
  </si>
  <si>
    <t>Bento Gonçalves</t>
  </si>
  <si>
    <t>Bequimão</t>
  </si>
  <si>
    <t>Berilo</t>
  </si>
  <si>
    <t>Berizal</t>
  </si>
  <si>
    <t>Bernardino Batista</t>
  </si>
  <si>
    <t>Bernardino de Campos</t>
  </si>
  <si>
    <t>Bernardo do Mearim</t>
  </si>
  <si>
    <t>Bernardo Sayão</t>
  </si>
  <si>
    <t>Bertioga</t>
  </si>
  <si>
    <t>Bertolínia</t>
  </si>
  <si>
    <t>Bertópolis</t>
  </si>
  <si>
    <t>Beruri</t>
  </si>
  <si>
    <t>Betânia</t>
  </si>
  <si>
    <t>Betânia do Piauí</t>
  </si>
  <si>
    <t>Betim</t>
  </si>
  <si>
    <t>Bezerros</t>
  </si>
  <si>
    <t>Bias Fortes</t>
  </si>
  <si>
    <t>Bicas</t>
  </si>
  <si>
    <t>Biguaçu</t>
  </si>
  <si>
    <t>Bilac</t>
  </si>
  <si>
    <t>Biquinhas</t>
  </si>
  <si>
    <t>Birigui</t>
  </si>
  <si>
    <t>Biritiba-mirim</t>
  </si>
  <si>
    <t>Biritinga</t>
  </si>
  <si>
    <t>Bituruna</t>
  </si>
  <si>
    <t>Blumenau</t>
  </si>
  <si>
    <t>Boa Esperança</t>
  </si>
  <si>
    <t>Boa Esperança do Iguaçu</t>
  </si>
  <si>
    <t>Boa Esperança do Sul</t>
  </si>
  <si>
    <t>Boa Hora</t>
  </si>
  <si>
    <t>Boa Nova</t>
  </si>
  <si>
    <t>Boa Ventura</t>
  </si>
  <si>
    <t>Boa Ventura de São Roque</t>
  </si>
  <si>
    <t>Boa Viagem</t>
  </si>
  <si>
    <t>Boa Vista</t>
  </si>
  <si>
    <t>Boa Vista da Aparecida</t>
  </si>
  <si>
    <t>Boa Vista Das Missões</t>
  </si>
  <si>
    <t>Boa Vista do Buricá</t>
  </si>
  <si>
    <t>Boa Vista do Cadeado</t>
  </si>
  <si>
    <t>Boa Vista do Gurupi</t>
  </si>
  <si>
    <t>Boa Vista do Incra</t>
  </si>
  <si>
    <t>Boa Vista do Ramos</t>
  </si>
  <si>
    <t>Boa Vista do Sul</t>
  </si>
  <si>
    <t>Boa Vista do Tupim</t>
  </si>
  <si>
    <t>Boca da Mata</t>
  </si>
  <si>
    <t>Boca do Acre</t>
  </si>
  <si>
    <t>Bocaina</t>
  </si>
  <si>
    <t>Bocaina de Minas</t>
  </si>
  <si>
    <t>Bocaina do Sul</t>
  </si>
  <si>
    <t>Bocaiúva</t>
  </si>
  <si>
    <t>Bocaiúva do Sul</t>
  </si>
  <si>
    <t>Bodó</t>
  </si>
  <si>
    <t>Bodocó</t>
  </si>
  <si>
    <t>Bodoquena</t>
  </si>
  <si>
    <t>Bofete</t>
  </si>
  <si>
    <t>Boituva</t>
  </si>
  <si>
    <t>Bom Conselho</t>
  </si>
  <si>
    <t>Bom Despacho</t>
  </si>
  <si>
    <t>Bom Jardim</t>
  </si>
  <si>
    <t>Bom Jardim da Serra</t>
  </si>
  <si>
    <t>Bom Jardim de Goiás</t>
  </si>
  <si>
    <t>Bom Jardim de Minas</t>
  </si>
  <si>
    <t>Bom Jesus</t>
  </si>
  <si>
    <t>Bom Jesus da Lapa</t>
  </si>
  <si>
    <t>Bom Jesus da Penha</t>
  </si>
  <si>
    <t>Bom Jesus da Serra</t>
  </si>
  <si>
    <t>Bom Jesus Das Selvas</t>
  </si>
  <si>
    <t>Bom Jesus de Goiás</t>
  </si>
  <si>
    <t>Bom Jesus do Amparo</t>
  </si>
  <si>
    <t>Bom Jesus do Araguaia</t>
  </si>
  <si>
    <t>Bom Jesus do Galho</t>
  </si>
  <si>
    <t>Bom Jesus do Itabapoana</t>
  </si>
  <si>
    <t>Bom Jesus do Norte</t>
  </si>
  <si>
    <t>Bom Jesus do Oeste</t>
  </si>
  <si>
    <t>Bom Jesus do Sul</t>
  </si>
  <si>
    <t>Bom Jesus do Tocantins</t>
  </si>
  <si>
    <t>Bom Jesus Dos Perdões</t>
  </si>
  <si>
    <t>Bom Lugar</t>
  </si>
  <si>
    <t>Bom Princípio</t>
  </si>
  <si>
    <t>Bom Princípio do Piauí</t>
  </si>
  <si>
    <t>Bom Progresso</t>
  </si>
  <si>
    <t>Bom Repouso</t>
  </si>
  <si>
    <t>Bom Retiro</t>
  </si>
  <si>
    <t>Bom Retiro do Sul</t>
  </si>
  <si>
    <t>Bom Sucesso</t>
  </si>
  <si>
    <t>Bom Sucesso de Itararé</t>
  </si>
  <si>
    <t>Bom Sucesso do Sul</t>
  </si>
  <si>
    <t>Bombinhas</t>
  </si>
  <si>
    <t>Bonfim</t>
  </si>
  <si>
    <t>Bonfim do Piauí</t>
  </si>
  <si>
    <t>Bonfinópolis</t>
  </si>
  <si>
    <t>Bonfinópolis de Minas</t>
  </si>
  <si>
    <t>Boninal</t>
  </si>
  <si>
    <t>Bonito</t>
  </si>
  <si>
    <t>Bonito de Minas</t>
  </si>
  <si>
    <t>Bonito de Santa fé</t>
  </si>
  <si>
    <t>Bonópolis</t>
  </si>
  <si>
    <t>Boqueirão</t>
  </si>
  <si>
    <t>Boqueirão do Leão</t>
  </si>
  <si>
    <t>Boqueirão do Piauí</t>
  </si>
  <si>
    <t>Boquim</t>
  </si>
  <si>
    <t>Boquira</t>
  </si>
  <si>
    <t>Borá</t>
  </si>
  <si>
    <t>Boracéia</t>
  </si>
  <si>
    <t>Borba</t>
  </si>
  <si>
    <t>Borborema</t>
  </si>
  <si>
    <t>Borda da Mata</t>
  </si>
  <si>
    <t>Borebi</t>
  </si>
  <si>
    <t>Borrazópolis</t>
  </si>
  <si>
    <t>Bossoroca</t>
  </si>
  <si>
    <t>Botelhos</t>
  </si>
  <si>
    <t>Botucatu</t>
  </si>
  <si>
    <t>Botumirim</t>
  </si>
  <si>
    <t>Botuporã</t>
  </si>
  <si>
    <t>Botuverá</t>
  </si>
  <si>
    <t>Bozano</t>
  </si>
  <si>
    <t>Braço do Norte</t>
  </si>
  <si>
    <t>Braço do Trombudo</t>
  </si>
  <si>
    <t>Braga</t>
  </si>
  <si>
    <t>Bragança</t>
  </si>
  <si>
    <t>Bragança Paulista</t>
  </si>
  <si>
    <t>Braganey</t>
  </si>
  <si>
    <t>Branquinha</t>
  </si>
  <si>
    <t>Brás Pires</t>
  </si>
  <si>
    <t>Brasil Novo</t>
  </si>
  <si>
    <t>Brasilândia</t>
  </si>
  <si>
    <t>Brasilândia de Minas</t>
  </si>
  <si>
    <t>Brasilândia do Sul</t>
  </si>
  <si>
    <t>Brasilândia do Tocantins</t>
  </si>
  <si>
    <t>Brasiléia</t>
  </si>
  <si>
    <t>Brasileira</t>
  </si>
  <si>
    <t>Brasília</t>
  </si>
  <si>
    <t>Brasília de Minas</t>
  </si>
  <si>
    <t>Brasnorte</t>
  </si>
  <si>
    <t>Brasópolis</t>
  </si>
  <si>
    <t>Braúna</t>
  </si>
  <si>
    <t>Braúnas</t>
  </si>
  <si>
    <t>Brazabrantes</t>
  </si>
  <si>
    <t>Brejão</t>
  </si>
  <si>
    <t>Brejetuba</t>
  </si>
  <si>
    <t>Brejinho</t>
  </si>
  <si>
    <t>Brejinho de Nazaré</t>
  </si>
  <si>
    <t>Brejo</t>
  </si>
  <si>
    <t>Brejo Alegre</t>
  </si>
  <si>
    <t>Brejo da Madre de Deus</t>
  </si>
  <si>
    <t>Brejo de Areia</t>
  </si>
  <si>
    <t>Brejo do Cruz</t>
  </si>
  <si>
    <t>Brejo do Piauí</t>
  </si>
  <si>
    <t>Brejo Dos Santos</t>
  </si>
  <si>
    <t>Brejo Grande</t>
  </si>
  <si>
    <t>Brejo Grande do Araguaia</t>
  </si>
  <si>
    <t>Brejo Santo</t>
  </si>
  <si>
    <t>Brejões</t>
  </si>
  <si>
    <t>Brejolândia</t>
  </si>
  <si>
    <t>Breu Branco</t>
  </si>
  <si>
    <t>Breves</t>
  </si>
  <si>
    <t>Britânia</t>
  </si>
  <si>
    <t>Brochier</t>
  </si>
  <si>
    <t>Brodowski</t>
  </si>
  <si>
    <t>Brotas</t>
  </si>
  <si>
    <t>Brotas de Macaúbas</t>
  </si>
  <si>
    <t>Brumadinho</t>
  </si>
  <si>
    <t>Brumado</t>
  </si>
  <si>
    <t>Brunópolis</t>
  </si>
  <si>
    <t>Brusque</t>
  </si>
  <si>
    <t>Bueno Brandão</t>
  </si>
  <si>
    <t>Buenópolis</t>
  </si>
  <si>
    <t>Buenos Aires</t>
  </si>
  <si>
    <t>Buerarema</t>
  </si>
  <si>
    <t>Bugre</t>
  </si>
  <si>
    <t>Buíque</t>
  </si>
  <si>
    <t>Bujari</t>
  </si>
  <si>
    <t>Bujaru</t>
  </si>
  <si>
    <t>Buri</t>
  </si>
  <si>
    <t>Buritama</t>
  </si>
  <si>
    <t>Buriti</t>
  </si>
  <si>
    <t>Buriti Alegre</t>
  </si>
  <si>
    <t>Buriti Bravo</t>
  </si>
  <si>
    <t>Buriti de Goiás</t>
  </si>
  <si>
    <t>Buriti do Tocantins</t>
  </si>
  <si>
    <t>Buriti Dos Lopes</t>
  </si>
  <si>
    <t>Buriti Dos Montes</t>
  </si>
  <si>
    <t>Buriticupu</t>
  </si>
  <si>
    <t>Buritinópolis</t>
  </si>
  <si>
    <t>Buritirama</t>
  </si>
  <si>
    <t>Buritirana</t>
  </si>
  <si>
    <t>Buritis</t>
  </si>
  <si>
    <t>Buritizal</t>
  </si>
  <si>
    <t>Buritizeiro</t>
  </si>
  <si>
    <t>Butiá</t>
  </si>
  <si>
    <t>Caapiranga</t>
  </si>
  <si>
    <t>Caaporã</t>
  </si>
  <si>
    <t>Caarapó</t>
  </si>
  <si>
    <t>Caatiba</t>
  </si>
  <si>
    <t>Cabaceiras</t>
  </si>
  <si>
    <t>Cabaceiras do Paraguaçu</t>
  </si>
  <si>
    <t>Cabeceira Grande</t>
  </si>
  <si>
    <t>Cabeceiras</t>
  </si>
  <si>
    <t>Cabeceiras do Piauí</t>
  </si>
  <si>
    <t>Cabedelo</t>
  </si>
  <si>
    <t>Cabixi</t>
  </si>
  <si>
    <t>Cabo de Santo Agostinho</t>
  </si>
  <si>
    <t>Cabo Frio</t>
  </si>
  <si>
    <t>Cabo Verde</t>
  </si>
  <si>
    <t>Cabrália Paulista</t>
  </si>
  <si>
    <t>Cabreúva</t>
  </si>
  <si>
    <t>Cabrobó</t>
  </si>
  <si>
    <t>Caçador</t>
  </si>
  <si>
    <t>Caçapava</t>
  </si>
  <si>
    <t>Caçapava do Sul</t>
  </si>
  <si>
    <t>Cacaulândia</t>
  </si>
  <si>
    <t>Cacequi</t>
  </si>
  <si>
    <t>Cáceres</t>
  </si>
  <si>
    <t>Cachoeira</t>
  </si>
  <si>
    <t>Cachoeira Alta</t>
  </si>
  <si>
    <t>Cachoeira da Prata</t>
  </si>
  <si>
    <t>Cachoeira de Goiás</t>
  </si>
  <si>
    <t>Cachoeira de Minas</t>
  </si>
  <si>
    <t>Cachoeira de Pajeú</t>
  </si>
  <si>
    <t>Cachoeira do Arari</t>
  </si>
  <si>
    <t>Cachoeira do Piriá</t>
  </si>
  <si>
    <t>Cachoeira do Sul</t>
  </si>
  <si>
    <t>Cachoeira Dos Índios</t>
  </si>
  <si>
    <t>Cachoeira Dourada</t>
  </si>
  <si>
    <t>Cachoeira Grande</t>
  </si>
  <si>
    <t>Cachoeira Paulista</t>
  </si>
  <si>
    <t>Cachoeiras de Macacu</t>
  </si>
  <si>
    <t>Cachoeirinha</t>
  </si>
  <si>
    <t>Cachoeiro de Itapemirim</t>
  </si>
  <si>
    <t>Cacimba de Areia</t>
  </si>
  <si>
    <t>Cacimba de Dentro</t>
  </si>
  <si>
    <t>Cacimbas</t>
  </si>
  <si>
    <t>Cacimbinhas</t>
  </si>
  <si>
    <t>Cacique Doble</t>
  </si>
  <si>
    <t>Cacoal</t>
  </si>
  <si>
    <t>Caconde</t>
  </si>
  <si>
    <t>Caçu</t>
  </si>
  <si>
    <t>Caculé</t>
  </si>
  <si>
    <t>Caém</t>
  </si>
  <si>
    <t>Caetanópolis</t>
  </si>
  <si>
    <t>Caetanos</t>
  </si>
  <si>
    <t>Caeté</t>
  </si>
  <si>
    <t>Caetés</t>
  </si>
  <si>
    <t>Caetité</t>
  </si>
  <si>
    <t>Cafarnaum</t>
  </si>
  <si>
    <t>Cafeara</t>
  </si>
  <si>
    <t>Cafelândia</t>
  </si>
  <si>
    <t>Cafezal do Sul</t>
  </si>
  <si>
    <t>Caiabu</t>
  </si>
  <si>
    <t>Caiana</t>
  </si>
  <si>
    <t>Caiapônia</t>
  </si>
  <si>
    <t>Caibaté</t>
  </si>
  <si>
    <t>Caibi</t>
  </si>
  <si>
    <t>Caiçara</t>
  </si>
  <si>
    <t>Caiçara do Norte</t>
  </si>
  <si>
    <t>Caiçara do Rio do Vento</t>
  </si>
  <si>
    <t>Caicó</t>
  </si>
  <si>
    <t>Caieiras</t>
  </si>
  <si>
    <t>Cairu</t>
  </si>
  <si>
    <t>Caiuá</t>
  </si>
  <si>
    <t>Cajamar</t>
  </si>
  <si>
    <t>Cajapió</t>
  </si>
  <si>
    <t>Cajari</t>
  </si>
  <si>
    <t>Cajati</t>
  </si>
  <si>
    <t>Cajazeiras</t>
  </si>
  <si>
    <t>Cajazeiras do Piauí</t>
  </si>
  <si>
    <t>Cajazeirinhas</t>
  </si>
  <si>
    <t>Cajobi</t>
  </si>
  <si>
    <t>Cajueiro</t>
  </si>
  <si>
    <t>Cajueiro da Praia</t>
  </si>
  <si>
    <t>Cajuri</t>
  </si>
  <si>
    <t>Cajuru</t>
  </si>
  <si>
    <t>Calçado</t>
  </si>
  <si>
    <t>Calçoene</t>
  </si>
  <si>
    <t>Caldas</t>
  </si>
  <si>
    <t>Caldas Brandão</t>
  </si>
  <si>
    <t>Caldas Novas</t>
  </si>
  <si>
    <t>Caldazinha</t>
  </si>
  <si>
    <t>Caldeirão Grande</t>
  </si>
  <si>
    <t>Caldeirão Grande do Piauí</t>
  </si>
  <si>
    <t>Califórnia</t>
  </si>
  <si>
    <t>Calmon</t>
  </si>
  <si>
    <t>Calumbi</t>
  </si>
  <si>
    <t>Camacan</t>
  </si>
  <si>
    <t>Camaçari</t>
  </si>
  <si>
    <t>Camacho</t>
  </si>
  <si>
    <t>Camalaú</t>
  </si>
  <si>
    <t>Camamu</t>
  </si>
  <si>
    <t>Camanducaia</t>
  </si>
  <si>
    <t>Camapuã</t>
  </si>
  <si>
    <t>Camaquã</t>
  </si>
  <si>
    <t>Camaragibe</t>
  </si>
  <si>
    <t>Camargo</t>
  </si>
  <si>
    <t>Cambará</t>
  </si>
  <si>
    <t>Cambará do Sul</t>
  </si>
  <si>
    <t>Cambé</t>
  </si>
  <si>
    <t>Cambira</t>
  </si>
  <si>
    <t>Camboriú</t>
  </si>
  <si>
    <t>Cambuci</t>
  </si>
  <si>
    <t>Cambuí</t>
  </si>
  <si>
    <t>Cambuquira</t>
  </si>
  <si>
    <t>Cametá</t>
  </si>
  <si>
    <t>Camocim</t>
  </si>
  <si>
    <t>Camocim de São Félix</t>
  </si>
  <si>
    <t>Campanário</t>
  </si>
  <si>
    <t>Campanha</t>
  </si>
  <si>
    <t>Campestre</t>
  </si>
  <si>
    <t>Campestre da Serra</t>
  </si>
  <si>
    <t>Campestre de Goiás</t>
  </si>
  <si>
    <t>Campestre do Maranhão</t>
  </si>
  <si>
    <t>Campina da Lagoa</t>
  </si>
  <si>
    <t>Campina Das Missões</t>
  </si>
  <si>
    <t>Campina do Monte Alegre</t>
  </si>
  <si>
    <t>Campina do Simão</t>
  </si>
  <si>
    <t>Campina Grande</t>
  </si>
  <si>
    <t>Campina Grande do Sul</t>
  </si>
  <si>
    <t>Campina Verde</t>
  </si>
  <si>
    <t>Campinaçu</t>
  </si>
  <si>
    <t>Campinápolis</t>
  </si>
  <si>
    <t>Campinas</t>
  </si>
  <si>
    <t>Campinas do Piauí</t>
  </si>
  <si>
    <t>Campinas do Sul</t>
  </si>
  <si>
    <t>Campinorte</t>
  </si>
  <si>
    <t>Campo Alegre</t>
  </si>
  <si>
    <t>Campo Alegre de Goiás</t>
  </si>
  <si>
    <t>Campo Alegre de Lourdes</t>
  </si>
  <si>
    <t>Campo Alegre do Fidalgo</t>
  </si>
  <si>
    <t>Campo Azul</t>
  </si>
  <si>
    <t>Campo Belo</t>
  </si>
  <si>
    <t>Campo Belo do Sul</t>
  </si>
  <si>
    <t>Campo Bom</t>
  </si>
  <si>
    <t>Campo Bonito</t>
  </si>
  <si>
    <t>Campo de Santana</t>
  </si>
  <si>
    <t>Campo do Brito</t>
  </si>
  <si>
    <t>Campo do Meio</t>
  </si>
  <si>
    <t>Campo do Tenente</t>
  </si>
  <si>
    <t>Campo Erê</t>
  </si>
  <si>
    <t>Campo Florido</t>
  </si>
  <si>
    <t>Campo Formoso</t>
  </si>
  <si>
    <t>Campo Grande</t>
  </si>
  <si>
    <t>Campo Grande do Piauí</t>
  </si>
  <si>
    <t>Campo Largo</t>
  </si>
  <si>
    <t>Campo Largo do Piauí</t>
  </si>
  <si>
    <t>Campo Limpo de Goiás</t>
  </si>
  <si>
    <t>Campo Limpo Paulista</t>
  </si>
  <si>
    <t>Campo Magro</t>
  </si>
  <si>
    <t>Campo Maior</t>
  </si>
  <si>
    <t>Campo Mourão</t>
  </si>
  <si>
    <t>Campo Novo</t>
  </si>
  <si>
    <t>Campo Novo de Rondônia</t>
  </si>
  <si>
    <t>Campo Novo do Parecis</t>
  </si>
  <si>
    <t>Campo Redondo</t>
  </si>
  <si>
    <t>Campo Verde</t>
  </si>
  <si>
    <t>Campos Altos</t>
  </si>
  <si>
    <t>Campos Belos</t>
  </si>
  <si>
    <t>Campos Borges</t>
  </si>
  <si>
    <t>Campos de Júlio</t>
  </si>
  <si>
    <t>Campos do Jordão</t>
  </si>
  <si>
    <t>Campos Dos Goytacazes</t>
  </si>
  <si>
    <t>Campos Gerais</t>
  </si>
  <si>
    <t>Campos Lindos</t>
  </si>
  <si>
    <t>Campos Novos</t>
  </si>
  <si>
    <t>Campos Novos Paulista</t>
  </si>
  <si>
    <t>Campos Sales</t>
  </si>
  <si>
    <t>Campos Verdes</t>
  </si>
  <si>
    <t>Camutanga</t>
  </si>
  <si>
    <t>Cana Verde</t>
  </si>
  <si>
    <t>Canaã</t>
  </si>
  <si>
    <t>Canaã Dos Carajás</t>
  </si>
  <si>
    <t>Canabrava do Norte</t>
  </si>
  <si>
    <t>Cananéia</t>
  </si>
  <si>
    <t>Canapi</t>
  </si>
  <si>
    <t>Canápolis</t>
  </si>
  <si>
    <t>Canarana</t>
  </si>
  <si>
    <t>Canas</t>
  </si>
  <si>
    <t>Canavieira</t>
  </si>
  <si>
    <t>Canavieiras</t>
  </si>
  <si>
    <t>Candeal</t>
  </si>
  <si>
    <t>Candeias</t>
  </si>
  <si>
    <t>Candeias do Jamari</t>
  </si>
  <si>
    <t>Candelária</t>
  </si>
  <si>
    <t>Candiba</t>
  </si>
  <si>
    <t>Cândido de Abreu</t>
  </si>
  <si>
    <t>Cândido Godói</t>
  </si>
  <si>
    <t>Cândido Mendes</t>
  </si>
  <si>
    <t>Cândido Mota</t>
  </si>
  <si>
    <t>Cândido Rodrigues</t>
  </si>
  <si>
    <t>Cândido Sales</t>
  </si>
  <si>
    <t>Candiota</t>
  </si>
  <si>
    <t>Candói</t>
  </si>
  <si>
    <t>Canela</t>
  </si>
  <si>
    <t>Canelinha</t>
  </si>
  <si>
    <t>Canguaretama</t>
  </si>
  <si>
    <t>Canguçu</t>
  </si>
  <si>
    <t>Canhoba</t>
  </si>
  <si>
    <t>Canhotinho</t>
  </si>
  <si>
    <t>Canindé</t>
  </si>
  <si>
    <t>Canindé de São Francisco</t>
  </si>
  <si>
    <t>Canitar</t>
  </si>
  <si>
    <t>Canoas</t>
  </si>
  <si>
    <t>Canoinhas</t>
  </si>
  <si>
    <t>Cansanção</t>
  </si>
  <si>
    <t>Cantá</t>
  </si>
  <si>
    <t>Cantagalo</t>
  </si>
  <si>
    <t>Cantanhede</t>
  </si>
  <si>
    <t>Canto do Buriti</t>
  </si>
  <si>
    <t>Canudos</t>
  </si>
  <si>
    <t>Canudos do Vale</t>
  </si>
  <si>
    <t>Canutama</t>
  </si>
  <si>
    <t>Capanema</t>
  </si>
  <si>
    <t>Capão Alto</t>
  </si>
  <si>
    <t>Capão Bonito</t>
  </si>
  <si>
    <t>Capão Bonito do Sul</t>
  </si>
  <si>
    <t>Capão da Canoa</t>
  </si>
  <si>
    <t>Capão do Cipó</t>
  </si>
  <si>
    <t>Capão do Leão</t>
  </si>
  <si>
    <t>Caparaó</t>
  </si>
  <si>
    <t>Capela</t>
  </si>
  <si>
    <t>Capela de Santana</t>
  </si>
  <si>
    <t>Capela do Alto</t>
  </si>
  <si>
    <t>Capela do Alto Alegre</t>
  </si>
  <si>
    <t>Capela Nova</t>
  </si>
  <si>
    <t>Capelinha</t>
  </si>
  <si>
    <t>Capetinga</t>
  </si>
  <si>
    <t>Capim</t>
  </si>
  <si>
    <t>Capim Branco</t>
  </si>
  <si>
    <t>Capim Grosso</t>
  </si>
  <si>
    <t>Capinópolis</t>
  </si>
  <si>
    <t>Capinzal</t>
  </si>
  <si>
    <t>Capinzal do Norte</t>
  </si>
  <si>
    <t>Capistrano</t>
  </si>
  <si>
    <t>Capitão</t>
  </si>
  <si>
    <t>Capitão Andrade</t>
  </si>
  <si>
    <t>Capitão de Campos</t>
  </si>
  <si>
    <t>Capitão Enéas</t>
  </si>
  <si>
    <t>Capitão Gervásio Oliveira</t>
  </si>
  <si>
    <t>Capitão Leônidas Marques</t>
  </si>
  <si>
    <t>Capitão Poço</t>
  </si>
  <si>
    <t>Capitólio</t>
  </si>
  <si>
    <t>Capivari</t>
  </si>
  <si>
    <t>Capivari de Baixo</t>
  </si>
  <si>
    <t>Capivari do Sul</t>
  </si>
  <si>
    <t>Capixaba</t>
  </si>
  <si>
    <t>Capoeiras</t>
  </si>
  <si>
    <t>Caputira</t>
  </si>
  <si>
    <t>Caraá</t>
  </si>
  <si>
    <t>Caracaraí</t>
  </si>
  <si>
    <t>Caracol</t>
  </si>
  <si>
    <t>Caraguatatuba</t>
  </si>
  <si>
    <t>Caraí</t>
  </si>
  <si>
    <t>Caraíbas</t>
  </si>
  <si>
    <t>Carambeí</t>
  </si>
  <si>
    <t>Caranaíba</t>
  </si>
  <si>
    <t>Carandaí</t>
  </si>
  <si>
    <t>Carangola</t>
  </si>
  <si>
    <t>Carapebus</t>
  </si>
  <si>
    <t>Carapicuíba</t>
  </si>
  <si>
    <t>Caratinga</t>
  </si>
  <si>
    <t>Carauari</t>
  </si>
  <si>
    <t>Caraúbas</t>
  </si>
  <si>
    <t>Caraúbas do Piauí</t>
  </si>
  <si>
    <t>Caravelas</t>
  </si>
  <si>
    <t>Carazinho</t>
  </si>
  <si>
    <t>Carbonita</t>
  </si>
  <si>
    <t>Cardeal da Silva</t>
  </si>
  <si>
    <t>Cardoso</t>
  </si>
  <si>
    <t>Cardoso Moreira</t>
  </si>
  <si>
    <t>Careaçu</t>
  </si>
  <si>
    <t>Careiro</t>
  </si>
  <si>
    <t>Careiro da Várzea</t>
  </si>
  <si>
    <t>Cariacica</t>
  </si>
  <si>
    <t>Caridade</t>
  </si>
  <si>
    <t>Caridade do Piauí</t>
  </si>
  <si>
    <t>Carinhanha</t>
  </si>
  <si>
    <t>Carira</t>
  </si>
  <si>
    <t>Cariré</t>
  </si>
  <si>
    <t>Cariri do Tocantins</t>
  </si>
  <si>
    <t>Caririaçu</t>
  </si>
  <si>
    <t>Cariús</t>
  </si>
  <si>
    <t>Carlinda</t>
  </si>
  <si>
    <t>Carlópolis</t>
  </si>
  <si>
    <t>Carlos Barbosa</t>
  </si>
  <si>
    <t>Carlos Chagas</t>
  </si>
  <si>
    <t>Carlos Gomes</t>
  </si>
  <si>
    <t>Carmésia</t>
  </si>
  <si>
    <t>Carmo</t>
  </si>
  <si>
    <t>Carmo da Cachoeira</t>
  </si>
  <si>
    <t>Carmo da Mata</t>
  </si>
  <si>
    <t>Carmo de Minas</t>
  </si>
  <si>
    <t>Carmo do Cajuru</t>
  </si>
  <si>
    <t>Carmo do Paranaíba</t>
  </si>
  <si>
    <t>Carmo do Rio Claro</t>
  </si>
  <si>
    <t>Carmo do Rio Verde</t>
  </si>
  <si>
    <t>Carmolândia</t>
  </si>
  <si>
    <t>Carmópolis</t>
  </si>
  <si>
    <t>Carmópolis de Minas</t>
  </si>
  <si>
    <t>Carnaíba</t>
  </si>
  <si>
    <t>Carnaúba Dos Dantas</t>
  </si>
  <si>
    <t>Carnaubais</t>
  </si>
  <si>
    <t>Carnaubal</t>
  </si>
  <si>
    <t>Carnaubeira da Penha</t>
  </si>
  <si>
    <t>Carneirinho</t>
  </si>
  <si>
    <t>Carneiros</t>
  </si>
  <si>
    <t>Caroebe</t>
  </si>
  <si>
    <t>Carolina</t>
  </si>
  <si>
    <t>Carpina</t>
  </si>
  <si>
    <t>Carrancas</t>
  </si>
  <si>
    <t>Carrapateira</t>
  </si>
  <si>
    <t>Carrasco Bonito</t>
  </si>
  <si>
    <t>Caruaru</t>
  </si>
  <si>
    <t>Carutapera</t>
  </si>
  <si>
    <t>Carvalhópolis</t>
  </si>
  <si>
    <t>Carvalhos</t>
  </si>
  <si>
    <t>Casa Branca</t>
  </si>
  <si>
    <t>Casa Grande</t>
  </si>
  <si>
    <t>Casa Nova</t>
  </si>
  <si>
    <t>Casca</t>
  </si>
  <si>
    <t>Cascalho Rico</t>
  </si>
  <si>
    <t>Cascavel</t>
  </si>
  <si>
    <t>Caseara</t>
  </si>
  <si>
    <t>Caseiros</t>
  </si>
  <si>
    <t>Casimiro de Abreu</t>
  </si>
  <si>
    <t>Casinhas</t>
  </si>
  <si>
    <t>Casserengue</t>
  </si>
  <si>
    <t>Cássia</t>
  </si>
  <si>
    <t>Cássia Dos Coqueiros</t>
  </si>
  <si>
    <t>Cassilândia</t>
  </si>
  <si>
    <t>Castanhal</t>
  </si>
  <si>
    <t>Castanheira</t>
  </si>
  <si>
    <t>Castanheiras</t>
  </si>
  <si>
    <t>Castelândia</t>
  </si>
  <si>
    <t>Castelo</t>
  </si>
  <si>
    <t>Castelo do Piauí</t>
  </si>
  <si>
    <t>Castilho</t>
  </si>
  <si>
    <t>Castro</t>
  </si>
  <si>
    <t>Castro Alves</t>
  </si>
  <si>
    <t>Cataguases</t>
  </si>
  <si>
    <t>Catalão</t>
  </si>
  <si>
    <t>Catanduva</t>
  </si>
  <si>
    <t>Catanduvas</t>
  </si>
  <si>
    <t>Catarina</t>
  </si>
  <si>
    <t>Catas Altas</t>
  </si>
  <si>
    <t>Catas Altas da Noruega</t>
  </si>
  <si>
    <t>Catende</t>
  </si>
  <si>
    <t>Catiguá</t>
  </si>
  <si>
    <t>Catingueira</t>
  </si>
  <si>
    <t>Catolândia</t>
  </si>
  <si>
    <t>Catolé do Rocha</t>
  </si>
  <si>
    <t>Catu</t>
  </si>
  <si>
    <t>Catuípe</t>
  </si>
  <si>
    <t>Catuji</t>
  </si>
  <si>
    <t>Catunda</t>
  </si>
  <si>
    <t>Caturaí</t>
  </si>
  <si>
    <t>Caturama</t>
  </si>
  <si>
    <t>Caturité</t>
  </si>
  <si>
    <t>Catuti</t>
  </si>
  <si>
    <t>Caucaia</t>
  </si>
  <si>
    <t>Cavalcante</t>
  </si>
  <si>
    <t>Caxambu</t>
  </si>
  <si>
    <t>Caxambu do Sul</t>
  </si>
  <si>
    <t>Caxias</t>
  </si>
  <si>
    <t>Caxias do Sul</t>
  </si>
  <si>
    <t>Caxingó</t>
  </si>
  <si>
    <t>Ceará-mirim</t>
  </si>
  <si>
    <t>Cedral</t>
  </si>
  <si>
    <t>Cedro</t>
  </si>
  <si>
    <t>Cedro de São João</t>
  </si>
  <si>
    <t>Cedro do Abaeté</t>
  </si>
  <si>
    <t>Celso Ramos</t>
  </si>
  <si>
    <t>Centenário</t>
  </si>
  <si>
    <t>Centenário do Sul</t>
  </si>
  <si>
    <t>Central</t>
  </si>
  <si>
    <t>Central de Minas</t>
  </si>
  <si>
    <t>Central do Maranhão</t>
  </si>
  <si>
    <t>Centralina</t>
  </si>
  <si>
    <t>Centro do Guilherme</t>
  </si>
  <si>
    <t>Centro Novo do Maranhão</t>
  </si>
  <si>
    <t>Cerejeiras</t>
  </si>
  <si>
    <t>Ceres</t>
  </si>
  <si>
    <t>Cerqueira César</t>
  </si>
  <si>
    <t>Cerquilho</t>
  </si>
  <si>
    <t>Cerrito</t>
  </si>
  <si>
    <t>Cerro Azul</t>
  </si>
  <si>
    <t>Cerro Branco</t>
  </si>
  <si>
    <t>Cerro Corá</t>
  </si>
  <si>
    <t>Cerro Grande</t>
  </si>
  <si>
    <t>Cerro Grande do Sul</t>
  </si>
  <si>
    <t>Cerro Largo</t>
  </si>
  <si>
    <t>Cerro Negro</t>
  </si>
  <si>
    <t>Cesário Lange</t>
  </si>
  <si>
    <t>Céu Azul</t>
  </si>
  <si>
    <t>Cezarina</t>
  </si>
  <si>
    <t>Chã de Alegria</t>
  </si>
  <si>
    <t>Chã Grande</t>
  </si>
  <si>
    <t>Chã Preta</t>
  </si>
  <si>
    <t>Chácara</t>
  </si>
  <si>
    <t>Chalé</t>
  </si>
  <si>
    <t>Chapada</t>
  </si>
  <si>
    <t>Chapada da Natividade</t>
  </si>
  <si>
    <t>Chapada de Areia</t>
  </si>
  <si>
    <t>Chapada do Norte</t>
  </si>
  <si>
    <t>Chapada Dos Guimarães</t>
  </si>
  <si>
    <t>Chapada Gaúcha</t>
  </si>
  <si>
    <t>Chapadão do Céu</t>
  </si>
  <si>
    <t>Chapadão do Lageado</t>
  </si>
  <si>
    <t>Chapadão do Sul</t>
  </si>
  <si>
    <t>Chapadinha</t>
  </si>
  <si>
    <t>Chapecó</t>
  </si>
  <si>
    <t>Charqueada</t>
  </si>
  <si>
    <t>Charqueadas</t>
  </si>
  <si>
    <t>Charrua</t>
  </si>
  <si>
    <t>Chaval</t>
  </si>
  <si>
    <t>Chavantes</t>
  </si>
  <si>
    <t>Chaves</t>
  </si>
  <si>
    <t>Chiador</t>
  </si>
  <si>
    <t>Chiapetta</t>
  </si>
  <si>
    <t>Chopinzinho</t>
  </si>
  <si>
    <t>Choró</t>
  </si>
  <si>
    <t>Chorozinho</t>
  </si>
  <si>
    <t>Chorrochó</t>
  </si>
  <si>
    <t>Chuí</t>
  </si>
  <si>
    <t>Chupinguaia</t>
  </si>
  <si>
    <t>Chuvisca</t>
  </si>
  <si>
    <t>Cianorte</t>
  </si>
  <si>
    <t>Cícero Dantas</t>
  </si>
  <si>
    <t>Cidade Gaúcha</t>
  </si>
  <si>
    <t>Cidade Ocidental</t>
  </si>
  <si>
    <t>Cidelândia</t>
  </si>
  <si>
    <t>Cidreira</t>
  </si>
  <si>
    <t>Cipó</t>
  </si>
  <si>
    <t>Cipotânea</t>
  </si>
  <si>
    <t>Ciríaco</t>
  </si>
  <si>
    <t>Claraval</t>
  </si>
  <si>
    <t>Claro Dos Poções</t>
  </si>
  <si>
    <t>Cláudia</t>
  </si>
  <si>
    <t>Cláudio</t>
  </si>
  <si>
    <t>Clementina</t>
  </si>
  <si>
    <t>Clevelândia</t>
  </si>
  <si>
    <t>Coaraci</t>
  </si>
  <si>
    <t>Coari</t>
  </si>
  <si>
    <t>Cocal</t>
  </si>
  <si>
    <t>Cocal de Telha</t>
  </si>
  <si>
    <t>Cocal do Sul</t>
  </si>
  <si>
    <t>Cocal Dos Alves</t>
  </si>
  <si>
    <t>Cocalinho</t>
  </si>
  <si>
    <t>Cocalzinho de Goiás</t>
  </si>
  <si>
    <t>Cocos</t>
  </si>
  <si>
    <t>Codajás</t>
  </si>
  <si>
    <t>Codó</t>
  </si>
  <si>
    <t>Coelho Neto</t>
  </si>
  <si>
    <t>Coimbra</t>
  </si>
  <si>
    <t>Coité do Nóia</t>
  </si>
  <si>
    <t>Coivaras</t>
  </si>
  <si>
    <t>Colares</t>
  </si>
  <si>
    <t>Colatina</t>
  </si>
  <si>
    <t>Colíder</t>
  </si>
  <si>
    <t>Colina</t>
  </si>
  <si>
    <t>Colinas</t>
  </si>
  <si>
    <t>Colinas do Sul</t>
  </si>
  <si>
    <t>Colinas do Tocantins</t>
  </si>
  <si>
    <t>Colméia</t>
  </si>
  <si>
    <t>Colniza</t>
  </si>
  <si>
    <t>Colômbia</t>
  </si>
  <si>
    <t>Colombo</t>
  </si>
  <si>
    <t>Colônia do Gurguéia</t>
  </si>
  <si>
    <t>Colônia do Piauí</t>
  </si>
  <si>
    <t>Colônia Leopoldina</t>
  </si>
  <si>
    <t>Colorado</t>
  </si>
  <si>
    <t>Colorado do Oeste</t>
  </si>
  <si>
    <t>Coluna</t>
  </si>
  <si>
    <t>Combinado</t>
  </si>
  <si>
    <t>Comendador Gomes</t>
  </si>
  <si>
    <t>Comendador Levy Gasparian</t>
  </si>
  <si>
    <t>Comercinho</t>
  </si>
  <si>
    <t>Comodoro</t>
  </si>
  <si>
    <t>Conceição</t>
  </si>
  <si>
    <t>Conceição da Aparecida</t>
  </si>
  <si>
    <t>Conceição da Barra</t>
  </si>
  <si>
    <t>Conceição da Barra de Minas</t>
  </si>
  <si>
    <t>Conceição da Feira</t>
  </si>
  <si>
    <t>Conceição Das Alagoas</t>
  </si>
  <si>
    <t>Conceição Das Pedras</t>
  </si>
  <si>
    <t>Conceição de Ipanema</t>
  </si>
  <si>
    <t>Conceição de Macabu</t>
  </si>
  <si>
    <t>Conceição do Almeida</t>
  </si>
  <si>
    <t>Conceição do Araguaia</t>
  </si>
  <si>
    <t>Conceição do Canindé</t>
  </si>
  <si>
    <t>Conceição do Castelo</t>
  </si>
  <si>
    <t>Conceição do Coité</t>
  </si>
  <si>
    <t>Conceição do Jacuípe</t>
  </si>
  <si>
    <t>Conceição do Lago-açu</t>
  </si>
  <si>
    <t>Conceição do Mato Dentro</t>
  </si>
  <si>
    <t>Conceição do Pará</t>
  </si>
  <si>
    <t>Conceição do Rio Verde</t>
  </si>
  <si>
    <t>Conceição do Tocantins</t>
  </si>
  <si>
    <t>Conceição Dos Ouros</t>
  </si>
  <si>
    <t>Conchal</t>
  </si>
  <si>
    <t>Conchas</t>
  </si>
  <si>
    <t>Concórdia</t>
  </si>
  <si>
    <t>Concórdia do Pará</t>
  </si>
  <si>
    <t>Condado</t>
  </si>
  <si>
    <t>Conde</t>
  </si>
  <si>
    <t>Condeúba</t>
  </si>
  <si>
    <t>Condor</t>
  </si>
  <si>
    <t>Cônego Marinho</t>
  </si>
  <si>
    <t>Confins</t>
  </si>
  <si>
    <t>Confresa</t>
  </si>
  <si>
    <t>Congo</t>
  </si>
  <si>
    <t>Congonhal</t>
  </si>
  <si>
    <t>Congonhas</t>
  </si>
  <si>
    <t>Congonhas do Norte</t>
  </si>
  <si>
    <t>Congonhinhas</t>
  </si>
  <si>
    <t>Conquista</t>
  </si>
  <si>
    <t>Conquista D´oeste</t>
  </si>
  <si>
    <t>Conselheiro Lafaiete</t>
  </si>
  <si>
    <t>Conselheiro Mairinck</t>
  </si>
  <si>
    <t>Conselheiro Pena</t>
  </si>
  <si>
    <t>Consolação</t>
  </si>
  <si>
    <t>Constantina</t>
  </si>
  <si>
    <t>Contagem</t>
  </si>
  <si>
    <t>Contenda</t>
  </si>
  <si>
    <t>Contendas do Sincorá</t>
  </si>
  <si>
    <t>Coqueiral</t>
  </si>
  <si>
    <t>Coqueiro Baixo</t>
  </si>
  <si>
    <t>Coqueiro Seco</t>
  </si>
  <si>
    <t>Coqueiros do Sul</t>
  </si>
  <si>
    <t>Coração de Jesus</t>
  </si>
  <si>
    <t>Coração de Maria</t>
  </si>
  <si>
    <t>Corbélia</t>
  </si>
  <si>
    <t>Cordeiro</t>
  </si>
  <si>
    <t>Cordeirópolis</t>
  </si>
  <si>
    <t>Cordeiros</t>
  </si>
  <si>
    <t>Cordilheira Alta</t>
  </si>
  <si>
    <t>Cordisburgo</t>
  </si>
  <si>
    <t>Cordislândia</t>
  </si>
  <si>
    <t>Coreaú</t>
  </si>
  <si>
    <t>Coremas</t>
  </si>
  <si>
    <t>Corguinho</t>
  </si>
  <si>
    <t>Coribe</t>
  </si>
  <si>
    <t>Corinto</t>
  </si>
  <si>
    <t>Cornélio Procópio</t>
  </si>
  <si>
    <t>Coroaci</t>
  </si>
  <si>
    <t>Coroados</t>
  </si>
  <si>
    <t>Coroatá</t>
  </si>
  <si>
    <t>Coromandel</t>
  </si>
  <si>
    <t>Coronel Barros</t>
  </si>
  <si>
    <t>Coronel Bicaco</t>
  </si>
  <si>
    <t>Coronel Domingos Soares</t>
  </si>
  <si>
    <t>Coronel Ezequiel</t>
  </si>
  <si>
    <t>Coronel Fabriciano</t>
  </si>
  <si>
    <t>Coronel Freitas</t>
  </si>
  <si>
    <t>Coronel João Pessoa</t>
  </si>
  <si>
    <t>Coronel João sá</t>
  </si>
  <si>
    <t>Coronel José Dias</t>
  </si>
  <si>
    <t>Coronel Macedo</t>
  </si>
  <si>
    <t>Coronel Martins</t>
  </si>
  <si>
    <t>Coronel Murta</t>
  </si>
  <si>
    <t>Coronel Pacheco</t>
  </si>
  <si>
    <t>Coronel Pilar</t>
  </si>
  <si>
    <t>Coronel Sapucaia</t>
  </si>
  <si>
    <t>Coronel Vivida</t>
  </si>
  <si>
    <t>Coronel Xavier Chaves</t>
  </si>
  <si>
    <t>Córrego Danta</t>
  </si>
  <si>
    <t>Córrego do Bom Jesus</t>
  </si>
  <si>
    <t>Córrego do Ouro</t>
  </si>
  <si>
    <t>Córrego Fundo</t>
  </si>
  <si>
    <t>Córrego Novo</t>
  </si>
  <si>
    <t>Correia Pinto</t>
  </si>
  <si>
    <t>Corrente</t>
  </si>
  <si>
    <t>Correntes</t>
  </si>
  <si>
    <t>Correntina</t>
  </si>
  <si>
    <t>Cortês</t>
  </si>
  <si>
    <t>Corumbá</t>
  </si>
  <si>
    <t>Corumbá de Goiás</t>
  </si>
  <si>
    <t>Corumbaíba</t>
  </si>
  <si>
    <t>Corumbataí</t>
  </si>
  <si>
    <t>Corumbataí do Sul</t>
  </si>
  <si>
    <t>Corumbiara</t>
  </si>
  <si>
    <t>Corupá</t>
  </si>
  <si>
    <t>Coruripe</t>
  </si>
  <si>
    <t>Cosmópolis</t>
  </si>
  <si>
    <t>Cosmorama</t>
  </si>
  <si>
    <t>Costa Marques</t>
  </si>
  <si>
    <t>Costa Rica</t>
  </si>
  <si>
    <t>Cotegipe</t>
  </si>
  <si>
    <t>Cotia</t>
  </si>
  <si>
    <t>Cotiporã</t>
  </si>
  <si>
    <t>Cotriguaçu</t>
  </si>
  <si>
    <t>Couto de Magalhães</t>
  </si>
  <si>
    <t>Couto de Magalhães de Minas</t>
  </si>
  <si>
    <t>Coxilha</t>
  </si>
  <si>
    <t>Coxim</t>
  </si>
  <si>
    <t>Coxixola</t>
  </si>
  <si>
    <t>Craíbas</t>
  </si>
  <si>
    <t>Crateús</t>
  </si>
  <si>
    <t>Crato</t>
  </si>
  <si>
    <t>Cravinhos</t>
  </si>
  <si>
    <t>Cravolândia</t>
  </si>
  <si>
    <t>Criciúma</t>
  </si>
  <si>
    <t>Crisólita</t>
  </si>
  <si>
    <t>Crisópolis</t>
  </si>
  <si>
    <t>Crissiumal</t>
  </si>
  <si>
    <t>Cristais</t>
  </si>
  <si>
    <t>Cristais Paulista</t>
  </si>
  <si>
    <t>Cristal</t>
  </si>
  <si>
    <t>Cristal do Sul</t>
  </si>
  <si>
    <t>Cristalândia</t>
  </si>
  <si>
    <t>Cristalândia do Piauí</t>
  </si>
  <si>
    <t>Cristália</t>
  </si>
  <si>
    <t>Cristalina</t>
  </si>
  <si>
    <t>Cristiano Otoni</t>
  </si>
  <si>
    <t>Cristianópolis</t>
  </si>
  <si>
    <t>Cristina</t>
  </si>
  <si>
    <t>Cristinápolis</t>
  </si>
  <si>
    <t>Cristino Castro</t>
  </si>
  <si>
    <t>Cristópolis</t>
  </si>
  <si>
    <t>Crixás</t>
  </si>
  <si>
    <t>Crixás do Tocantins</t>
  </si>
  <si>
    <t>Croatá</t>
  </si>
  <si>
    <t>Cromínia</t>
  </si>
  <si>
    <t>Crucilândia</t>
  </si>
  <si>
    <t>Cruz</t>
  </si>
  <si>
    <t>Cruz Alta</t>
  </si>
  <si>
    <t>Cruz Das Almas</t>
  </si>
  <si>
    <t>Cruz do Espírito Santo</t>
  </si>
  <si>
    <t>Cruz Machado</t>
  </si>
  <si>
    <t>Cruzália</t>
  </si>
  <si>
    <t>Cruzaltense</t>
  </si>
  <si>
    <t>Cruzeiro</t>
  </si>
  <si>
    <t>Cruzeiro da Fortaleza</t>
  </si>
  <si>
    <t>Cruzeiro do Iguaçu</t>
  </si>
  <si>
    <t>Cruzeiro do Oeste</t>
  </si>
  <si>
    <t>Cruzeiro do Sul</t>
  </si>
  <si>
    <t>Cruzeta</t>
  </si>
  <si>
    <t>Cruzília</t>
  </si>
  <si>
    <t>Cruzmaltina</t>
  </si>
  <si>
    <t>Cubatão</t>
  </si>
  <si>
    <t>Cubati</t>
  </si>
  <si>
    <t>Cuiabá</t>
  </si>
  <si>
    <t>Cuité</t>
  </si>
  <si>
    <t>Cuité de Mamanguape</t>
  </si>
  <si>
    <t>Cuitegi</t>
  </si>
  <si>
    <t>Cujubim</t>
  </si>
  <si>
    <t>Cumari</t>
  </si>
  <si>
    <t>Cumaru</t>
  </si>
  <si>
    <t>Cumaru do Norte</t>
  </si>
  <si>
    <t>Cumbe</t>
  </si>
  <si>
    <t>Cunha</t>
  </si>
  <si>
    <t>Cunha Porã</t>
  </si>
  <si>
    <t>Cunhataí</t>
  </si>
  <si>
    <t>Cuparaque</t>
  </si>
  <si>
    <t>Cupira</t>
  </si>
  <si>
    <t>Curaçá</t>
  </si>
  <si>
    <t>Curimatá</t>
  </si>
  <si>
    <t>Curionópolis</t>
  </si>
  <si>
    <t>Curitiba</t>
  </si>
  <si>
    <t>Curitibanos</t>
  </si>
  <si>
    <t>Curiúva</t>
  </si>
  <si>
    <t>Currais</t>
  </si>
  <si>
    <t>Currais Novos</t>
  </si>
  <si>
    <t>Curral de Cima</t>
  </si>
  <si>
    <t>Curral de Dentro</t>
  </si>
  <si>
    <t>Curral Novo do Piauí</t>
  </si>
  <si>
    <t>Curral Velho</t>
  </si>
  <si>
    <t>Curralinho</t>
  </si>
  <si>
    <t>Curralinhos</t>
  </si>
  <si>
    <t>Curuá</t>
  </si>
  <si>
    <t>Curuçá</t>
  </si>
  <si>
    <t>Cururupu</t>
  </si>
  <si>
    <t>Curvelândia</t>
  </si>
  <si>
    <t>Curvelo</t>
  </si>
  <si>
    <t>Custódia</t>
  </si>
  <si>
    <t>Cutias</t>
  </si>
  <si>
    <t>Damianópolis</t>
  </si>
  <si>
    <t>Damião</t>
  </si>
  <si>
    <t>Damolândia</t>
  </si>
  <si>
    <t>Darcinópolis</t>
  </si>
  <si>
    <t>Dário Meira</t>
  </si>
  <si>
    <t>Datas</t>
  </si>
  <si>
    <t>David Canabarro</t>
  </si>
  <si>
    <t>Davinópolis</t>
  </si>
  <si>
    <t>Delfim Moreira</t>
  </si>
  <si>
    <t>Delfinópolis</t>
  </si>
  <si>
    <t>Delmiro Gouveia</t>
  </si>
  <si>
    <t>Delta</t>
  </si>
  <si>
    <t>Demerval Lobão</t>
  </si>
  <si>
    <t>Denise</t>
  </si>
  <si>
    <t>Deodápolis</t>
  </si>
  <si>
    <t>Deputado Irapuan Pinheiro</t>
  </si>
  <si>
    <t>Derrubadas</t>
  </si>
  <si>
    <t>Descalvado</t>
  </si>
  <si>
    <t>Descanso</t>
  </si>
  <si>
    <t>Descoberto</t>
  </si>
  <si>
    <t>Desterro</t>
  </si>
  <si>
    <t>Desterro de Entre Rios</t>
  </si>
  <si>
    <t>Desterro do Melo</t>
  </si>
  <si>
    <t>Dezesseis de Novembro</t>
  </si>
  <si>
    <t>Diadema</t>
  </si>
  <si>
    <t>Diamante</t>
  </si>
  <si>
    <t>Diamante D´oeste</t>
  </si>
  <si>
    <t>Diamante do Norte</t>
  </si>
  <si>
    <t>Diamante do Sul</t>
  </si>
  <si>
    <t>Diamantina</t>
  </si>
  <si>
    <t>Diamantino</t>
  </si>
  <si>
    <t>Dianópolis</t>
  </si>
  <si>
    <t>Dias D´ávila</t>
  </si>
  <si>
    <t>Dilermando de Aguiar</t>
  </si>
  <si>
    <t>Diogo de Vasconcelos</t>
  </si>
  <si>
    <t>Dionísio</t>
  </si>
  <si>
    <t>Dionísio Cerqueira</t>
  </si>
  <si>
    <t>Diorama</t>
  </si>
  <si>
    <t>Dirce Reis</t>
  </si>
  <si>
    <t>Dirceu Arcoverde</t>
  </si>
  <si>
    <t>Divina Pastora</t>
  </si>
  <si>
    <t>Divinésia</t>
  </si>
  <si>
    <t>Divino</t>
  </si>
  <si>
    <t>Divino Das Laranjeiras</t>
  </si>
  <si>
    <t>Divino de São Lourenço</t>
  </si>
  <si>
    <t>Divinolândia</t>
  </si>
  <si>
    <t>Divinolândia de Minas</t>
  </si>
  <si>
    <t>Divinópolis</t>
  </si>
  <si>
    <t>Divinópolis de Goiás</t>
  </si>
  <si>
    <t>Divinópolis do Tocantins</t>
  </si>
  <si>
    <t>Divisa Alegre</t>
  </si>
  <si>
    <t>Divisa Nova</t>
  </si>
  <si>
    <t>Divisópolis</t>
  </si>
  <si>
    <t>Dobrada</t>
  </si>
  <si>
    <t>Dois Córregos</t>
  </si>
  <si>
    <t>Dois Irmãos</t>
  </si>
  <si>
    <t>Dois Irmãos Das Missões</t>
  </si>
  <si>
    <t>Dois Irmãos do Buriti</t>
  </si>
  <si>
    <t>Dois Irmãos do Tocantins</t>
  </si>
  <si>
    <t>Dois Lajeados</t>
  </si>
  <si>
    <t>Dois Riachos</t>
  </si>
  <si>
    <t>Dois Vizinhos</t>
  </si>
  <si>
    <t>Dolcinópolis</t>
  </si>
  <si>
    <t>Dom Aquino</t>
  </si>
  <si>
    <t>Dom Basílio</t>
  </si>
  <si>
    <t>Dom Bosco</t>
  </si>
  <si>
    <t>Dom Cavati</t>
  </si>
  <si>
    <t>Dom Eliseu</t>
  </si>
  <si>
    <t>Dom Expedito Lopes</t>
  </si>
  <si>
    <t>Dom Feliciano</t>
  </si>
  <si>
    <t>Dom Inocêncio</t>
  </si>
  <si>
    <t>Dom Joaquim</t>
  </si>
  <si>
    <t>Dom Macedo Costa</t>
  </si>
  <si>
    <t>Dom Pedrito</t>
  </si>
  <si>
    <t>Dom Pedro</t>
  </si>
  <si>
    <t>Dom Pedro de Alcântara</t>
  </si>
  <si>
    <t>Dom Silvério</t>
  </si>
  <si>
    <t>Dom Viçoso</t>
  </si>
  <si>
    <t>Domingos Martins</t>
  </si>
  <si>
    <t>Domingos Mourão</t>
  </si>
  <si>
    <t>Dona Emma</t>
  </si>
  <si>
    <t>Dona Eusébia</t>
  </si>
  <si>
    <t>Dona Francisca</t>
  </si>
  <si>
    <t>Dona Inês</t>
  </si>
  <si>
    <t>Dores de Campos</t>
  </si>
  <si>
    <t>Dores de Guanhães</t>
  </si>
  <si>
    <t>Dores do Indaiá</t>
  </si>
  <si>
    <t>Dores do Rio Preto</t>
  </si>
  <si>
    <t>Dores do Turvo</t>
  </si>
  <si>
    <t>Doresópolis</t>
  </si>
  <si>
    <t>Dormentes</t>
  </si>
  <si>
    <t>Douradina</t>
  </si>
  <si>
    <t>Dourado</t>
  </si>
  <si>
    <t>Douradoquara</t>
  </si>
  <si>
    <t>Dourados</t>
  </si>
  <si>
    <t>Doutor Camargo</t>
  </si>
  <si>
    <t>Doutor Maurício Cardoso</t>
  </si>
  <si>
    <t>Doutor Pedrinho</t>
  </si>
  <si>
    <t>Doutor Ricardo</t>
  </si>
  <si>
    <t>Doutor Severiano</t>
  </si>
  <si>
    <t>Doutor Ulysses</t>
  </si>
  <si>
    <t>Doverlândia</t>
  </si>
  <si>
    <t>Dracena</t>
  </si>
  <si>
    <t>Duartina</t>
  </si>
  <si>
    <t>Duas Barras</t>
  </si>
  <si>
    <t>Duas Estradas</t>
  </si>
  <si>
    <t>Dueré</t>
  </si>
  <si>
    <t>Dumont</t>
  </si>
  <si>
    <t>Duque Bacelar</t>
  </si>
  <si>
    <t>Duque de Caxias</t>
  </si>
  <si>
    <t>Durandé</t>
  </si>
  <si>
    <t>Echaporã</t>
  </si>
  <si>
    <t>Ecoporanga</t>
  </si>
  <si>
    <t>Edealina</t>
  </si>
  <si>
    <t>Edéia</t>
  </si>
  <si>
    <t>Eirunepé</t>
  </si>
  <si>
    <t>Eldorado</t>
  </si>
  <si>
    <t>Eldorado do Sul</t>
  </si>
  <si>
    <t>Eldorado Dos Carajás</t>
  </si>
  <si>
    <t>Elesbão Veloso</t>
  </si>
  <si>
    <t>Elias Fausto</t>
  </si>
  <si>
    <t>Eliseu Martins</t>
  </si>
  <si>
    <t>Elisiário</t>
  </si>
  <si>
    <t>Elísio Medrado</t>
  </si>
  <si>
    <t>Elói Mendes</t>
  </si>
  <si>
    <t>Emas</t>
  </si>
  <si>
    <t>Embaúba</t>
  </si>
  <si>
    <t>Embu</t>
  </si>
  <si>
    <t>Embu-guaçu</t>
  </si>
  <si>
    <t>Emilianópolis</t>
  </si>
  <si>
    <t>Encantado</t>
  </si>
  <si>
    <t>Encanto</t>
  </si>
  <si>
    <t>Encruzilhada</t>
  </si>
  <si>
    <t>Encruzilhada do Sul</t>
  </si>
  <si>
    <t>Enéas Marques</t>
  </si>
  <si>
    <t>Engenheiro Beltrão</t>
  </si>
  <si>
    <t>Engenheiro Caldas</t>
  </si>
  <si>
    <t>Engenheiro Coelho</t>
  </si>
  <si>
    <t>Engenheiro Navarro</t>
  </si>
  <si>
    <t>Engenheiro Paulo de Frontin</t>
  </si>
  <si>
    <t>Engenho Velho</t>
  </si>
  <si>
    <t>Entre Folhas</t>
  </si>
  <si>
    <t>Entre Rios</t>
  </si>
  <si>
    <t>Entre Rios de Minas</t>
  </si>
  <si>
    <t>Entre Rios do Oeste</t>
  </si>
  <si>
    <t>Entre Rios do Sul</t>
  </si>
  <si>
    <t>Entre-ijuís</t>
  </si>
  <si>
    <t>Envira</t>
  </si>
  <si>
    <t>Epitaciolândia</t>
  </si>
  <si>
    <t>Equador</t>
  </si>
  <si>
    <t>Erebango</t>
  </si>
  <si>
    <t>Erechim</t>
  </si>
  <si>
    <t>Ererê</t>
  </si>
  <si>
    <t>Érico Cardoso</t>
  </si>
  <si>
    <t>Ermo</t>
  </si>
  <si>
    <t>Ernestina</t>
  </si>
  <si>
    <t>Erval Grande</t>
  </si>
  <si>
    <t>Erval Seco</t>
  </si>
  <si>
    <t>Erval Velho</t>
  </si>
  <si>
    <t>Ervália</t>
  </si>
  <si>
    <t>Escada</t>
  </si>
  <si>
    <t>Esmeralda</t>
  </si>
  <si>
    <t>Esmeraldas</t>
  </si>
  <si>
    <t>Espera Feliz</t>
  </si>
  <si>
    <t>Esperança</t>
  </si>
  <si>
    <t>Esperança do Sul</t>
  </si>
  <si>
    <t>Esperança Nova</t>
  </si>
  <si>
    <t>Esperantina</t>
  </si>
  <si>
    <t>Esperantinópolis</t>
  </si>
  <si>
    <t>Espigão Alto do Iguaçu</t>
  </si>
  <si>
    <t>Espigão D´oeste</t>
  </si>
  <si>
    <t>Espinosa</t>
  </si>
  <si>
    <t>Espírito Santo</t>
  </si>
  <si>
    <t>Espírito Santo do Dourado</t>
  </si>
  <si>
    <t>Espírito Santo do Pinhal</t>
  </si>
  <si>
    <t>Espírito Santo do Turvo</t>
  </si>
  <si>
    <t>Esplanada</t>
  </si>
  <si>
    <t>Espumoso</t>
  </si>
  <si>
    <t>Estação</t>
  </si>
  <si>
    <t>Estância</t>
  </si>
  <si>
    <t>Estância Velha</t>
  </si>
  <si>
    <t>Esteio</t>
  </si>
  <si>
    <t>Estiva</t>
  </si>
  <si>
    <t>Estiva Gerbi</t>
  </si>
  <si>
    <t>Estreito</t>
  </si>
  <si>
    <t>Estrela</t>
  </si>
  <si>
    <t>Estrela D´oeste</t>
  </si>
  <si>
    <t>Estrela Dalva</t>
  </si>
  <si>
    <t>Estrela de Alagoas</t>
  </si>
  <si>
    <t>Estrela do Indaiá</t>
  </si>
  <si>
    <t>Estrela do Norte</t>
  </si>
  <si>
    <t>Estrela do Sul</t>
  </si>
  <si>
    <t>Estrela Velha</t>
  </si>
  <si>
    <t>Euclides da Cunha</t>
  </si>
  <si>
    <t>Euclides da Cunha Paulista</t>
  </si>
  <si>
    <t>Eugênio de Castro</t>
  </si>
  <si>
    <t>Eugenópolis</t>
  </si>
  <si>
    <t>Eunápolis</t>
  </si>
  <si>
    <t>Eusébio</t>
  </si>
  <si>
    <t>Ewbank da Câmara</t>
  </si>
  <si>
    <t>Extrema</t>
  </si>
  <si>
    <t>Extremoz</t>
  </si>
  <si>
    <t>Exu</t>
  </si>
  <si>
    <t>Fagundes</t>
  </si>
  <si>
    <t>Fagundes Varela</t>
  </si>
  <si>
    <t>Faina</t>
  </si>
  <si>
    <t>Fama</t>
  </si>
  <si>
    <t>Faria Lemos</t>
  </si>
  <si>
    <t>Farias Brito</t>
  </si>
  <si>
    <t>Faro</t>
  </si>
  <si>
    <t>Farol</t>
  </si>
  <si>
    <t>Farroupilha</t>
  </si>
  <si>
    <t>Fartura</t>
  </si>
  <si>
    <t>Fartura do Piauí</t>
  </si>
  <si>
    <t>Fátima</t>
  </si>
  <si>
    <t>Fátima do Sul</t>
  </si>
  <si>
    <t>Faxinal</t>
  </si>
  <si>
    <t>Faxinal do Soturno</t>
  </si>
  <si>
    <t>Faxinal Dos Guedes</t>
  </si>
  <si>
    <t>Faxinalzinho</t>
  </si>
  <si>
    <t>Fazenda Nova</t>
  </si>
  <si>
    <t>Fazenda Rio Grande</t>
  </si>
  <si>
    <t>Fazenda Vilanova</t>
  </si>
  <si>
    <t>Feijó</t>
  </si>
  <si>
    <t>Feira da Mata</t>
  </si>
  <si>
    <t>Feira de Santana</t>
  </si>
  <si>
    <t>Feira Grande</t>
  </si>
  <si>
    <t>Feira Nova</t>
  </si>
  <si>
    <t>Feira Nova do Maranhão</t>
  </si>
  <si>
    <t>Felício Dos Santos</t>
  </si>
  <si>
    <t>Felipe Guerra</t>
  </si>
  <si>
    <t>Felisburgo</t>
  </si>
  <si>
    <t>Felixlândia</t>
  </si>
  <si>
    <t>Feliz</t>
  </si>
  <si>
    <t>Feliz Deserto</t>
  </si>
  <si>
    <t>Feliz Natal</t>
  </si>
  <si>
    <t>Fênix</t>
  </si>
  <si>
    <t>Fernandes Pinheiro</t>
  </si>
  <si>
    <t>Fernandes Tourinho</t>
  </si>
  <si>
    <t>Fernando de Noronha</t>
  </si>
  <si>
    <t>Fernando Falcão</t>
  </si>
  <si>
    <t>Fernando Pedroza</t>
  </si>
  <si>
    <t>Fernando Prestes</t>
  </si>
  <si>
    <t>Fernandópolis</t>
  </si>
  <si>
    <t>Fernão</t>
  </si>
  <si>
    <t>Ferraz de Vasconcelos</t>
  </si>
  <si>
    <t>Ferreira Gomes</t>
  </si>
  <si>
    <t>Ferreiros</t>
  </si>
  <si>
    <t>Ferros</t>
  </si>
  <si>
    <t>Fervedouro</t>
  </si>
  <si>
    <t>Figueira</t>
  </si>
  <si>
    <t>Figueirão</t>
  </si>
  <si>
    <t>Figueirópolis</t>
  </si>
  <si>
    <t>Figueirópolis D´oeste</t>
  </si>
  <si>
    <t>Filadélfia</t>
  </si>
  <si>
    <t>Firmino Alves</t>
  </si>
  <si>
    <t>Firminópolis</t>
  </si>
  <si>
    <t>Flexeiras</t>
  </si>
  <si>
    <t>Flor da Serra do Sul</t>
  </si>
  <si>
    <t>Flor do Sertão</t>
  </si>
  <si>
    <t>Flora Rica</t>
  </si>
  <si>
    <t>Floraí</t>
  </si>
  <si>
    <t>Florânia</t>
  </si>
  <si>
    <t>Floreal</t>
  </si>
  <si>
    <t>Flores</t>
  </si>
  <si>
    <t>Flores da Cunha</t>
  </si>
  <si>
    <t>Flores de Goiás</t>
  </si>
  <si>
    <t>Flores do Piauí</t>
  </si>
  <si>
    <t>Floresta</t>
  </si>
  <si>
    <t>Floresta Azul</t>
  </si>
  <si>
    <t>Floresta do Araguaia</t>
  </si>
  <si>
    <t>Floresta do Piauí</t>
  </si>
  <si>
    <t>Florestal</t>
  </si>
  <si>
    <t>Florestópolis</t>
  </si>
  <si>
    <t>Floriano</t>
  </si>
  <si>
    <t>Floriano Peixoto</t>
  </si>
  <si>
    <t>Florianópolis</t>
  </si>
  <si>
    <t>Flórida</t>
  </si>
  <si>
    <t>Flórida Paulista</t>
  </si>
  <si>
    <t>Florínia</t>
  </si>
  <si>
    <t>Fonte Boa</t>
  </si>
  <si>
    <t>Fontoura Xavier</t>
  </si>
  <si>
    <t>Formiga</t>
  </si>
  <si>
    <t>Formigueiro</t>
  </si>
  <si>
    <t>Formosa</t>
  </si>
  <si>
    <t>Formosa da Serra Negra</t>
  </si>
  <si>
    <t>Formosa do Oeste</t>
  </si>
  <si>
    <t>Formosa do Rio Preto</t>
  </si>
  <si>
    <t>Formosa do Sul</t>
  </si>
  <si>
    <t>Formoso</t>
  </si>
  <si>
    <t>Formoso do Araguaia</t>
  </si>
  <si>
    <t>Forquetinha</t>
  </si>
  <si>
    <t>Forquilha</t>
  </si>
  <si>
    <t>Forquilhinha</t>
  </si>
  <si>
    <t>Fortaleza</t>
  </si>
  <si>
    <t>Fortaleza de Minas</t>
  </si>
  <si>
    <t>Fortaleza do Tabocão</t>
  </si>
  <si>
    <t>Fortaleza Dos Nogueiras</t>
  </si>
  <si>
    <t>Fortaleza Dos Valos</t>
  </si>
  <si>
    <t>Fortim</t>
  </si>
  <si>
    <t>Fortuna</t>
  </si>
  <si>
    <t>Fortuna de Minas</t>
  </si>
  <si>
    <t>Foz do Iguaçu</t>
  </si>
  <si>
    <t>Foz do Jordão</t>
  </si>
  <si>
    <t>Fraiburgo</t>
  </si>
  <si>
    <t>Franca</t>
  </si>
  <si>
    <t>Francinópolis</t>
  </si>
  <si>
    <t>Francisco Alves</t>
  </si>
  <si>
    <t>Francisco Ayres</t>
  </si>
  <si>
    <t>Francisco Badaró</t>
  </si>
  <si>
    <t>Francisco Beltrão</t>
  </si>
  <si>
    <t>Francisco Dantas</t>
  </si>
  <si>
    <t>Francisco Dumont</t>
  </si>
  <si>
    <t>Francisco Macedo</t>
  </si>
  <si>
    <t>Francisco Morato</t>
  </si>
  <si>
    <t>Francisco sá</t>
  </si>
  <si>
    <t>Francisco Santos</t>
  </si>
  <si>
    <t>Franciscópolis</t>
  </si>
  <si>
    <t>Franco da Rocha</t>
  </si>
  <si>
    <t>Frecheirinha</t>
  </si>
  <si>
    <t>Frederico Westphalen</t>
  </si>
  <si>
    <t>Frei Gaspar</t>
  </si>
  <si>
    <t>Frei Inocêncio</t>
  </si>
  <si>
    <t>Frei Lagonegro</t>
  </si>
  <si>
    <t>Frei Martinho</t>
  </si>
  <si>
    <t>Frei Miguelinho</t>
  </si>
  <si>
    <t>Frei Paulo</t>
  </si>
  <si>
    <t>Frei Rogério</t>
  </si>
  <si>
    <t>Fronteira</t>
  </si>
  <si>
    <t>Fronteira Dos Vales</t>
  </si>
  <si>
    <t>Fronteiras</t>
  </si>
  <si>
    <t>Fruta de Leite</t>
  </si>
  <si>
    <t>Frutal</t>
  </si>
  <si>
    <t>Frutuoso Gomes</t>
  </si>
  <si>
    <t>Fundão</t>
  </si>
  <si>
    <t>Funilândia</t>
  </si>
  <si>
    <t>Gabriel Monteiro</t>
  </si>
  <si>
    <t>Gado Bravo</t>
  </si>
  <si>
    <t>Gália</t>
  </si>
  <si>
    <t>Galiléia</t>
  </si>
  <si>
    <t>Galinhos</t>
  </si>
  <si>
    <t>Galvão</t>
  </si>
  <si>
    <t>Gameleira</t>
  </si>
  <si>
    <t>Gameleira de Goiás</t>
  </si>
  <si>
    <t>Gameleiras</t>
  </si>
  <si>
    <t>Gandu</t>
  </si>
  <si>
    <t>Garanhuns</t>
  </si>
  <si>
    <t>Gararu</t>
  </si>
  <si>
    <t>Garça</t>
  </si>
  <si>
    <t>Garibaldi</t>
  </si>
  <si>
    <t>Garopaba</t>
  </si>
  <si>
    <t>Garrafão do Norte</t>
  </si>
  <si>
    <t>Garruchos</t>
  </si>
  <si>
    <t>Garuva</t>
  </si>
  <si>
    <t>Gaspar</t>
  </si>
  <si>
    <t>Gastão Vidigal</t>
  </si>
  <si>
    <t>Gaúcha do Norte</t>
  </si>
  <si>
    <t>Gaurama</t>
  </si>
  <si>
    <t>Gavião</t>
  </si>
  <si>
    <t>Gavião Peixoto</t>
  </si>
  <si>
    <t>Geminiano</t>
  </si>
  <si>
    <t>General Câmara</t>
  </si>
  <si>
    <t>General Carneiro</t>
  </si>
  <si>
    <t>General Maynard</t>
  </si>
  <si>
    <t>General Salgado</t>
  </si>
  <si>
    <t>General Sampaio</t>
  </si>
  <si>
    <t>Gentil</t>
  </si>
  <si>
    <t>Gentio do Ouro</t>
  </si>
  <si>
    <t>Getulina</t>
  </si>
  <si>
    <t>Getúlio Vargas</t>
  </si>
  <si>
    <t>Gilbués</t>
  </si>
  <si>
    <t>Girau do Ponciano</t>
  </si>
  <si>
    <t>Giruá</t>
  </si>
  <si>
    <t>Glaucilândia</t>
  </si>
  <si>
    <t>Glicério</t>
  </si>
  <si>
    <t>Glória</t>
  </si>
  <si>
    <t>Glória D´oeste</t>
  </si>
  <si>
    <t>Glória de Dourados</t>
  </si>
  <si>
    <t>Glória do Goitá</t>
  </si>
  <si>
    <t>Glorinha</t>
  </si>
  <si>
    <t>Godofredo Viana</t>
  </si>
  <si>
    <t>Godoy Moreira</t>
  </si>
  <si>
    <t>Goiabeira</t>
  </si>
  <si>
    <t>Goiana</t>
  </si>
  <si>
    <t>Goianá</t>
  </si>
  <si>
    <t>Goianápolis</t>
  </si>
  <si>
    <t>Goiandira</t>
  </si>
  <si>
    <t>Goianésia</t>
  </si>
  <si>
    <t>Goianésia do Pará</t>
  </si>
  <si>
    <t>Goiânia</t>
  </si>
  <si>
    <t>Goianinha</t>
  </si>
  <si>
    <t>Goianira</t>
  </si>
  <si>
    <t>Goianorte</t>
  </si>
  <si>
    <t>Goiás</t>
  </si>
  <si>
    <t>Goiatins</t>
  </si>
  <si>
    <t>Goiatuba</t>
  </si>
  <si>
    <t>Goioerê</t>
  </si>
  <si>
    <t>Goioxim</t>
  </si>
  <si>
    <t>Gonçalves</t>
  </si>
  <si>
    <t>Gonçalves Dias</t>
  </si>
  <si>
    <t>Gongogi</t>
  </si>
  <si>
    <t>Gonzaga</t>
  </si>
  <si>
    <t>Gouveia</t>
  </si>
  <si>
    <t>Gouvelândia</t>
  </si>
  <si>
    <t>Governador Archer</t>
  </si>
  <si>
    <t>Governador Celso Ramos</t>
  </si>
  <si>
    <t>Governador Dix-sept Rosado</t>
  </si>
  <si>
    <t>Governador Edison Lobão</t>
  </si>
  <si>
    <t>Governador Eugênio Barros</t>
  </si>
  <si>
    <t>Governador Jorge Teixeira</t>
  </si>
  <si>
    <t>Governador Lindenberg</t>
  </si>
  <si>
    <t>Governador Lomanto Júnior</t>
  </si>
  <si>
    <t>Governador Luiz Rocha</t>
  </si>
  <si>
    <t>Governador Mangabeira</t>
  </si>
  <si>
    <t>Governador Newton Bello</t>
  </si>
  <si>
    <t>Governador Nunes Freire</t>
  </si>
  <si>
    <t>Governador Valadares</t>
  </si>
  <si>
    <t>Graça</t>
  </si>
  <si>
    <t>Graça Aranha</t>
  </si>
  <si>
    <t>Gracho Cardoso</t>
  </si>
  <si>
    <t>Grajaú</t>
  </si>
  <si>
    <t>Gramado</t>
  </si>
  <si>
    <t>Gramado Dos Loureiros</t>
  </si>
  <si>
    <t>Gramado Xavier</t>
  </si>
  <si>
    <t>Grandes Rios</t>
  </si>
  <si>
    <t>Granito</t>
  </si>
  <si>
    <t>Granja</t>
  </si>
  <si>
    <t>Granjeiro</t>
  </si>
  <si>
    <t>Grão Mogol</t>
  </si>
  <si>
    <t>Grão Pará</t>
  </si>
  <si>
    <t>Gravatá</t>
  </si>
  <si>
    <t>Gravataí</t>
  </si>
  <si>
    <t>Gravatal</t>
  </si>
  <si>
    <t>Groaíras</t>
  </si>
  <si>
    <t>Grossos</t>
  </si>
  <si>
    <t>Grupiara</t>
  </si>
  <si>
    <t>Guabiju</t>
  </si>
  <si>
    <t>Guabiruba</t>
  </si>
  <si>
    <t>Guaçuí</t>
  </si>
  <si>
    <t>Guadalupe</t>
  </si>
  <si>
    <t>Guaíba</t>
  </si>
  <si>
    <t>Guaiçara</t>
  </si>
  <si>
    <t>Guaimbê</t>
  </si>
  <si>
    <t>Guaíra</t>
  </si>
  <si>
    <t>Guairaçá</t>
  </si>
  <si>
    <t>Guaiúba</t>
  </si>
  <si>
    <t>Guajará</t>
  </si>
  <si>
    <t>Guajará-mirim</t>
  </si>
  <si>
    <t>Guajeru</t>
  </si>
  <si>
    <t>Guamaré</t>
  </si>
  <si>
    <t>Guamiranga</t>
  </si>
  <si>
    <t>Guanambi</t>
  </si>
  <si>
    <t>Guanhães</t>
  </si>
  <si>
    <t>Guapé</t>
  </si>
  <si>
    <t>Guapiaçu</t>
  </si>
  <si>
    <t>Guapiara</t>
  </si>
  <si>
    <t>Guapimirim</t>
  </si>
  <si>
    <t>Guapirama</t>
  </si>
  <si>
    <t>Guapó</t>
  </si>
  <si>
    <t>Guaporé</t>
  </si>
  <si>
    <t>Guaporema</t>
  </si>
  <si>
    <t>Guará</t>
  </si>
  <si>
    <t>Guarabira</t>
  </si>
  <si>
    <t>Guaraçaí</t>
  </si>
  <si>
    <t>Guaraci</t>
  </si>
  <si>
    <t>Guaraciaba</t>
  </si>
  <si>
    <t>Guaraciaba do Norte</t>
  </si>
  <si>
    <t>Guaraciama</t>
  </si>
  <si>
    <t>Guaraí</t>
  </si>
  <si>
    <t>Guaraíta</t>
  </si>
  <si>
    <t>Guaramiranga</t>
  </si>
  <si>
    <t>Guaramirim</t>
  </si>
  <si>
    <t>Guaranésia</t>
  </si>
  <si>
    <t>Guarani</t>
  </si>
  <si>
    <t>Guarani D´oeste</t>
  </si>
  <si>
    <t>Guarani Das Missões</t>
  </si>
  <si>
    <t>Guarani de Goiás</t>
  </si>
  <si>
    <t>Guaraniaçu</t>
  </si>
  <si>
    <t>Guarantã</t>
  </si>
  <si>
    <t>Guarantã do Norte</t>
  </si>
  <si>
    <t>Guarapari</t>
  </si>
  <si>
    <t>Guarapuava</t>
  </si>
  <si>
    <t>Guaraqueçaba</t>
  </si>
  <si>
    <t>Guarará</t>
  </si>
  <si>
    <t>Guararapes</t>
  </si>
  <si>
    <t>Guararema</t>
  </si>
  <si>
    <t>Guaratinga</t>
  </si>
  <si>
    <t>Guaratinguetá</t>
  </si>
  <si>
    <t>Guaratuba</t>
  </si>
  <si>
    <t>Guarda-mor</t>
  </si>
  <si>
    <t>Guareí</t>
  </si>
  <si>
    <t>Guariba</t>
  </si>
  <si>
    <t>Guaribas</t>
  </si>
  <si>
    <t>Guarinos</t>
  </si>
  <si>
    <t>Guarujá</t>
  </si>
  <si>
    <t>Guarujá do Sul</t>
  </si>
  <si>
    <t>Guarulhos</t>
  </si>
  <si>
    <t>Guatambú</t>
  </si>
  <si>
    <t>Guatapará</t>
  </si>
  <si>
    <t>Guaxupé</t>
  </si>
  <si>
    <t>Guia Lopes da Laguna</t>
  </si>
  <si>
    <t>Guidoval</t>
  </si>
  <si>
    <t>Guimarães</t>
  </si>
  <si>
    <t>Guimarânia</t>
  </si>
  <si>
    <t>Guiratinga</t>
  </si>
  <si>
    <t>Guiricema</t>
  </si>
  <si>
    <t>Gurinhatã</t>
  </si>
  <si>
    <t>Gurinhém</t>
  </si>
  <si>
    <t>Gurjão</t>
  </si>
  <si>
    <t>Gurupá</t>
  </si>
  <si>
    <t>Gurupi</t>
  </si>
  <si>
    <t>Guzolândia</t>
  </si>
  <si>
    <t>Harmonia</t>
  </si>
  <si>
    <t>Heitoraí</t>
  </si>
  <si>
    <t>Heliodora</t>
  </si>
  <si>
    <t>Heliópolis</t>
  </si>
  <si>
    <t>Herculândia</t>
  </si>
  <si>
    <t>Herval</t>
  </si>
  <si>
    <t>Herval D´oeste</t>
  </si>
  <si>
    <t>Herveiras</t>
  </si>
  <si>
    <t>Hidrolândia</t>
  </si>
  <si>
    <t>Hidrolina</t>
  </si>
  <si>
    <t>Holambra</t>
  </si>
  <si>
    <t>Honório Serpa</t>
  </si>
  <si>
    <t>Horizonte</t>
  </si>
  <si>
    <t>Horizontina</t>
  </si>
  <si>
    <t>Hortolândia</t>
  </si>
  <si>
    <t>Hugo Napoleão</t>
  </si>
  <si>
    <t>Hulha Negra</t>
  </si>
  <si>
    <t>Humaitá</t>
  </si>
  <si>
    <t>Humberto de Campos</t>
  </si>
  <si>
    <t>Iacanga</t>
  </si>
  <si>
    <t>Iaciara</t>
  </si>
  <si>
    <t>Iacri</t>
  </si>
  <si>
    <t>Iaçu</t>
  </si>
  <si>
    <t>Iapu</t>
  </si>
  <si>
    <t>Iaras</t>
  </si>
  <si>
    <t>Iati</t>
  </si>
  <si>
    <t>Ibaiti</t>
  </si>
  <si>
    <t>Ibarama</t>
  </si>
  <si>
    <t>Ibaretama</t>
  </si>
  <si>
    <t>Ibaté</t>
  </si>
  <si>
    <t>Ibateguara</t>
  </si>
  <si>
    <t>Ibatiba</t>
  </si>
  <si>
    <t>Ibema</t>
  </si>
  <si>
    <t>Ibertioga</t>
  </si>
  <si>
    <t>Ibiá</t>
  </si>
  <si>
    <t>Ibiaçá</t>
  </si>
  <si>
    <t>Ibiaí</t>
  </si>
  <si>
    <t>Ibiam</t>
  </si>
  <si>
    <t>Ibiapina</t>
  </si>
  <si>
    <t>Ibiara</t>
  </si>
  <si>
    <t>Ibiassucê</t>
  </si>
  <si>
    <t>Ibicaraí</t>
  </si>
  <si>
    <t>Ibicaré</t>
  </si>
  <si>
    <t>Ibicoara</t>
  </si>
  <si>
    <t>Ibicuí</t>
  </si>
  <si>
    <t>Ibicuitinga</t>
  </si>
  <si>
    <t>Ibimirim</t>
  </si>
  <si>
    <t>Ibipeba</t>
  </si>
  <si>
    <t>Ibipitanga</t>
  </si>
  <si>
    <t>Ibiporã</t>
  </si>
  <si>
    <t>Ibiquera</t>
  </si>
  <si>
    <t>Ibirá</t>
  </si>
  <si>
    <t>Ibiracatu</t>
  </si>
  <si>
    <t>Ibiraci</t>
  </si>
  <si>
    <t>Ibiraçu</t>
  </si>
  <si>
    <t>Ibiraiaras</t>
  </si>
  <si>
    <t>Ibirajuba</t>
  </si>
  <si>
    <t>Ibirama</t>
  </si>
  <si>
    <t>Ibirapitanga</t>
  </si>
  <si>
    <t>Ibirapuã</t>
  </si>
  <si>
    <t>Ibirapuitã</t>
  </si>
  <si>
    <t>Ibirarema</t>
  </si>
  <si>
    <t>Ibirataia</t>
  </si>
  <si>
    <t>Ibirité</t>
  </si>
  <si>
    <t>Ibirubá</t>
  </si>
  <si>
    <t>Ibitiara</t>
  </si>
  <si>
    <t>Ibitinga</t>
  </si>
  <si>
    <t>Ibitirama</t>
  </si>
  <si>
    <t>Ibititá</t>
  </si>
  <si>
    <t>Ibitiúra de Minas</t>
  </si>
  <si>
    <t>Ibituruna</t>
  </si>
  <si>
    <t>Ibiúna</t>
  </si>
  <si>
    <t>Ibotirama</t>
  </si>
  <si>
    <t>Icapuí</t>
  </si>
  <si>
    <t>Içara</t>
  </si>
  <si>
    <t>Icaraí de Minas</t>
  </si>
  <si>
    <t>Icaraíma</t>
  </si>
  <si>
    <t>Icatu</t>
  </si>
  <si>
    <t>Icém</t>
  </si>
  <si>
    <t>Ichu</t>
  </si>
  <si>
    <t>Icó</t>
  </si>
  <si>
    <t>Iconha</t>
  </si>
  <si>
    <t>Ielmo Marinho</t>
  </si>
  <si>
    <t>Iepê</t>
  </si>
  <si>
    <t>Igaci</t>
  </si>
  <si>
    <t>Igaporã</t>
  </si>
  <si>
    <t>Igaraçu do Tietê</t>
  </si>
  <si>
    <t>Igaracy</t>
  </si>
  <si>
    <t>Igarapava</t>
  </si>
  <si>
    <t>Igarapé</t>
  </si>
  <si>
    <t>Igarapé do Meio</t>
  </si>
  <si>
    <t>Igarapé Grande</t>
  </si>
  <si>
    <t>Igarapé-açu</t>
  </si>
  <si>
    <t>Igarapé-miri</t>
  </si>
  <si>
    <t>Igarassu</t>
  </si>
  <si>
    <t>Igaratá</t>
  </si>
  <si>
    <t>Igaratinga</t>
  </si>
  <si>
    <t>Igrapiúna</t>
  </si>
  <si>
    <t>Igreja Nova</t>
  </si>
  <si>
    <t>Igrejinha</t>
  </si>
  <si>
    <t>Iguaba Grande</t>
  </si>
  <si>
    <t>Iguaí</t>
  </si>
  <si>
    <t>Iguape</t>
  </si>
  <si>
    <t>Iguaraci</t>
  </si>
  <si>
    <t>Iguaraçu</t>
  </si>
  <si>
    <t>Iguatama</t>
  </si>
  <si>
    <t>Iguatemi</t>
  </si>
  <si>
    <t>Iguatu</t>
  </si>
  <si>
    <t>Ijaci</t>
  </si>
  <si>
    <t>Ijuí</t>
  </si>
  <si>
    <t>Ilha Comprida</t>
  </si>
  <si>
    <t>Ilha Das Flores</t>
  </si>
  <si>
    <t>Ilha de Itamaracá</t>
  </si>
  <si>
    <t>Ilha Grande</t>
  </si>
  <si>
    <t>Ilha Solteira</t>
  </si>
  <si>
    <t>Ilhabela</t>
  </si>
  <si>
    <t>Ilhéus</t>
  </si>
  <si>
    <t>Ilhota</t>
  </si>
  <si>
    <t>Ilicínea</t>
  </si>
  <si>
    <t>Ilópolis</t>
  </si>
  <si>
    <t>Imaculada</t>
  </si>
  <si>
    <t>Imaruí</t>
  </si>
  <si>
    <t>Imbaú</t>
  </si>
  <si>
    <t>Imbé</t>
  </si>
  <si>
    <t>Imbé de Minas</t>
  </si>
  <si>
    <t>Imbituba</t>
  </si>
  <si>
    <t>Imbituva</t>
  </si>
  <si>
    <t>Imbuia</t>
  </si>
  <si>
    <t>Imigrante</t>
  </si>
  <si>
    <t>Imperatriz</t>
  </si>
  <si>
    <t>Inácio Martins</t>
  </si>
  <si>
    <t>Inaciolândia</t>
  </si>
  <si>
    <t>Inajá</t>
  </si>
  <si>
    <t>Inconfidentes</t>
  </si>
  <si>
    <t>Indaiabira</t>
  </si>
  <si>
    <t>Indaial</t>
  </si>
  <si>
    <t>Indaiatuba</t>
  </si>
  <si>
    <t>Independência</t>
  </si>
  <si>
    <t>Indiana</t>
  </si>
  <si>
    <t>Indianópolis</t>
  </si>
  <si>
    <t>Indiaporã</t>
  </si>
  <si>
    <t>Indiara</t>
  </si>
  <si>
    <t>Indiaroba</t>
  </si>
  <si>
    <t>Indiavaí</t>
  </si>
  <si>
    <t>Ingá</t>
  </si>
  <si>
    <t>Ingaí</t>
  </si>
  <si>
    <t>Ingazeira</t>
  </si>
  <si>
    <t>Inhacorá</t>
  </si>
  <si>
    <t>Inhambupe</t>
  </si>
  <si>
    <t>Inhangapi</t>
  </si>
  <si>
    <t>Inhapi</t>
  </si>
  <si>
    <t>Inhapim</t>
  </si>
  <si>
    <t>Inhaúma</t>
  </si>
  <si>
    <t>Inhuma</t>
  </si>
  <si>
    <t>Inhumas</t>
  </si>
  <si>
    <t>Inimutaba</t>
  </si>
  <si>
    <t>Inocência</t>
  </si>
  <si>
    <t>Inúbia Paulista</t>
  </si>
  <si>
    <t>Iomerê</t>
  </si>
  <si>
    <t>Ipaba</t>
  </si>
  <si>
    <t>Ipameri</t>
  </si>
  <si>
    <t>Ipanema</t>
  </si>
  <si>
    <t>Ipanguaçu</t>
  </si>
  <si>
    <t>Ipaporanga</t>
  </si>
  <si>
    <t>Ipatinga</t>
  </si>
  <si>
    <t>Ipaumirim</t>
  </si>
  <si>
    <t>Ipaussu</t>
  </si>
  <si>
    <t>Ipê</t>
  </si>
  <si>
    <t>Ipecaetá</t>
  </si>
  <si>
    <t>Iperó</t>
  </si>
  <si>
    <t>Ipeúna</t>
  </si>
  <si>
    <t>Ipiaçu</t>
  </si>
  <si>
    <t>Ipiaú</t>
  </si>
  <si>
    <t>Ipiguá</t>
  </si>
  <si>
    <t>Ipira</t>
  </si>
  <si>
    <t>Ipirá</t>
  </si>
  <si>
    <t>Ipiranga</t>
  </si>
  <si>
    <t>Ipiranga de Goiás</t>
  </si>
  <si>
    <t>Ipiranga do Norte</t>
  </si>
  <si>
    <t>Ipiranga do Piauí</t>
  </si>
  <si>
    <t>Ipiranga do Sul</t>
  </si>
  <si>
    <t>Ipixuna</t>
  </si>
  <si>
    <t>Ipixuna do Pará</t>
  </si>
  <si>
    <t>Ipojuca</t>
  </si>
  <si>
    <t>Iporá</t>
  </si>
  <si>
    <t>Iporã</t>
  </si>
  <si>
    <t>Iporã do Oeste</t>
  </si>
  <si>
    <t>Iporanga</t>
  </si>
  <si>
    <t>Ipu</t>
  </si>
  <si>
    <t>Ipuã</t>
  </si>
  <si>
    <t>Ipuaçu</t>
  </si>
  <si>
    <t>Ipubi</t>
  </si>
  <si>
    <t>Ipueira</t>
  </si>
  <si>
    <t>Ipueiras</t>
  </si>
  <si>
    <t>Ipuiúna</t>
  </si>
  <si>
    <t>Ipumirim</t>
  </si>
  <si>
    <t>Ipupiara</t>
  </si>
  <si>
    <t>Iracema</t>
  </si>
  <si>
    <t>Iracema do Oeste</t>
  </si>
  <si>
    <t>Iracemápolis</t>
  </si>
  <si>
    <t>Iraceminha</t>
  </si>
  <si>
    <t>Iraí</t>
  </si>
  <si>
    <t>Iraí de Minas</t>
  </si>
  <si>
    <t>Irajuba</t>
  </si>
  <si>
    <t>Iramaia</t>
  </si>
  <si>
    <t>Iranduba</t>
  </si>
  <si>
    <t>Irani</t>
  </si>
  <si>
    <t>Irapuã</t>
  </si>
  <si>
    <t>Irapuru</t>
  </si>
  <si>
    <t>Iraquara</t>
  </si>
  <si>
    <t>Irará</t>
  </si>
  <si>
    <t>Irati</t>
  </si>
  <si>
    <t>Irauçuba</t>
  </si>
  <si>
    <t>Irecê</t>
  </si>
  <si>
    <t>Iretama</t>
  </si>
  <si>
    <t>Irineópolis</t>
  </si>
  <si>
    <t>Irituia</t>
  </si>
  <si>
    <t>Irupi</t>
  </si>
  <si>
    <t>Isaías Coelho</t>
  </si>
  <si>
    <t>Israelândia</t>
  </si>
  <si>
    <t>Itá</t>
  </si>
  <si>
    <t>Itaara</t>
  </si>
  <si>
    <t>Itabaiana</t>
  </si>
  <si>
    <t>Itabaianinha</t>
  </si>
  <si>
    <t>Itabela</t>
  </si>
  <si>
    <t>Itaberá</t>
  </si>
  <si>
    <t>Itaberaba</t>
  </si>
  <si>
    <t>Itaberaí</t>
  </si>
  <si>
    <t>Itabi</t>
  </si>
  <si>
    <t>Itabira</t>
  </si>
  <si>
    <t>Itabirinha</t>
  </si>
  <si>
    <t>Itabirito</t>
  </si>
  <si>
    <t>Itaboraí</t>
  </si>
  <si>
    <t>Itabuna</t>
  </si>
  <si>
    <t>Itacajá</t>
  </si>
  <si>
    <t>Itacambira</t>
  </si>
  <si>
    <t>Itacarambi</t>
  </si>
  <si>
    <t>Itacaré</t>
  </si>
  <si>
    <t>Itacoatiara</t>
  </si>
  <si>
    <t>Itacuruba</t>
  </si>
  <si>
    <t>Itacurubi</t>
  </si>
  <si>
    <t>Itaeté</t>
  </si>
  <si>
    <t>Itagi</t>
  </si>
  <si>
    <t>Itagibá</t>
  </si>
  <si>
    <t>Itagimirim</t>
  </si>
  <si>
    <t>Itaguaçu</t>
  </si>
  <si>
    <t>Itaguaçu da Bahia</t>
  </si>
  <si>
    <t>Itaguaí</t>
  </si>
  <si>
    <t>Itaguajé</t>
  </si>
  <si>
    <t>Itaguara</t>
  </si>
  <si>
    <t>Itaguari</t>
  </si>
  <si>
    <t>Itaguaru</t>
  </si>
  <si>
    <t>Itaguatins</t>
  </si>
  <si>
    <t>Itaí</t>
  </si>
  <si>
    <t>Itaíba</t>
  </si>
  <si>
    <t>Itaiçaba</t>
  </si>
  <si>
    <t>Itainópolis</t>
  </si>
  <si>
    <t>Itaiópolis</t>
  </si>
  <si>
    <t>Itaipava do Grajaú</t>
  </si>
  <si>
    <t>Itaipé</t>
  </si>
  <si>
    <t>Itaipulândia</t>
  </si>
  <si>
    <t>Itaitinga</t>
  </si>
  <si>
    <t>Itaituba</t>
  </si>
  <si>
    <t>Itajá</t>
  </si>
  <si>
    <t>Itajaí</t>
  </si>
  <si>
    <t>Itajobi</t>
  </si>
  <si>
    <t>Itaju</t>
  </si>
  <si>
    <t>Itaju do Colônia</t>
  </si>
  <si>
    <t>Itajubá</t>
  </si>
  <si>
    <t>Itajuípe</t>
  </si>
  <si>
    <t>Italva</t>
  </si>
  <si>
    <t>Itamaraju</t>
  </si>
  <si>
    <t>Itamarandiba</t>
  </si>
  <si>
    <t>Itamarati</t>
  </si>
  <si>
    <t>Itamarati de Minas</t>
  </si>
  <si>
    <t>Itamari</t>
  </si>
  <si>
    <t>Itambacuri</t>
  </si>
  <si>
    <t>Itambaracá</t>
  </si>
  <si>
    <t>Itambé</t>
  </si>
  <si>
    <t>Itambé do Mato Dentro</t>
  </si>
  <si>
    <t>Itamogi</t>
  </si>
  <si>
    <t>Itamonte</t>
  </si>
  <si>
    <t>Itanagra</t>
  </si>
  <si>
    <t>Itanhaém</t>
  </si>
  <si>
    <t>Itanhandu</t>
  </si>
  <si>
    <t>Itanhangá</t>
  </si>
  <si>
    <t>Itanhém</t>
  </si>
  <si>
    <t>Itanhomi</t>
  </si>
  <si>
    <t>Itaobim</t>
  </si>
  <si>
    <t>Itaóca</t>
  </si>
  <si>
    <t>Itaocara</t>
  </si>
  <si>
    <t>Itapaci</t>
  </si>
  <si>
    <t>Itapagé</t>
  </si>
  <si>
    <t>Itapagipe</t>
  </si>
  <si>
    <t>Itaparica</t>
  </si>
  <si>
    <t>Itapé</t>
  </si>
  <si>
    <t>Itapebi</t>
  </si>
  <si>
    <t>Itapecerica</t>
  </si>
  <si>
    <t>Itapecerica da Serra</t>
  </si>
  <si>
    <t>Itapecuru Mirim</t>
  </si>
  <si>
    <t>Itapejara D´oeste</t>
  </si>
  <si>
    <t>Itapema</t>
  </si>
  <si>
    <t>Itapemirim</t>
  </si>
  <si>
    <t>Itaperuçu</t>
  </si>
  <si>
    <t>Itaperuna</t>
  </si>
  <si>
    <t>Itapetim</t>
  </si>
  <si>
    <t>Itapetinga</t>
  </si>
  <si>
    <t>Itapetininga</t>
  </si>
  <si>
    <t>Itapeva</t>
  </si>
  <si>
    <t>Itapevi</t>
  </si>
  <si>
    <t>Itapicuru</t>
  </si>
  <si>
    <t>Itapipoca</t>
  </si>
  <si>
    <t>Itapira</t>
  </si>
  <si>
    <t>Itapiranga</t>
  </si>
  <si>
    <t>Itapirapuã</t>
  </si>
  <si>
    <t>Itapirapuã Paulista</t>
  </si>
  <si>
    <t>Itapiratins</t>
  </si>
  <si>
    <t>Itapissuma</t>
  </si>
  <si>
    <t>Itapitanga</t>
  </si>
  <si>
    <t>Itapiúna</t>
  </si>
  <si>
    <t>Itapoá</t>
  </si>
  <si>
    <t>Itápolis</t>
  </si>
  <si>
    <t>Itaporã</t>
  </si>
  <si>
    <t>Itaporã do Tocantins</t>
  </si>
  <si>
    <t>Itaporanga</t>
  </si>
  <si>
    <t>Itaporanga D´ajuda</t>
  </si>
  <si>
    <t>Itapororoca</t>
  </si>
  <si>
    <t>Itapuã do Oeste</t>
  </si>
  <si>
    <t>Itapuca</t>
  </si>
  <si>
    <t>Itapuí</t>
  </si>
  <si>
    <t>Itapura</t>
  </si>
  <si>
    <t>Itapuranga</t>
  </si>
  <si>
    <t>Itaquaquecetuba</t>
  </si>
  <si>
    <t>Itaquara</t>
  </si>
  <si>
    <t>Itaqui</t>
  </si>
  <si>
    <t>Itaquiraí</t>
  </si>
  <si>
    <t>Itaquitinga</t>
  </si>
  <si>
    <t>Itarana</t>
  </si>
  <si>
    <t>Itarantim</t>
  </si>
  <si>
    <t>Itararé</t>
  </si>
  <si>
    <t>Itarema</t>
  </si>
  <si>
    <t>Itariri</t>
  </si>
  <si>
    <t>Itarumã</t>
  </si>
  <si>
    <t>Itati</t>
  </si>
  <si>
    <t>Itatiaia</t>
  </si>
  <si>
    <t>Itatiaiuçu</t>
  </si>
  <si>
    <t>Itatiba</t>
  </si>
  <si>
    <t>Itatiba do Sul</t>
  </si>
  <si>
    <t>Itatim</t>
  </si>
  <si>
    <t>Itatinga</t>
  </si>
  <si>
    <t>Itatira</t>
  </si>
  <si>
    <t>Itatuba</t>
  </si>
  <si>
    <t>Itaú</t>
  </si>
  <si>
    <t>Itaú de Minas</t>
  </si>
  <si>
    <t>Itaúba</t>
  </si>
  <si>
    <t>Itaubal</t>
  </si>
  <si>
    <t>Itauçu</t>
  </si>
  <si>
    <t>Itaueira</t>
  </si>
  <si>
    <t>Itaúna</t>
  </si>
  <si>
    <t>Itaúna do Sul</t>
  </si>
  <si>
    <t>Itaverava</t>
  </si>
  <si>
    <t>Itinga</t>
  </si>
  <si>
    <t>Itinga do Maranhão</t>
  </si>
  <si>
    <t>Itiquira</t>
  </si>
  <si>
    <t>Itirapina</t>
  </si>
  <si>
    <t>Itirapuã</t>
  </si>
  <si>
    <t>Itiruçu</t>
  </si>
  <si>
    <t>Itiúba</t>
  </si>
  <si>
    <t>Itobi</t>
  </si>
  <si>
    <t>Itororó</t>
  </si>
  <si>
    <t>Itu</t>
  </si>
  <si>
    <t>Ituaçu</t>
  </si>
  <si>
    <t>Ituberá</t>
  </si>
  <si>
    <t>Itueta</t>
  </si>
  <si>
    <t>Ituiutaba</t>
  </si>
  <si>
    <t>Itumbiara</t>
  </si>
  <si>
    <t>Itumirim</t>
  </si>
  <si>
    <t>Itupeva</t>
  </si>
  <si>
    <t>Itupiranga</t>
  </si>
  <si>
    <t>Ituporanga</t>
  </si>
  <si>
    <t>Iturama</t>
  </si>
  <si>
    <t>Itutinga</t>
  </si>
  <si>
    <t>Ituverava</t>
  </si>
  <si>
    <t>Iuiú</t>
  </si>
  <si>
    <t>Iúna</t>
  </si>
  <si>
    <t>Ivaí</t>
  </si>
  <si>
    <t>Ivaiporã</t>
  </si>
  <si>
    <t>Ivaté</t>
  </si>
  <si>
    <t>Ivatuba</t>
  </si>
  <si>
    <t>Ivinhema</t>
  </si>
  <si>
    <t>Ivolândia</t>
  </si>
  <si>
    <t>Ivorá</t>
  </si>
  <si>
    <t>Ivoti</t>
  </si>
  <si>
    <t>Jaboatão Dos Guararapes</t>
  </si>
  <si>
    <t>Jaborá</t>
  </si>
  <si>
    <t>Jaborandi</t>
  </si>
  <si>
    <t>Jaboti</t>
  </si>
  <si>
    <t>Jaboticaba</t>
  </si>
  <si>
    <t>Jaboticabal</t>
  </si>
  <si>
    <t>Jaboticatubas</t>
  </si>
  <si>
    <t>Jaçanã</t>
  </si>
  <si>
    <t>Jacaraci</t>
  </si>
  <si>
    <t>Jacaraú</t>
  </si>
  <si>
    <t>Jacaré Dos Homens</t>
  </si>
  <si>
    <t>Jacareacanga</t>
  </si>
  <si>
    <t>Jacareí</t>
  </si>
  <si>
    <t>Jacarezinho</t>
  </si>
  <si>
    <t>Jaci</t>
  </si>
  <si>
    <t>Jaciara</t>
  </si>
  <si>
    <t>Jacinto</t>
  </si>
  <si>
    <t>Jacinto Machado</t>
  </si>
  <si>
    <t>Jacobina</t>
  </si>
  <si>
    <t>Jacobina do Piauí</t>
  </si>
  <si>
    <t>Jacuí</t>
  </si>
  <si>
    <t>Jacuípe</t>
  </si>
  <si>
    <t>Jacuizinho</t>
  </si>
  <si>
    <t>Jacundá</t>
  </si>
  <si>
    <t>Jacupiranga</t>
  </si>
  <si>
    <t>Jacutinga</t>
  </si>
  <si>
    <t>Jaguapitã</t>
  </si>
  <si>
    <t>Jaguaquara</t>
  </si>
  <si>
    <t>Jaguaraçu</t>
  </si>
  <si>
    <t>Jaguarão</t>
  </si>
  <si>
    <t>Jaguarari</t>
  </si>
  <si>
    <t>Jaguaré</t>
  </si>
  <si>
    <t>Jaguaretama</t>
  </si>
  <si>
    <t>Jaguari</t>
  </si>
  <si>
    <t>Jaguariaíva</t>
  </si>
  <si>
    <t>Jaguaribara</t>
  </si>
  <si>
    <t>Jaguaribe</t>
  </si>
  <si>
    <t>Jaguaripe</t>
  </si>
  <si>
    <t>Jaguariúna</t>
  </si>
  <si>
    <t>Jaguaruana</t>
  </si>
  <si>
    <t>Jaguaruna</t>
  </si>
  <si>
    <t>Jaíba</t>
  </si>
  <si>
    <t>Jaicós</t>
  </si>
  <si>
    <t>Jales</t>
  </si>
  <si>
    <t>Jambeiro</t>
  </si>
  <si>
    <t>Jampruca</t>
  </si>
  <si>
    <t>Janaúba</t>
  </si>
  <si>
    <t>Jandaia</t>
  </si>
  <si>
    <t>Jandaia do Sul</t>
  </si>
  <si>
    <t>Jandaíra</t>
  </si>
  <si>
    <t>Jandira</t>
  </si>
  <si>
    <t>Janduís</t>
  </si>
  <si>
    <t>Jangada</t>
  </si>
  <si>
    <t>Janiópolis</t>
  </si>
  <si>
    <t>Januária</t>
  </si>
  <si>
    <t>Januário Cicco</t>
  </si>
  <si>
    <t>Japaraíba</t>
  </si>
  <si>
    <t>Japaratinga</t>
  </si>
  <si>
    <t>Japaratuba</t>
  </si>
  <si>
    <t>Japeri</t>
  </si>
  <si>
    <t>Japi</t>
  </si>
  <si>
    <t>Japira</t>
  </si>
  <si>
    <t>Japoatã</t>
  </si>
  <si>
    <t>Japonvar</t>
  </si>
  <si>
    <t>Japorã</t>
  </si>
  <si>
    <t>Japurá</t>
  </si>
  <si>
    <t>Jaqueira</t>
  </si>
  <si>
    <t>Jaquirana</t>
  </si>
  <si>
    <t>Jaraguá</t>
  </si>
  <si>
    <t>Jaraguá do Sul</t>
  </si>
  <si>
    <t>Jaraguari</t>
  </si>
  <si>
    <t>Jaramataia</t>
  </si>
  <si>
    <t>Jardim</t>
  </si>
  <si>
    <t>Jardim Alegre</t>
  </si>
  <si>
    <t>Jardim de Angicos</t>
  </si>
  <si>
    <t>Jardim de Piranhas</t>
  </si>
  <si>
    <t>Jardim do Mulato</t>
  </si>
  <si>
    <t>Jardim do Seridó</t>
  </si>
  <si>
    <t>Jardim Olinda</t>
  </si>
  <si>
    <t>Jardinópolis</t>
  </si>
  <si>
    <t>Jari</t>
  </si>
  <si>
    <t>Jarinu</t>
  </si>
  <si>
    <t>Jaru</t>
  </si>
  <si>
    <t>Jataí</t>
  </si>
  <si>
    <t>Jataizinho</t>
  </si>
  <si>
    <t>Jataúba</t>
  </si>
  <si>
    <t>Jateí</t>
  </si>
  <si>
    <t>Jati</t>
  </si>
  <si>
    <t>Jatobá</t>
  </si>
  <si>
    <t>Jatobá do Piauí</t>
  </si>
  <si>
    <t>Jaú</t>
  </si>
  <si>
    <t>Jaú do Tocantins</t>
  </si>
  <si>
    <t>Jaupaci</t>
  </si>
  <si>
    <t>Jauru</t>
  </si>
  <si>
    <t>Jeceaba</t>
  </si>
  <si>
    <t>Jenipapo de Minas</t>
  </si>
  <si>
    <t>Jenipapo Dos Vieiras</t>
  </si>
  <si>
    <t>Jequeri</t>
  </si>
  <si>
    <t>Jequiá da Praia</t>
  </si>
  <si>
    <t>Jequié</t>
  </si>
  <si>
    <t>Jequitaí</t>
  </si>
  <si>
    <t>Jequitibá</t>
  </si>
  <si>
    <t>Jequitinhonha</t>
  </si>
  <si>
    <t>Jeremoabo</t>
  </si>
  <si>
    <t>Jericó</t>
  </si>
  <si>
    <t>Jeriquara</t>
  </si>
  <si>
    <t>Jerônimo Monteiro</t>
  </si>
  <si>
    <t>Jerumenha</t>
  </si>
  <si>
    <t>Jesuânia</t>
  </si>
  <si>
    <t>Jesuítas</t>
  </si>
  <si>
    <t>Jesúpolis</t>
  </si>
  <si>
    <t>Jijoca de Jericoacoara</t>
  </si>
  <si>
    <t>Ji-paraná</t>
  </si>
  <si>
    <t>Jiquiriçá</t>
  </si>
  <si>
    <t>Jitaúna</t>
  </si>
  <si>
    <t>Joaçaba</t>
  </si>
  <si>
    <t>Joaíma</t>
  </si>
  <si>
    <t>Joanésia</t>
  </si>
  <si>
    <t>Joanópolis</t>
  </si>
  <si>
    <t>João Alfredo</t>
  </si>
  <si>
    <t>João Câmara</t>
  </si>
  <si>
    <t>João Costa</t>
  </si>
  <si>
    <t>João Dias</t>
  </si>
  <si>
    <t>João Dourado</t>
  </si>
  <si>
    <t>João Lisboa</t>
  </si>
  <si>
    <t>João Monlevade</t>
  </si>
  <si>
    <t>João Neiva</t>
  </si>
  <si>
    <t>João Pessoa</t>
  </si>
  <si>
    <t>João Pinheiro</t>
  </si>
  <si>
    <t>João Ramalho</t>
  </si>
  <si>
    <t>Joaquim Felício</t>
  </si>
  <si>
    <t>Joaquim Gomes</t>
  </si>
  <si>
    <t>Joaquim Nabuco</t>
  </si>
  <si>
    <t>Joaquim Pires</t>
  </si>
  <si>
    <t>Joaquim Távora</t>
  </si>
  <si>
    <t>Joca Marques</t>
  </si>
  <si>
    <t>Jóia</t>
  </si>
  <si>
    <t>Joinville</t>
  </si>
  <si>
    <t>Jordânia</t>
  </si>
  <si>
    <t>Jordão</t>
  </si>
  <si>
    <t>José Boiteux</t>
  </si>
  <si>
    <t>José Bonifácio</t>
  </si>
  <si>
    <t>José da Penha</t>
  </si>
  <si>
    <t>José de Freitas</t>
  </si>
  <si>
    <t>José Gonçalves de Minas</t>
  </si>
  <si>
    <t>José Raydan</t>
  </si>
  <si>
    <t>Joselândia</t>
  </si>
  <si>
    <t>Josenópolis</t>
  </si>
  <si>
    <t>Joviânia</t>
  </si>
  <si>
    <t>Juara</t>
  </si>
  <si>
    <t>Juarez Távora</t>
  </si>
  <si>
    <t>Juarina</t>
  </si>
  <si>
    <t>Juatuba</t>
  </si>
  <si>
    <t>Juazeirinho</t>
  </si>
  <si>
    <t>Juazeiro</t>
  </si>
  <si>
    <t>Juazeiro do Norte</t>
  </si>
  <si>
    <t>Juazeiro do Piauí</t>
  </si>
  <si>
    <t>Jucás</t>
  </si>
  <si>
    <t>Jucati</t>
  </si>
  <si>
    <t>Jucuruçu</t>
  </si>
  <si>
    <t>Jucurutu</t>
  </si>
  <si>
    <t>Juína</t>
  </si>
  <si>
    <t>Juiz de Fora</t>
  </si>
  <si>
    <t>Júlio Borges</t>
  </si>
  <si>
    <t>Júlio de Castilhos</t>
  </si>
  <si>
    <t>Júlio Mesquita</t>
  </si>
  <si>
    <t>Jumirim</t>
  </si>
  <si>
    <t>Junco do Maranhão</t>
  </si>
  <si>
    <t>Junco do Seridó</t>
  </si>
  <si>
    <t>Jundiá</t>
  </si>
  <si>
    <t>Jundiaí</t>
  </si>
  <si>
    <t>Jundiaí do Sul</t>
  </si>
  <si>
    <t>Junqueiro</t>
  </si>
  <si>
    <t>Junqueirópolis</t>
  </si>
  <si>
    <t>Jupi</t>
  </si>
  <si>
    <t>Jupiá</t>
  </si>
  <si>
    <t>Juquiá</t>
  </si>
  <si>
    <t>Juquitiba</t>
  </si>
  <si>
    <t>Juramento</t>
  </si>
  <si>
    <t>Juranda</t>
  </si>
  <si>
    <t>Jurema</t>
  </si>
  <si>
    <t>Juripiranga</t>
  </si>
  <si>
    <t>Juru</t>
  </si>
  <si>
    <t>Juruá</t>
  </si>
  <si>
    <t>Juruaia</t>
  </si>
  <si>
    <t>Juruena</t>
  </si>
  <si>
    <t>Juruti</t>
  </si>
  <si>
    <t>Juscimeira</t>
  </si>
  <si>
    <t>Jussara</t>
  </si>
  <si>
    <t>Jussari</t>
  </si>
  <si>
    <t>Jussiape</t>
  </si>
  <si>
    <t>Jutaí</t>
  </si>
  <si>
    <t>Juti</t>
  </si>
  <si>
    <t>Juvenília</t>
  </si>
  <si>
    <t>Kaloré</t>
  </si>
  <si>
    <t>Lábrea</t>
  </si>
  <si>
    <t>Lacerdópolis</t>
  </si>
  <si>
    <t>Ladainha</t>
  </si>
  <si>
    <t>Ladário</t>
  </si>
  <si>
    <t>Lafaiete Coutinho</t>
  </si>
  <si>
    <t>Lagamar</t>
  </si>
  <si>
    <t>Lagarto</t>
  </si>
  <si>
    <t>Lages</t>
  </si>
  <si>
    <t>Lago da Pedra</t>
  </si>
  <si>
    <t>Lago do Junco</t>
  </si>
  <si>
    <t>Lago Dos Rodrigues</t>
  </si>
  <si>
    <t>Lago Verde</t>
  </si>
  <si>
    <t>Lagoa</t>
  </si>
  <si>
    <t>Lagoa Alegre</t>
  </si>
  <si>
    <t>Lagoa Bonita do Sul</t>
  </si>
  <si>
    <t>Lagoa D´anta</t>
  </si>
  <si>
    <t>Lagoa da Canoa</t>
  </si>
  <si>
    <t>Lagoa da Confusão</t>
  </si>
  <si>
    <t>Lagoa da Prata</t>
  </si>
  <si>
    <t>Lagoa de Dentro</t>
  </si>
  <si>
    <t>Lagoa de Pedras</t>
  </si>
  <si>
    <t>Lagoa de São Francisco</t>
  </si>
  <si>
    <t>Lagoa de Velhos</t>
  </si>
  <si>
    <t>Lagoa do Barro do Piauí</t>
  </si>
  <si>
    <t>Lagoa do Carro</t>
  </si>
  <si>
    <t>Lagoa do Itaenga</t>
  </si>
  <si>
    <t>Lagoa do Mato</t>
  </si>
  <si>
    <t>Lagoa do Ouro</t>
  </si>
  <si>
    <t>Lagoa do Piauí</t>
  </si>
  <si>
    <t>Lagoa do Sítio</t>
  </si>
  <si>
    <t>Lagoa do Tocantins</t>
  </si>
  <si>
    <t>Lagoa Dos Gatos</t>
  </si>
  <si>
    <t>Lagoa Dos Patos</t>
  </si>
  <si>
    <t>Lagoa Dos Três Cantos</t>
  </si>
  <si>
    <t>Lagoa Dourada</t>
  </si>
  <si>
    <t>Lagoa Formosa</t>
  </si>
  <si>
    <t>Lagoa Grande</t>
  </si>
  <si>
    <t>Lagoa Grande do Maranhão</t>
  </si>
  <si>
    <t>Lagoa Nova</t>
  </si>
  <si>
    <t>Lagoa Real</t>
  </si>
  <si>
    <t>Lagoa Salgada</t>
  </si>
  <si>
    <t>Lagoa Santa</t>
  </si>
  <si>
    <t>Lagoa Seca</t>
  </si>
  <si>
    <t>Lagoa Vermelha</t>
  </si>
  <si>
    <t>Lagoão</t>
  </si>
  <si>
    <t>Lagoinha</t>
  </si>
  <si>
    <t>Lagoinha do Piauí</t>
  </si>
  <si>
    <t>Laguna</t>
  </si>
  <si>
    <t>Laguna Carapã</t>
  </si>
  <si>
    <t>Laje</t>
  </si>
  <si>
    <t>Laje do Muriaé</t>
  </si>
  <si>
    <t>Lajeado</t>
  </si>
  <si>
    <t>Lajeado do Bugre</t>
  </si>
  <si>
    <t>Lajeado Grande</t>
  </si>
  <si>
    <t>Lajeado Novo</t>
  </si>
  <si>
    <t>Lajedão</t>
  </si>
  <si>
    <t>Lajedinho</t>
  </si>
  <si>
    <t>Lajedo</t>
  </si>
  <si>
    <t>Lajedo do Tabocal</t>
  </si>
  <si>
    <t>Lajes</t>
  </si>
  <si>
    <t>Lajes Pintadas</t>
  </si>
  <si>
    <t>Lajinha</t>
  </si>
  <si>
    <t>Lamarão</t>
  </si>
  <si>
    <t>Lambari</t>
  </si>
  <si>
    <t>Lambari D´oeste</t>
  </si>
  <si>
    <t>Lamim</t>
  </si>
  <si>
    <t>Landri Sales</t>
  </si>
  <si>
    <t>Lapa</t>
  </si>
  <si>
    <t>Lapão</t>
  </si>
  <si>
    <t>Laranja da Terra</t>
  </si>
  <si>
    <t>Laranjal</t>
  </si>
  <si>
    <t>Laranjal do Jari</t>
  </si>
  <si>
    <t>Laranjal Paulista</t>
  </si>
  <si>
    <t>Laranjeiras</t>
  </si>
  <si>
    <t>Laranjeiras do Sul</t>
  </si>
  <si>
    <t>Lassance</t>
  </si>
  <si>
    <t>Lastro</t>
  </si>
  <si>
    <t>Laurentino</t>
  </si>
  <si>
    <t>Lauro de Freitas</t>
  </si>
  <si>
    <t>Lauro Muller</t>
  </si>
  <si>
    <t>Lavandeira</t>
  </si>
  <si>
    <t>Lavínia</t>
  </si>
  <si>
    <t>Lavras</t>
  </si>
  <si>
    <t>Lavras da Mangabeira</t>
  </si>
  <si>
    <t>Lavras do Sul</t>
  </si>
  <si>
    <t>Lavrinhas</t>
  </si>
  <si>
    <t>Leandro Ferreira</t>
  </si>
  <si>
    <t>Lebon Régis</t>
  </si>
  <si>
    <t>Leme</t>
  </si>
  <si>
    <t>Leme do Prado</t>
  </si>
  <si>
    <t>Lençóis</t>
  </si>
  <si>
    <t>Lençóis Paulista</t>
  </si>
  <si>
    <t>Leoberto Leal</t>
  </si>
  <si>
    <t>Leopoldina</t>
  </si>
  <si>
    <t>Leopoldo de Bulhões</t>
  </si>
  <si>
    <t>Leópolis</t>
  </si>
  <si>
    <t>Liberato Salzano</t>
  </si>
  <si>
    <t>Liberdade</t>
  </si>
  <si>
    <t>Licínio de Almeida</t>
  </si>
  <si>
    <t>Lidianópolis</t>
  </si>
  <si>
    <t>Lima Campos</t>
  </si>
  <si>
    <t>Lima Duarte</t>
  </si>
  <si>
    <t>Limeira</t>
  </si>
  <si>
    <t>Limeira do Oeste</t>
  </si>
  <si>
    <t>Limoeiro</t>
  </si>
  <si>
    <t>Limoeiro de Anadia</t>
  </si>
  <si>
    <t>Limoeiro do Ajuru</t>
  </si>
  <si>
    <t>Limoeiro do Norte</t>
  </si>
  <si>
    <t>Lindoeste</t>
  </si>
  <si>
    <t>Lindóia</t>
  </si>
  <si>
    <t>Lindóia do Sul</t>
  </si>
  <si>
    <t>Lindolfo Collor</t>
  </si>
  <si>
    <t>Linha Nova</t>
  </si>
  <si>
    <t>Linhares</t>
  </si>
  <si>
    <t>Lins</t>
  </si>
  <si>
    <t>Livramento</t>
  </si>
  <si>
    <t>Livramento de Nossa Senhora</t>
  </si>
  <si>
    <t>Lizarda</t>
  </si>
  <si>
    <t>Loanda</t>
  </si>
  <si>
    <t>Lobato</t>
  </si>
  <si>
    <t>Logradouro</t>
  </si>
  <si>
    <t>Londrina</t>
  </si>
  <si>
    <t>Lontra</t>
  </si>
  <si>
    <t>Lontras</t>
  </si>
  <si>
    <t>Lorena</t>
  </si>
  <si>
    <t>Loreto</t>
  </si>
  <si>
    <t>Lourdes</t>
  </si>
  <si>
    <t>Louveira</t>
  </si>
  <si>
    <t>Lucas do Rio Verde</t>
  </si>
  <si>
    <t>Lucélia</t>
  </si>
  <si>
    <t>Lucena</t>
  </si>
  <si>
    <t>Lucianópolis</t>
  </si>
  <si>
    <t>Luciára</t>
  </si>
  <si>
    <t>Lucrécia</t>
  </si>
  <si>
    <t>Luís Antônio</t>
  </si>
  <si>
    <t>Luís Correia</t>
  </si>
  <si>
    <t>Luís Domingues</t>
  </si>
  <si>
    <t>Luís Eduardo Magalhães</t>
  </si>
  <si>
    <t>Luís Gomes</t>
  </si>
  <si>
    <t>Luisburgo</t>
  </si>
  <si>
    <t>Luislândia</t>
  </si>
  <si>
    <t>Luiz Alves</t>
  </si>
  <si>
    <t>Luiziana</t>
  </si>
  <si>
    <t>Luiziânia</t>
  </si>
  <si>
    <t>Luminárias</t>
  </si>
  <si>
    <t>Lunardelli</t>
  </si>
  <si>
    <t>Lupércio</t>
  </si>
  <si>
    <t>Lupionópolis</t>
  </si>
  <si>
    <t>Lutécia</t>
  </si>
  <si>
    <t>Luz</t>
  </si>
  <si>
    <t>Luzerna</t>
  </si>
  <si>
    <t>Luziânia</t>
  </si>
  <si>
    <t>Luzilândia</t>
  </si>
  <si>
    <t>Luzinópolis</t>
  </si>
  <si>
    <t>Macaé</t>
  </si>
  <si>
    <t>Macaíba</t>
  </si>
  <si>
    <t>Macajuba</t>
  </si>
  <si>
    <t>Maçambara</t>
  </si>
  <si>
    <t>Macambira</t>
  </si>
  <si>
    <t>Macapá</t>
  </si>
  <si>
    <t>Macaparana</t>
  </si>
  <si>
    <t>Macarani</t>
  </si>
  <si>
    <t>Macatuba</t>
  </si>
  <si>
    <t>Macau</t>
  </si>
  <si>
    <t>Macaubal</t>
  </si>
  <si>
    <t>Macaúbas</t>
  </si>
  <si>
    <t>Macedônia</t>
  </si>
  <si>
    <t>Maceió</t>
  </si>
  <si>
    <t>Machacalis</t>
  </si>
  <si>
    <t>Machadinho</t>
  </si>
  <si>
    <t>Machadinho D´oeste</t>
  </si>
  <si>
    <t>Machado</t>
  </si>
  <si>
    <t>Machados</t>
  </si>
  <si>
    <t>Macieira</t>
  </si>
  <si>
    <t>Macuco</t>
  </si>
  <si>
    <t>Macururé</t>
  </si>
  <si>
    <t>Madalena</t>
  </si>
  <si>
    <t>Madeiro</t>
  </si>
  <si>
    <t>Madre de Deus</t>
  </si>
  <si>
    <t>Madre de Deus de Minas</t>
  </si>
  <si>
    <t>Mãe D´água</t>
  </si>
  <si>
    <t>Mãe do Rio</t>
  </si>
  <si>
    <t>Maetinga</t>
  </si>
  <si>
    <t>Mafra</t>
  </si>
  <si>
    <t>Magalhães Barata</t>
  </si>
  <si>
    <t>Magalhães de Almeida</t>
  </si>
  <si>
    <t>Magda</t>
  </si>
  <si>
    <t>Magé</t>
  </si>
  <si>
    <t>Maiquinique</t>
  </si>
  <si>
    <t>Mairi</t>
  </si>
  <si>
    <t>Mairinque</t>
  </si>
  <si>
    <t>Mairiporã</t>
  </si>
  <si>
    <t>Mairipotaba</t>
  </si>
  <si>
    <t>Major Gercino</t>
  </si>
  <si>
    <t>Major Isidoro</t>
  </si>
  <si>
    <t>Major Sales</t>
  </si>
  <si>
    <t>Major Vieira</t>
  </si>
  <si>
    <t>Malacacheta</t>
  </si>
  <si>
    <t>Malhada</t>
  </si>
  <si>
    <t>Malhada de Pedras</t>
  </si>
  <si>
    <t>Malhada Dos Bois</t>
  </si>
  <si>
    <t>Malhador</t>
  </si>
  <si>
    <t>Mallet</t>
  </si>
  <si>
    <t>Malta</t>
  </si>
  <si>
    <t>Mamanguape</t>
  </si>
  <si>
    <t>Mambaí</t>
  </si>
  <si>
    <t>Mamborê</t>
  </si>
  <si>
    <t>Mamonas</t>
  </si>
  <si>
    <t>Mampituba</t>
  </si>
  <si>
    <t>Manacapuru</t>
  </si>
  <si>
    <t>Manaíra</t>
  </si>
  <si>
    <t>Manaquiri</t>
  </si>
  <si>
    <t>Manari</t>
  </si>
  <si>
    <t>Manaus</t>
  </si>
  <si>
    <t>Mâncio Lima</t>
  </si>
  <si>
    <t>Mandaguaçu</t>
  </si>
  <si>
    <t>Mandaguari</t>
  </si>
  <si>
    <t>Mandirituba</t>
  </si>
  <si>
    <t>Manduri</t>
  </si>
  <si>
    <t>Manfrinópolis</t>
  </si>
  <si>
    <t>Manga</t>
  </si>
  <si>
    <t>Mangaratiba</t>
  </si>
  <si>
    <t>Mangueirinha</t>
  </si>
  <si>
    <t>Manhuaçu</t>
  </si>
  <si>
    <t>Manhumirim</t>
  </si>
  <si>
    <t>Manicoré</t>
  </si>
  <si>
    <t>Manoel Emídio</t>
  </si>
  <si>
    <t>Manoel Ribas</t>
  </si>
  <si>
    <t>Manoel Urbano</t>
  </si>
  <si>
    <t>Manoel Viana</t>
  </si>
  <si>
    <t>Manoel Vitorino</t>
  </si>
  <si>
    <t>Mansidão</t>
  </si>
  <si>
    <t>Mantena</t>
  </si>
  <si>
    <t>Mantenópolis</t>
  </si>
  <si>
    <t>Maquiné</t>
  </si>
  <si>
    <t>Mar de Espanha</t>
  </si>
  <si>
    <t>Mar Vermelho</t>
  </si>
  <si>
    <t>Mara Rosa</t>
  </si>
  <si>
    <t>Maraã</t>
  </si>
  <si>
    <t>Marabá</t>
  </si>
  <si>
    <t>Marabá Paulista</t>
  </si>
  <si>
    <t>Maracaçumé</t>
  </si>
  <si>
    <t>Maracaí</t>
  </si>
  <si>
    <t>Maracajá</t>
  </si>
  <si>
    <t>Maracaju</t>
  </si>
  <si>
    <t>Maracanã</t>
  </si>
  <si>
    <t>Maracanaú</t>
  </si>
  <si>
    <t>Maracás</t>
  </si>
  <si>
    <t>Maragogi</t>
  </si>
  <si>
    <t>Maragogipe</t>
  </si>
  <si>
    <t>Maraial</t>
  </si>
  <si>
    <t>Marajá do Sena</t>
  </si>
  <si>
    <t>Maranguape</t>
  </si>
  <si>
    <t>Maranhãozinho</t>
  </si>
  <si>
    <t>Marapanim</t>
  </si>
  <si>
    <t>Marapoama</t>
  </si>
  <si>
    <t>Maratá</t>
  </si>
  <si>
    <t>Marataízes</t>
  </si>
  <si>
    <t>Marau</t>
  </si>
  <si>
    <t>Maraú</t>
  </si>
  <si>
    <t>Maravilha</t>
  </si>
  <si>
    <t>Maravilhas</t>
  </si>
  <si>
    <t>Marcação</t>
  </si>
  <si>
    <t>Marcelândia</t>
  </si>
  <si>
    <t>Marcelino Ramos</t>
  </si>
  <si>
    <t>Marcelino Vieira</t>
  </si>
  <si>
    <t>Marcionílio Souza</t>
  </si>
  <si>
    <t>Marco</t>
  </si>
  <si>
    <t>Marcolândia</t>
  </si>
  <si>
    <t>Marcos Parente</t>
  </si>
  <si>
    <t>Marechal Cândido Rondon</t>
  </si>
  <si>
    <t>Marechal Deodoro</t>
  </si>
  <si>
    <t>Marechal Floriano</t>
  </si>
  <si>
    <t>Marechal Thaumaturgo</t>
  </si>
  <si>
    <t>Marema</t>
  </si>
  <si>
    <t>Mari</t>
  </si>
  <si>
    <t>Maria da fé</t>
  </si>
  <si>
    <t>Maria Helena</t>
  </si>
  <si>
    <t>Marialva</t>
  </si>
  <si>
    <t>Mariana</t>
  </si>
  <si>
    <t>Mariana Pimentel</t>
  </si>
  <si>
    <t>Mariano Moro</t>
  </si>
  <si>
    <t>Marianópolis do Tocantins</t>
  </si>
  <si>
    <t>Mariápolis</t>
  </si>
  <si>
    <t>Maribondo</t>
  </si>
  <si>
    <t>Maricá</t>
  </si>
  <si>
    <t>Marilac</t>
  </si>
  <si>
    <t>Marilândia</t>
  </si>
  <si>
    <t>Marilândia do Sul</t>
  </si>
  <si>
    <t>Marilena</t>
  </si>
  <si>
    <t>Marília</t>
  </si>
  <si>
    <t>Mariluz</t>
  </si>
  <si>
    <t>Maringá</t>
  </si>
  <si>
    <t>Marinópolis</t>
  </si>
  <si>
    <t>Mário Campos</t>
  </si>
  <si>
    <t>Mariópolis</t>
  </si>
  <si>
    <t>Maripá</t>
  </si>
  <si>
    <t>Maripá de Minas</t>
  </si>
  <si>
    <t>Marituba</t>
  </si>
  <si>
    <t>Marizópolis</t>
  </si>
  <si>
    <t>Marliéria</t>
  </si>
  <si>
    <t>Marmeleiro</t>
  </si>
  <si>
    <t>Marmelópolis</t>
  </si>
  <si>
    <t>Marques de Souza</t>
  </si>
  <si>
    <t>Marquinho</t>
  </si>
  <si>
    <t>Martinho Campos</t>
  </si>
  <si>
    <t>Martinópole</t>
  </si>
  <si>
    <t>Martinópolis</t>
  </si>
  <si>
    <t>Martins</t>
  </si>
  <si>
    <t>Martins Soares</t>
  </si>
  <si>
    <t>Maruim</t>
  </si>
  <si>
    <t>Marumbi</t>
  </si>
  <si>
    <t>Marzagão</t>
  </si>
  <si>
    <t>Mascote</t>
  </si>
  <si>
    <t>Massapê</t>
  </si>
  <si>
    <t>Massapê do Piauí</t>
  </si>
  <si>
    <t>Massaranduba</t>
  </si>
  <si>
    <t>Mata</t>
  </si>
  <si>
    <t>Mata de São João</t>
  </si>
  <si>
    <t>Mata Grande</t>
  </si>
  <si>
    <t>Mata Roma</t>
  </si>
  <si>
    <t>Mata Verde</t>
  </si>
  <si>
    <t>Matão</t>
  </si>
  <si>
    <t>Mataraca</t>
  </si>
  <si>
    <t>Mateiros</t>
  </si>
  <si>
    <t>Matelândia</t>
  </si>
  <si>
    <t>Materlândia</t>
  </si>
  <si>
    <t>Mateus Leme</t>
  </si>
  <si>
    <t>Mathias Lobato</t>
  </si>
  <si>
    <t>Matias Barbosa</t>
  </si>
  <si>
    <t>Matias Cardoso</t>
  </si>
  <si>
    <t>Matias Olímpio</t>
  </si>
  <si>
    <t>Matina</t>
  </si>
  <si>
    <t>Matinha</t>
  </si>
  <si>
    <t>Matinhas</t>
  </si>
  <si>
    <t>Matinhos</t>
  </si>
  <si>
    <t>Matipó</t>
  </si>
  <si>
    <t>Mato Castelhano</t>
  </si>
  <si>
    <t>Mato Grosso</t>
  </si>
  <si>
    <t>Mato Leitão</t>
  </si>
  <si>
    <t>Mato Queimado</t>
  </si>
  <si>
    <t>Mato Rico</t>
  </si>
  <si>
    <t>Mato Verde</t>
  </si>
  <si>
    <t>Matões</t>
  </si>
  <si>
    <t>Matões do Norte</t>
  </si>
  <si>
    <t>Matos Costa</t>
  </si>
  <si>
    <t>Matozinhos</t>
  </si>
  <si>
    <t>Matrinchã</t>
  </si>
  <si>
    <t>Matriz de Camaragibe</t>
  </si>
  <si>
    <t>Matupá</t>
  </si>
  <si>
    <t>Maturéia</t>
  </si>
  <si>
    <t>Matutina</t>
  </si>
  <si>
    <t>Mauá</t>
  </si>
  <si>
    <t>Mauá da Serra</t>
  </si>
  <si>
    <t>Maués</t>
  </si>
  <si>
    <t>Maurilândia</t>
  </si>
  <si>
    <t>Maurilândia do Tocantins</t>
  </si>
  <si>
    <t>Mauriti</t>
  </si>
  <si>
    <t>Maxaranguape</t>
  </si>
  <si>
    <t>Maximiliano de Almeida</t>
  </si>
  <si>
    <t>Mazagão</t>
  </si>
  <si>
    <t>Medeiros</t>
  </si>
  <si>
    <t>Medeiros Neto</t>
  </si>
  <si>
    <t>Medianeira</t>
  </si>
  <si>
    <t>Medicilândia</t>
  </si>
  <si>
    <t>Medina</t>
  </si>
  <si>
    <t>Meleiro</t>
  </si>
  <si>
    <t>Melgaço</t>
  </si>
  <si>
    <t>Mendes</t>
  </si>
  <si>
    <t>Mendes Pimentel</t>
  </si>
  <si>
    <t>Mendonça</t>
  </si>
  <si>
    <t>Mercedes</t>
  </si>
  <si>
    <t>Mercês</t>
  </si>
  <si>
    <t>Meridiano</t>
  </si>
  <si>
    <t>Meruoca</t>
  </si>
  <si>
    <t>Mesópolis</t>
  </si>
  <si>
    <t>Mesquita</t>
  </si>
  <si>
    <t>Messias</t>
  </si>
  <si>
    <t>Messias Targino</t>
  </si>
  <si>
    <t>Miguel Alves</t>
  </si>
  <si>
    <t>Miguel Calmon</t>
  </si>
  <si>
    <t>Miguel Leão</t>
  </si>
  <si>
    <t>Miguel Pereira</t>
  </si>
  <si>
    <t>Miguelópolis</t>
  </si>
  <si>
    <t>Milagres</t>
  </si>
  <si>
    <t>Milagres do Maranhão</t>
  </si>
  <si>
    <t>Milhã</t>
  </si>
  <si>
    <t>Milton Brandão</t>
  </si>
  <si>
    <t>Mimoso de Goiás</t>
  </si>
  <si>
    <t>Mimoso do Sul</t>
  </si>
  <si>
    <t>Minaçu</t>
  </si>
  <si>
    <t>Minador do Negrão</t>
  </si>
  <si>
    <t>Minas do Leão</t>
  </si>
  <si>
    <t>Minas Novas</t>
  </si>
  <si>
    <t>Minduri</t>
  </si>
  <si>
    <t>Mineiros</t>
  </si>
  <si>
    <t>Mineiros do Tietê</t>
  </si>
  <si>
    <t>Ministro Andreazza</t>
  </si>
  <si>
    <t>Mira Estrela</t>
  </si>
  <si>
    <t>Mirabela</t>
  </si>
  <si>
    <t>Miracatu</t>
  </si>
  <si>
    <t>Miracema</t>
  </si>
  <si>
    <t>Miracema do Tocantins</t>
  </si>
  <si>
    <t>Mirador</t>
  </si>
  <si>
    <t>Miradouro</t>
  </si>
  <si>
    <t>Miraguaí</t>
  </si>
  <si>
    <t>Miraí</t>
  </si>
  <si>
    <t>Miraíma</t>
  </si>
  <si>
    <t>Miranda</t>
  </si>
  <si>
    <t>Miranda do Norte</t>
  </si>
  <si>
    <t>Mirandiba</t>
  </si>
  <si>
    <t>Mirandópolis</t>
  </si>
  <si>
    <t>Mirangaba</t>
  </si>
  <si>
    <t>Miranorte</t>
  </si>
  <si>
    <t>Mirante</t>
  </si>
  <si>
    <t>Mirante da Serra</t>
  </si>
  <si>
    <t>Mirante do Paranapanema</t>
  </si>
  <si>
    <t>Miraselva</t>
  </si>
  <si>
    <t>Mirassol</t>
  </si>
  <si>
    <t>Mirassol D´oeste</t>
  </si>
  <si>
    <t>Mirassolândia</t>
  </si>
  <si>
    <t>Miravânia</t>
  </si>
  <si>
    <t>Mirim Doce</t>
  </si>
  <si>
    <t>Mirinzal</t>
  </si>
  <si>
    <t>Missal</t>
  </si>
  <si>
    <t>Missão Velha</t>
  </si>
  <si>
    <t>Mocajuba</t>
  </si>
  <si>
    <t>Mococa</t>
  </si>
  <si>
    <t>Modelo</t>
  </si>
  <si>
    <t>Moeda</t>
  </si>
  <si>
    <t>Moema</t>
  </si>
  <si>
    <t>Mogeiro</t>
  </si>
  <si>
    <t>Mogi Guaçu</t>
  </si>
  <si>
    <t>Moiporá</t>
  </si>
  <si>
    <t>Moita Bonita</t>
  </si>
  <si>
    <t>Moji Das Cruzes</t>
  </si>
  <si>
    <t>Moji-mirim</t>
  </si>
  <si>
    <t>Moju</t>
  </si>
  <si>
    <t>Mojuí dos Campos</t>
  </si>
  <si>
    <t>Mombaça</t>
  </si>
  <si>
    <t>Mombuca</t>
  </si>
  <si>
    <t>Monção</t>
  </si>
  <si>
    <t>Monções</t>
  </si>
  <si>
    <t>Mondaí</t>
  </si>
  <si>
    <t>Mongaguá</t>
  </si>
  <si>
    <t>Monjolos</t>
  </si>
  <si>
    <t>Monsenhor Gil</t>
  </si>
  <si>
    <t>Monsenhor Hipólito</t>
  </si>
  <si>
    <t>Monsenhor Paulo</t>
  </si>
  <si>
    <t>Monsenhor Tabosa</t>
  </si>
  <si>
    <t>Montadas</t>
  </si>
  <si>
    <t>Montalvânia</t>
  </si>
  <si>
    <t>Montanha</t>
  </si>
  <si>
    <t>Montanhas</t>
  </si>
  <si>
    <t>Montauri</t>
  </si>
  <si>
    <t>Monte Alegre</t>
  </si>
  <si>
    <t>Monte Alegre de Goiás</t>
  </si>
  <si>
    <t>Monte Alegre de Minas</t>
  </si>
  <si>
    <t>Monte Alegre de Sergipe</t>
  </si>
  <si>
    <t>Monte Alegre do Piauí</t>
  </si>
  <si>
    <t>Monte Alegre do Sul</t>
  </si>
  <si>
    <t>Monte Alegre Dos Campos</t>
  </si>
  <si>
    <t>Monte Alto</t>
  </si>
  <si>
    <t>Monte Aprazível</t>
  </si>
  <si>
    <t>Monte Azul</t>
  </si>
  <si>
    <t>Monte Azul Paulista</t>
  </si>
  <si>
    <t>Monte Belo</t>
  </si>
  <si>
    <t>Monte Belo do Sul</t>
  </si>
  <si>
    <t>Monte Carlo</t>
  </si>
  <si>
    <t>Monte Carmelo</t>
  </si>
  <si>
    <t>Monte Castelo</t>
  </si>
  <si>
    <t>Monte Das Gameleiras</t>
  </si>
  <si>
    <t>Monte do Carmo</t>
  </si>
  <si>
    <t>Monte Formoso</t>
  </si>
  <si>
    <t>Monte Horebe</t>
  </si>
  <si>
    <t>Monte Mor</t>
  </si>
  <si>
    <t>Monte Negro</t>
  </si>
  <si>
    <t>Monte Santo</t>
  </si>
  <si>
    <t>Monte Santo de Minas</t>
  </si>
  <si>
    <t>Monte Santo do Tocantins</t>
  </si>
  <si>
    <t>Monte Sião</t>
  </si>
  <si>
    <t>Monteiro</t>
  </si>
  <si>
    <t>Monteiro Lobato</t>
  </si>
  <si>
    <t>Monteirópolis</t>
  </si>
  <si>
    <t>Montenegro</t>
  </si>
  <si>
    <t>Montes Altos</t>
  </si>
  <si>
    <t>Montes Claros</t>
  </si>
  <si>
    <t>Montes Claros de Goiás</t>
  </si>
  <si>
    <t>Montezuma</t>
  </si>
  <si>
    <t>Montividiu</t>
  </si>
  <si>
    <t>Montividiu do Norte</t>
  </si>
  <si>
    <t>Morada Nova</t>
  </si>
  <si>
    <t>Morada Nova de Minas</t>
  </si>
  <si>
    <t>Moraújo</t>
  </si>
  <si>
    <t>Moreilândia</t>
  </si>
  <si>
    <t>Moreira Sales</t>
  </si>
  <si>
    <t>Moreno</t>
  </si>
  <si>
    <t>Mormaço</t>
  </si>
  <si>
    <t>Morpará</t>
  </si>
  <si>
    <t>Morretes</t>
  </si>
  <si>
    <t>Morrinhos</t>
  </si>
  <si>
    <t>Morrinhos do Sul</t>
  </si>
  <si>
    <t>Morro Agudo</t>
  </si>
  <si>
    <t>Morro Agudo de Goiás</t>
  </si>
  <si>
    <t>Morro Cabeça no Tempo</t>
  </si>
  <si>
    <t>Morro da Fumaça</t>
  </si>
  <si>
    <t>Morro da Garça</t>
  </si>
  <si>
    <t>Morro do Chapéu</t>
  </si>
  <si>
    <t>Morro do Chapéu do Piauí</t>
  </si>
  <si>
    <t>Morro do Pilar</t>
  </si>
  <si>
    <t>Morro Grande</t>
  </si>
  <si>
    <t>Morro Redondo</t>
  </si>
  <si>
    <t>Morro Reuter</t>
  </si>
  <si>
    <t>Morros</t>
  </si>
  <si>
    <t>Mortugaba</t>
  </si>
  <si>
    <t>Morungaba</t>
  </si>
  <si>
    <t>Mossâmedes</t>
  </si>
  <si>
    <t>Mossoró</t>
  </si>
  <si>
    <t>Mostardas</t>
  </si>
  <si>
    <t>Motuca</t>
  </si>
  <si>
    <t>Mozarlândia</t>
  </si>
  <si>
    <t>Muaná</t>
  </si>
  <si>
    <t>Mucajaí</t>
  </si>
  <si>
    <t>Mucambo</t>
  </si>
  <si>
    <t>Mucugê</t>
  </si>
  <si>
    <t>Muçum</t>
  </si>
  <si>
    <t>Mucuri</t>
  </si>
  <si>
    <t>Mucurici</t>
  </si>
  <si>
    <t>Muitos Capões</t>
  </si>
  <si>
    <t>Muliterno</t>
  </si>
  <si>
    <t>Mulungu</t>
  </si>
  <si>
    <t>Mulungu do Morro</t>
  </si>
  <si>
    <t>Mundo Novo</t>
  </si>
  <si>
    <t>Munhoz</t>
  </si>
  <si>
    <t>Munhoz de Melo</t>
  </si>
  <si>
    <t>Muniz Ferreira</t>
  </si>
  <si>
    <t>Muniz Freire</t>
  </si>
  <si>
    <t>Muquém de São Francisco</t>
  </si>
  <si>
    <t>Muqui</t>
  </si>
  <si>
    <t>Muriaé</t>
  </si>
  <si>
    <t>Muribeca</t>
  </si>
  <si>
    <t>Murici</t>
  </si>
  <si>
    <t>Murici Dos Portelas</t>
  </si>
  <si>
    <t>Muricilândia</t>
  </si>
  <si>
    <t>Muritiba</t>
  </si>
  <si>
    <t>Murutinga do Sul</t>
  </si>
  <si>
    <t>Mutuípe</t>
  </si>
  <si>
    <t>Mutum</t>
  </si>
  <si>
    <t>Mutunópolis</t>
  </si>
  <si>
    <t>Muzambinho</t>
  </si>
  <si>
    <t>Nacip Raydan</t>
  </si>
  <si>
    <t>Nantes</t>
  </si>
  <si>
    <t>Nanuque</t>
  </si>
  <si>
    <t>Não-me-toque</t>
  </si>
  <si>
    <t>Naque</t>
  </si>
  <si>
    <t>Narandiba</t>
  </si>
  <si>
    <t>Natal</t>
  </si>
  <si>
    <t>Natalândia</t>
  </si>
  <si>
    <t>Natércia</t>
  </si>
  <si>
    <t>Natividade</t>
  </si>
  <si>
    <t>Natividade da Serra</t>
  </si>
  <si>
    <t>Natuba</t>
  </si>
  <si>
    <t>Navegantes</t>
  </si>
  <si>
    <t>Naviraí</t>
  </si>
  <si>
    <t>Nazaré</t>
  </si>
  <si>
    <t>Nazaré da Mata</t>
  </si>
  <si>
    <t>Nazaré do Piauí</t>
  </si>
  <si>
    <t>Nazaré Paulista</t>
  </si>
  <si>
    <t>Nazareno</t>
  </si>
  <si>
    <t>Nazarezinho</t>
  </si>
  <si>
    <t>Nazária</t>
  </si>
  <si>
    <t>Nazário</t>
  </si>
  <si>
    <t>Neópolis</t>
  </si>
  <si>
    <t>Nepomuceno</t>
  </si>
  <si>
    <t>Nerópolis</t>
  </si>
  <si>
    <t>Neves Paulista</t>
  </si>
  <si>
    <t>Nhamundá</t>
  </si>
  <si>
    <t>Nhandeara</t>
  </si>
  <si>
    <t>Nicolau Vergueiro</t>
  </si>
  <si>
    <t>Nilo Peçanha</t>
  </si>
  <si>
    <t>Nilópolis</t>
  </si>
  <si>
    <t>Nina Rodrigues</t>
  </si>
  <si>
    <t>Ninheira</t>
  </si>
  <si>
    <t>Nioaque</t>
  </si>
  <si>
    <t>Nipoã</t>
  </si>
  <si>
    <t>Niquelândia</t>
  </si>
  <si>
    <t>Nísia Floresta</t>
  </si>
  <si>
    <t>Niterói</t>
  </si>
  <si>
    <t>Nobres</t>
  </si>
  <si>
    <t>Nonoai</t>
  </si>
  <si>
    <t>Nordestina</t>
  </si>
  <si>
    <t>Normandia</t>
  </si>
  <si>
    <t>Nortelândia</t>
  </si>
  <si>
    <t>Nossa Senhora Aparecida</t>
  </si>
  <si>
    <t>Nossa Senhora da Glória</t>
  </si>
  <si>
    <t>Nossa Senhora Das Dores</t>
  </si>
  <si>
    <t>Nossa Senhora Das Graças</t>
  </si>
  <si>
    <t>Nossa Senhora de Lourdes</t>
  </si>
  <si>
    <t>Nossa Senhora de Nazaré</t>
  </si>
  <si>
    <t>Nossa Senhora do Livramento</t>
  </si>
  <si>
    <t>Nossa Senhora do Socorro</t>
  </si>
  <si>
    <t>Nossa Senhora Dos Remédios</t>
  </si>
  <si>
    <t>Nova Aliança</t>
  </si>
  <si>
    <t>Nova Aliança do Ivaí</t>
  </si>
  <si>
    <t>Nova Alvorada</t>
  </si>
  <si>
    <t>Nova Alvorada do Sul</t>
  </si>
  <si>
    <t>Nova América</t>
  </si>
  <si>
    <t>Nova América da Colina</t>
  </si>
  <si>
    <t>Nova Andradina</t>
  </si>
  <si>
    <t>Nova Araçá</t>
  </si>
  <si>
    <t>Nova Aurora</t>
  </si>
  <si>
    <t>Nova Bandeirantes</t>
  </si>
  <si>
    <t>Nova Bassano</t>
  </si>
  <si>
    <t>Nova Belém</t>
  </si>
  <si>
    <t>Nova Boa Vista</t>
  </si>
  <si>
    <t>Nova Brasilândia</t>
  </si>
  <si>
    <t>Nova Brasilândia D´oeste</t>
  </si>
  <si>
    <t>Nova Bréscia</t>
  </si>
  <si>
    <t>Nova Campina</t>
  </si>
  <si>
    <t>Nova Canaã</t>
  </si>
  <si>
    <t>Nova Canaã do Norte</t>
  </si>
  <si>
    <t>Nova Canaã Paulista</t>
  </si>
  <si>
    <t>Nova Candelária</t>
  </si>
  <si>
    <t>Nova Cantu</t>
  </si>
  <si>
    <t>Nova Castilho</t>
  </si>
  <si>
    <t>Nova Colinas</t>
  </si>
  <si>
    <t>Nova Crixás</t>
  </si>
  <si>
    <t>Nova Cruz</t>
  </si>
  <si>
    <t>Nova Era</t>
  </si>
  <si>
    <t>Nova Erechim</t>
  </si>
  <si>
    <t>Nova Esperança</t>
  </si>
  <si>
    <t>Nova Esperança do Piriá</t>
  </si>
  <si>
    <t>Nova Esperança do Sudoeste</t>
  </si>
  <si>
    <t>Nova Esperança do Sul</t>
  </si>
  <si>
    <t>Nova Europa</t>
  </si>
  <si>
    <t>Nova Fátima</t>
  </si>
  <si>
    <t>Nova Floresta</t>
  </si>
  <si>
    <t>Nova Friburgo</t>
  </si>
  <si>
    <t>Nova Glória</t>
  </si>
  <si>
    <t>Nova Granada</t>
  </si>
  <si>
    <t>Nova Guarita</t>
  </si>
  <si>
    <t>Nova Guataporanga</t>
  </si>
  <si>
    <t>Nova Hartz</t>
  </si>
  <si>
    <t>Nova Ibiá</t>
  </si>
  <si>
    <t>Nova Iguaçu</t>
  </si>
  <si>
    <t>Nova Iguaçu de Goiás</t>
  </si>
  <si>
    <t>Nova Independência</t>
  </si>
  <si>
    <t>Nova Iorque</t>
  </si>
  <si>
    <t>Nova Ipixuna</t>
  </si>
  <si>
    <t>Nova Itaberaba</t>
  </si>
  <si>
    <t>Nova Itarana</t>
  </si>
  <si>
    <t>Nova Lacerda</t>
  </si>
  <si>
    <t>Nova Laranjeiras</t>
  </si>
  <si>
    <t>Nova Lima</t>
  </si>
  <si>
    <t>Nova Londrina</t>
  </si>
  <si>
    <t>Nova Luzitânia</t>
  </si>
  <si>
    <t>Nova Mamoré</t>
  </si>
  <si>
    <t>Nova Marilândia</t>
  </si>
  <si>
    <t>Nova Maringá</t>
  </si>
  <si>
    <t>Nova Módica</t>
  </si>
  <si>
    <t>Nova Monte Verde</t>
  </si>
  <si>
    <t>Nova Mutum</t>
  </si>
  <si>
    <t>Nova Nazaré</t>
  </si>
  <si>
    <t>Nova Odessa</t>
  </si>
  <si>
    <t>Nova Olímpia</t>
  </si>
  <si>
    <t>Nova Olinda</t>
  </si>
  <si>
    <t>Nova Olinda do Maranhão</t>
  </si>
  <si>
    <t>Nova Olinda do Norte</t>
  </si>
  <si>
    <t>Nova Pádua</t>
  </si>
  <si>
    <t>Nova Palma</t>
  </si>
  <si>
    <t>Nova Palmeira</t>
  </si>
  <si>
    <t>Nova Petrópolis</t>
  </si>
  <si>
    <t>Nova Ponte</t>
  </si>
  <si>
    <t>Nova Porteirinha</t>
  </si>
  <si>
    <t>Nova Prata</t>
  </si>
  <si>
    <t>Nova Prata do Iguaçu</t>
  </si>
  <si>
    <t>Nova Ramada</t>
  </si>
  <si>
    <t>Nova Redenção</t>
  </si>
  <si>
    <t>Nova Resende</t>
  </si>
  <si>
    <t>Nova Roma</t>
  </si>
  <si>
    <t>Nova Roma do Sul</t>
  </si>
  <si>
    <t>Nova Rosalândia</t>
  </si>
  <si>
    <t>Nova Russas</t>
  </si>
  <si>
    <t>Nova Santa Bárbara</t>
  </si>
  <si>
    <t>Nova Santa Helena</t>
  </si>
  <si>
    <t>Nova Santa Rita</t>
  </si>
  <si>
    <t>Nova Santa Rosa</t>
  </si>
  <si>
    <t>Nova Serrana</t>
  </si>
  <si>
    <t>Nova Soure</t>
  </si>
  <si>
    <t>Nova Tebas</t>
  </si>
  <si>
    <t>Nova Timboteua</t>
  </si>
  <si>
    <t>Nova Trento</t>
  </si>
  <si>
    <t>Nova Ubiratã</t>
  </si>
  <si>
    <t>Nova União</t>
  </si>
  <si>
    <t>Nova Venécia</t>
  </si>
  <si>
    <t>Nova Veneza</t>
  </si>
  <si>
    <t>Nova Viçosa</t>
  </si>
  <si>
    <t>Nova Xavantina</t>
  </si>
  <si>
    <t>Novais</t>
  </si>
  <si>
    <t>Novo Acordo</t>
  </si>
  <si>
    <t>Novo Airão</t>
  </si>
  <si>
    <t>Novo Alegre</t>
  </si>
  <si>
    <t>Novo Aripuanã</t>
  </si>
  <si>
    <t>Novo Barreiro</t>
  </si>
  <si>
    <t>Novo Brasil</t>
  </si>
  <si>
    <t>Novo Cabrais</t>
  </si>
  <si>
    <t>Novo Cruzeiro</t>
  </si>
  <si>
    <t>Novo Gama</t>
  </si>
  <si>
    <t>Novo Hamburgo</t>
  </si>
  <si>
    <t>Novo Horizonte</t>
  </si>
  <si>
    <t>Novo Horizonte do Norte</t>
  </si>
  <si>
    <t>Novo Horizonte do Oeste</t>
  </si>
  <si>
    <t>Novo Horizonte do Sul</t>
  </si>
  <si>
    <t>Novo Itacolomi</t>
  </si>
  <si>
    <t>Novo Jardim</t>
  </si>
  <si>
    <t>Novo Lino</t>
  </si>
  <si>
    <t>Novo Machado</t>
  </si>
  <si>
    <t>Novo Mundo</t>
  </si>
  <si>
    <t>Novo Oriente</t>
  </si>
  <si>
    <t>Novo Oriente de Minas</t>
  </si>
  <si>
    <t>Novo Oriente do Piauí</t>
  </si>
  <si>
    <t>Novo Planalto</t>
  </si>
  <si>
    <t>Novo Progresso</t>
  </si>
  <si>
    <t>Novo Repartimento</t>
  </si>
  <si>
    <t>Novo Santo Antônio</t>
  </si>
  <si>
    <t>Novo São Joaquim</t>
  </si>
  <si>
    <t>Novo Tiradentes</t>
  </si>
  <si>
    <t>Novo Triunfo</t>
  </si>
  <si>
    <t>Novo Xingu</t>
  </si>
  <si>
    <t>Novorizonte</t>
  </si>
  <si>
    <t>Nuporanga</t>
  </si>
  <si>
    <t>Óbidos</t>
  </si>
  <si>
    <t>Ocara</t>
  </si>
  <si>
    <t>Ocauçu</t>
  </si>
  <si>
    <t>Oeiras</t>
  </si>
  <si>
    <t>Oeiras do Pará</t>
  </si>
  <si>
    <t>Oiapoque</t>
  </si>
  <si>
    <t>Olaria</t>
  </si>
  <si>
    <t>Óleo</t>
  </si>
  <si>
    <t>Olho D´água</t>
  </si>
  <si>
    <t>Olho D´água Das Cunhãs</t>
  </si>
  <si>
    <t>Olho D´água Das Flores</t>
  </si>
  <si>
    <t>Olho D´água do Casado</t>
  </si>
  <si>
    <t>Olho D´água do Piauí</t>
  </si>
  <si>
    <t>Olho D´água Grande</t>
  </si>
  <si>
    <t>Olho-d´água do Borges</t>
  </si>
  <si>
    <t>Olhos-d´água</t>
  </si>
  <si>
    <t>Olímpia</t>
  </si>
  <si>
    <t>Olímpio Noronha</t>
  </si>
  <si>
    <t>Olinda</t>
  </si>
  <si>
    <t>Olinda Nova do Maranhão</t>
  </si>
  <si>
    <t>Olindina</t>
  </si>
  <si>
    <t>Olivedos</t>
  </si>
  <si>
    <t>Oliveira</t>
  </si>
  <si>
    <t>Oliveira de Fátima</t>
  </si>
  <si>
    <t>Oliveira Dos Brejinhos</t>
  </si>
  <si>
    <t>Oliveira Fortes</t>
  </si>
  <si>
    <t>Olivença</t>
  </si>
  <si>
    <t>Onça de Pitangui</t>
  </si>
  <si>
    <t>Onda Verde</t>
  </si>
  <si>
    <t>Oratórios</t>
  </si>
  <si>
    <t>Oriente</t>
  </si>
  <si>
    <t>Orindiúva</t>
  </si>
  <si>
    <t>Oriximiná</t>
  </si>
  <si>
    <t>Orizânia</t>
  </si>
  <si>
    <t>Orizona</t>
  </si>
  <si>
    <t>Orlândia</t>
  </si>
  <si>
    <t>Orleans</t>
  </si>
  <si>
    <t>Orobó</t>
  </si>
  <si>
    <t>Orocó</t>
  </si>
  <si>
    <t>Orós</t>
  </si>
  <si>
    <t>Ortigueira</t>
  </si>
  <si>
    <t>Osasco</t>
  </si>
  <si>
    <t>Oscar Bressane</t>
  </si>
  <si>
    <t>Osório</t>
  </si>
  <si>
    <t>Osvaldo Cruz</t>
  </si>
  <si>
    <t>Otacílio Costa</t>
  </si>
  <si>
    <t>Ourém</t>
  </si>
  <si>
    <t>Ouriçangas</t>
  </si>
  <si>
    <t>Ouricuri</t>
  </si>
  <si>
    <t>Ourilândia do Norte</t>
  </si>
  <si>
    <t>Ourinhos</t>
  </si>
  <si>
    <t>Ourizona</t>
  </si>
  <si>
    <t>Ouro</t>
  </si>
  <si>
    <t>Ouro Branco</t>
  </si>
  <si>
    <t>Ouro Fino</t>
  </si>
  <si>
    <t>Ouro Preto</t>
  </si>
  <si>
    <t>Ouro Preto do Oeste</t>
  </si>
  <si>
    <t>Ouro Velho</t>
  </si>
  <si>
    <t>Ouro Verde</t>
  </si>
  <si>
    <t>Ouro Verde de Goiás</t>
  </si>
  <si>
    <t>Ouro Verde de Minas</t>
  </si>
  <si>
    <t>Ouro Verde do Oeste</t>
  </si>
  <si>
    <t>Ouroeste</t>
  </si>
  <si>
    <t>Ourolândia</t>
  </si>
  <si>
    <t>Ouvidor</t>
  </si>
  <si>
    <t>Pacaembu</t>
  </si>
  <si>
    <t>Pacajá</t>
  </si>
  <si>
    <t>Pacajus</t>
  </si>
  <si>
    <t>Pacaraima</t>
  </si>
  <si>
    <t>Pacatuba</t>
  </si>
  <si>
    <t>Paço do Lumiar</t>
  </si>
  <si>
    <t>Pacoti</t>
  </si>
  <si>
    <t>Pacujá</t>
  </si>
  <si>
    <t>Padre Bernardo</t>
  </si>
  <si>
    <t>Padre Carvalho</t>
  </si>
  <si>
    <t>Padre Marcos</t>
  </si>
  <si>
    <t>Padre Paraíso</t>
  </si>
  <si>
    <t>Paes Landim</t>
  </si>
  <si>
    <t>Pai Pedro</t>
  </si>
  <si>
    <t>Paial</t>
  </si>
  <si>
    <t>Paiçandu</t>
  </si>
  <si>
    <t>Paim Filho</t>
  </si>
  <si>
    <t>Paineiras</t>
  </si>
  <si>
    <t>Painel</t>
  </si>
  <si>
    <t>Pains</t>
  </si>
  <si>
    <t>Paiva</t>
  </si>
  <si>
    <t>Pajeú do Piauí</t>
  </si>
  <si>
    <t>Palestina</t>
  </si>
  <si>
    <t>Palestina de Goiás</t>
  </si>
  <si>
    <t>Palestina do Pará</t>
  </si>
  <si>
    <t>Palhano</t>
  </si>
  <si>
    <t>Palhoça</t>
  </si>
  <si>
    <t>Palma</t>
  </si>
  <si>
    <t>Palma Sola</t>
  </si>
  <si>
    <t>Palmácia</t>
  </si>
  <si>
    <t>Palmares</t>
  </si>
  <si>
    <t>Palmares do Sul</t>
  </si>
  <si>
    <t>Palmares Paulista</t>
  </si>
  <si>
    <t>Palmas</t>
  </si>
  <si>
    <t>Palmas de Monte Alto</t>
  </si>
  <si>
    <t>Palmeira</t>
  </si>
  <si>
    <t>Palmeira D´oeste</t>
  </si>
  <si>
    <t>Palmeira Das Missões</t>
  </si>
  <si>
    <t>Palmeira do Piauí</t>
  </si>
  <si>
    <t>Palmeira Dos Índios</t>
  </si>
  <si>
    <t>Palmeirais</t>
  </si>
  <si>
    <t>Palmeirândia</t>
  </si>
  <si>
    <t>Palmeirante</t>
  </si>
  <si>
    <t>Palmeiras</t>
  </si>
  <si>
    <t>Palmeiras de Goiás</t>
  </si>
  <si>
    <t>Palmeiras do Tocantins</t>
  </si>
  <si>
    <t>Palmeirina</t>
  </si>
  <si>
    <t>Palmeirópolis</t>
  </si>
  <si>
    <t>Palmelo</t>
  </si>
  <si>
    <t>Palminópolis</t>
  </si>
  <si>
    <t>Palmital</t>
  </si>
  <si>
    <t>Palmitinho</t>
  </si>
  <si>
    <t>Palmitos</t>
  </si>
  <si>
    <t>Palmópolis</t>
  </si>
  <si>
    <t>Palotina</t>
  </si>
  <si>
    <t>Panamá</t>
  </si>
  <si>
    <t>Panambi</t>
  </si>
  <si>
    <t>Pancas</t>
  </si>
  <si>
    <t>Panelas</t>
  </si>
  <si>
    <t>Panorama</t>
  </si>
  <si>
    <t>Pantano Grande</t>
  </si>
  <si>
    <t>Pão de Açúcar</t>
  </si>
  <si>
    <t>Papagaios</t>
  </si>
  <si>
    <t>Papanduva</t>
  </si>
  <si>
    <t>Paquetá</t>
  </si>
  <si>
    <t>Pará de Minas</t>
  </si>
  <si>
    <t>Paracambi</t>
  </si>
  <si>
    <t>Paracatu</t>
  </si>
  <si>
    <t>Paracuru</t>
  </si>
  <si>
    <t>Paragominas</t>
  </si>
  <si>
    <t>Paraguaçu</t>
  </si>
  <si>
    <t>Paraguaçu Paulista</t>
  </si>
  <si>
    <t>Paraí</t>
  </si>
  <si>
    <t>Paraíba do Sul</t>
  </si>
  <si>
    <t>Paraibano</t>
  </si>
  <si>
    <t>Paraibuna</t>
  </si>
  <si>
    <t>Paraipaba</t>
  </si>
  <si>
    <t>Paraíso</t>
  </si>
  <si>
    <t>Paraíso das Águas</t>
  </si>
  <si>
    <t>Paraíso do Norte</t>
  </si>
  <si>
    <t>Paraíso do Sul</t>
  </si>
  <si>
    <t>Paraíso do Tocantins</t>
  </si>
  <si>
    <t>Paraisópolis</t>
  </si>
  <si>
    <t>Parambu</t>
  </si>
  <si>
    <t>Paramirim</t>
  </si>
  <si>
    <t>Paramoti</t>
  </si>
  <si>
    <t>Paraná</t>
  </si>
  <si>
    <t>Paranã</t>
  </si>
  <si>
    <t>Paranacity</t>
  </si>
  <si>
    <t>Paranaguá</t>
  </si>
  <si>
    <t>Paranaíba</t>
  </si>
  <si>
    <t>Paranaiguara</t>
  </si>
  <si>
    <t>Paranaíta</t>
  </si>
  <si>
    <t>Paranapanema</t>
  </si>
  <si>
    <t>Paranapoema</t>
  </si>
  <si>
    <t>Paranapuã</t>
  </si>
  <si>
    <t>Paranatama</t>
  </si>
  <si>
    <t>Paranatinga</t>
  </si>
  <si>
    <t>Paranavaí</t>
  </si>
  <si>
    <t>Paranhos</t>
  </si>
  <si>
    <t>Paraopeba</t>
  </si>
  <si>
    <t>Parapuã</t>
  </si>
  <si>
    <t>Parari</t>
  </si>
  <si>
    <t>Parati</t>
  </si>
  <si>
    <t>Paratinga</t>
  </si>
  <si>
    <t>Paraú</t>
  </si>
  <si>
    <t>Parauapebas</t>
  </si>
  <si>
    <t>Paraúna</t>
  </si>
  <si>
    <t>Parazinho</t>
  </si>
  <si>
    <t>Pardinho</t>
  </si>
  <si>
    <t>Pareci Novo</t>
  </si>
  <si>
    <t>Parecis</t>
  </si>
  <si>
    <t>Parelhas</t>
  </si>
  <si>
    <t>Pariconha</t>
  </si>
  <si>
    <t>Parintins</t>
  </si>
  <si>
    <t>Paripiranga</t>
  </si>
  <si>
    <t>Paripueira</t>
  </si>
  <si>
    <t>Pariquera-açu</t>
  </si>
  <si>
    <t>Parisi</t>
  </si>
  <si>
    <t>Parnaguá</t>
  </si>
  <si>
    <t>Parnaíba</t>
  </si>
  <si>
    <t>Parnamirim</t>
  </si>
  <si>
    <t>Parnarama</t>
  </si>
  <si>
    <t>Parobé</t>
  </si>
  <si>
    <t>Passa e Fica</t>
  </si>
  <si>
    <t>Passa Quatro</t>
  </si>
  <si>
    <t>Passa Sete</t>
  </si>
  <si>
    <t>Passa Tempo</t>
  </si>
  <si>
    <t>Passabém</t>
  </si>
  <si>
    <t>Passagem</t>
  </si>
  <si>
    <t>Passagem Franca</t>
  </si>
  <si>
    <t>Passagem Franca do Piauí</t>
  </si>
  <si>
    <t>Passa-vinte</t>
  </si>
  <si>
    <t>Passira</t>
  </si>
  <si>
    <t>Passo de Camaragibe</t>
  </si>
  <si>
    <t>Passo de Torres</t>
  </si>
  <si>
    <t>Passo do Sobrado</t>
  </si>
  <si>
    <t>Passo Fundo</t>
  </si>
  <si>
    <t>Passos</t>
  </si>
  <si>
    <t>Passos Maia</t>
  </si>
  <si>
    <t>Pastos Bons</t>
  </si>
  <si>
    <t>Patis</t>
  </si>
  <si>
    <t>Pato Bragado</t>
  </si>
  <si>
    <t>Pato Branco</t>
  </si>
  <si>
    <t>Patos</t>
  </si>
  <si>
    <t>Patos de Minas</t>
  </si>
  <si>
    <t>Patos do Piauí</t>
  </si>
  <si>
    <t>Patrocínio</t>
  </si>
  <si>
    <t>Patrocínio do Muriaé</t>
  </si>
  <si>
    <t>Patrocínio Paulista</t>
  </si>
  <si>
    <t>Patu</t>
  </si>
  <si>
    <t>Paty do Alferes</t>
  </si>
  <si>
    <t>Pau Brasil</t>
  </si>
  <si>
    <t>Pau D´arco</t>
  </si>
  <si>
    <t>Pau D´arco do Piauí</t>
  </si>
  <si>
    <t>Pau Dos Ferros</t>
  </si>
  <si>
    <t>Paudalho</t>
  </si>
  <si>
    <t>Pauini</t>
  </si>
  <si>
    <t>Paula Cândido</t>
  </si>
  <si>
    <t>Paula Freitas</t>
  </si>
  <si>
    <t>Paulicéia</t>
  </si>
  <si>
    <t>Paulínia</t>
  </si>
  <si>
    <t>Paulino Neves</t>
  </si>
  <si>
    <t>Paulista</t>
  </si>
  <si>
    <t>Paulistana</t>
  </si>
  <si>
    <t>Paulistânia</t>
  </si>
  <si>
    <t>Paulistas</t>
  </si>
  <si>
    <t>Paulo Afonso</t>
  </si>
  <si>
    <t>Paulo Bento</t>
  </si>
  <si>
    <t>Paulo de Faria</t>
  </si>
  <si>
    <t>Paulo Frontin</t>
  </si>
  <si>
    <t>Paulo Jacinto</t>
  </si>
  <si>
    <t>Paulo Lopes</t>
  </si>
  <si>
    <t>Paulo Ramos</t>
  </si>
  <si>
    <t>Pavão</t>
  </si>
  <si>
    <t>Paverama</t>
  </si>
  <si>
    <t>Pavussu</t>
  </si>
  <si>
    <t>pé de Serra</t>
  </si>
  <si>
    <t>Peabiru</t>
  </si>
  <si>
    <t>Peçanha</t>
  </si>
  <si>
    <t>Pederneiras</t>
  </si>
  <si>
    <t>Pedra</t>
  </si>
  <si>
    <t>Pedra Azul</t>
  </si>
  <si>
    <t>Pedra Bela</t>
  </si>
  <si>
    <t>Pedra Bonita</t>
  </si>
  <si>
    <t>Pedra Branca</t>
  </si>
  <si>
    <t>Pedra Branca do Amapari</t>
  </si>
  <si>
    <t>Pedra do Anta</t>
  </si>
  <si>
    <t>Pedra do Indaiá</t>
  </si>
  <si>
    <t>Pedra Dourada</t>
  </si>
  <si>
    <t>Pedra Grande</t>
  </si>
  <si>
    <t>Pedra Lavrada</t>
  </si>
  <si>
    <t>Pedra Mole</t>
  </si>
  <si>
    <t>Pedra Preta</t>
  </si>
  <si>
    <t>Pedralva</t>
  </si>
  <si>
    <t>Pedranópolis</t>
  </si>
  <si>
    <t>Pedrão</t>
  </si>
  <si>
    <t>Pedras Altas</t>
  </si>
  <si>
    <t>Pedras de Fogo</t>
  </si>
  <si>
    <t>Pedras de Maria da Cruz</t>
  </si>
  <si>
    <t>Pedras Grandes</t>
  </si>
  <si>
    <t>Pedregulho</t>
  </si>
  <si>
    <t>Pedreira</t>
  </si>
  <si>
    <t>Pedreiras</t>
  </si>
  <si>
    <t>Pedrinhas</t>
  </si>
  <si>
    <t>Pedrinhas Paulista</t>
  </si>
  <si>
    <t>Pedrinópolis</t>
  </si>
  <si>
    <t>Pedro Afonso</t>
  </si>
  <si>
    <t>Pedro Alexandre</t>
  </si>
  <si>
    <t>Pedro Avelino</t>
  </si>
  <si>
    <t>Pedro Canário</t>
  </si>
  <si>
    <t>Pedro de Toledo</t>
  </si>
  <si>
    <t>Pedro do Rosário</t>
  </si>
  <si>
    <t>Pedro Gomes</t>
  </si>
  <si>
    <t>Pedro ii</t>
  </si>
  <si>
    <t>Pedro Laurentino</t>
  </si>
  <si>
    <t>Pedro Leopoldo</t>
  </si>
  <si>
    <t>Pedro Osório</t>
  </si>
  <si>
    <t>Pedro Régis</t>
  </si>
  <si>
    <t>Pedro Teixeira</t>
  </si>
  <si>
    <t>Pedro Velho</t>
  </si>
  <si>
    <t>Peixe</t>
  </si>
  <si>
    <t>Peixe-boi</t>
  </si>
  <si>
    <t>Peixoto de Azevedo</t>
  </si>
  <si>
    <t>Pejuçara</t>
  </si>
  <si>
    <t>Pelotas</t>
  </si>
  <si>
    <t>Penaforte</t>
  </si>
  <si>
    <t>Penalva</t>
  </si>
  <si>
    <t>Penápolis</t>
  </si>
  <si>
    <t>Pendências</t>
  </si>
  <si>
    <t>Penedo</t>
  </si>
  <si>
    <t>Penha</t>
  </si>
  <si>
    <t>Pentecoste</t>
  </si>
  <si>
    <t>Pequeri</t>
  </si>
  <si>
    <t>Pequi</t>
  </si>
  <si>
    <t>Pequizeiro</t>
  </si>
  <si>
    <t>Perdigão</t>
  </si>
  <si>
    <t>Perdizes</t>
  </si>
  <si>
    <t>Perdões</t>
  </si>
  <si>
    <t>Pereira Barreto</t>
  </si>
  <si>
    <t>Pereiras</t>
  </si>
  <si>
    <t>Pereiro</t>
  </si>
  <si>
    <t>Peri Mirim</t>
  </si>
  <si>
    <t>Periquito</t>
  </si>
  <si>
    <t>Peritiba</t>
  </si>
  <si>
    <t>Peritoró</t>
  </si>
  <si>
    <t>Perobal</t>
  </si>
  <si>
    <t>Pérola</t>
  </si>
  <si>
    <t>Pérola D´oeste</t>
  </si>
  <si>
    <t>Perolândia</t>
  </si>
  <si>
    <t>Peruíbe</t>
  </si>
  <si>
    <t>Pescador</t>
  </si>
  <si>
    <t>Pescaria Brava</t>
  </si>
  <si>
    <t>Pesqueira</t>
  </si>
  <si>
    <t>Petrolândia</t>
  </si>
  <si>
    <t>Petrolina</t>
  </si>
  <si>
    <t>Petrolina de Goiás</t>
  </si>
  <si>
    <t>Petrópolis</t>
  </si>
  <si>
    <t>Piaçabuçu</t>
  </si>
  <si>
    <t>Piacatu</t>
  </si>
  <si>
    <t>Piancó</t>
  </si>
  <si>
    <t>Piatã</t>
  </si>
  <si>
    <t>Piau</t>
  </si>
  <si>
    <t>Picada Café</t>
  </si>
  <si>
    <t>Piçarra</t>
  </si>
  <si>
    <t>Piçarras</t>
  </si>
  <si>
    <t>Picos</t>
  </si>
  <si>
    <t>Picuí</t>
  </si>
  <si>
    <t>Piedade</t>
  </si>
  <si>
    <t>Piedade de Caratinga</t>
  </si>
  <si>
    <t>Piedade de Ponte Nova</t>
  </si>
  <si>
    <t>Piedade do Rio Grande</t>
  </si>
  <si>
    <t>Piedade Dos Gerais</t>
  </si>
  <si>
    <t>Piên</t>
  </si>
  <si>
    <t>Pilão Arcado</t>
  </si>
  <si>
    <t>Pilar</t>
  </si>
  <si>
    <t>Pilar de Goiás</t>
  </si>
  <si>
    <t>Pilar do Sul</t>
  </si>
  <si>
    <t>Pilões</t>
  </si>
  <si>
    <t>Pilõezinhos</t>
  </si>
  <si>
    <t>Pimenta</t>
  </si>
  <si>
    <t>Pimenta Bueno</t>
  </si>
  <si>
    <t>Pimenteiras</t>
  </si>
  <si>
    <t>Pimenteiras do Oeste</t>
  </si>
  <si>
    <t>Pindaí</t>
  </si>
  <si>
    <t>Pindamonhangaba</t>
  </si>
  <si>
    <t>Pindaré-mirim</t>
  </si>
  <si>
    <t>Pindoba</t>
  </si>
  <si>
    <t>Pindobaçu</t>
  </si>
  <si>
    <t>Pindorama</t>
  </si>
  <si>
    <t>Pindorama do Tocantins</t>
  </si>
  <si>
    <t>Pindoretama</t>
  </si>
  <si>
    <t>Pingo-d´água</t>
  </si>
  <si>
    <t>Pinhais</t>
  </si>
  <si>
    <t>Pinhal</t>
  </si>
  <si>
    <t>Pinhal da Serra</t>
  </si>
  <si>
    <t>Pinhal de São Bento</t>
  </si>
  <si>
    <t>Pinhal Grande</t>
  </si>
  <si>
    <t>Pinhalão</t>
  </si>
  <si>
    <t>Pinhalzinho</t>
  </si>
  <si>
    <t>Pinhão</t>
  </si>
  <si>
    <t>Pinheiral</t>
  </si>
  <si>
    <t>Pinheirinho do Vale</t>
  </si>
  <si>
    <t>Pinheiro</t>
  </si>
  <si>
    <t>Pinheiro Machado</t>
  </si>
  <si>
    <t>Pinheiro Preto</t>
  </si>
  <si>
    <t>Pinheiros</t>
  </si>
  <si>
    <t>Pintadas</t>
  </si>
  <si>
    <t>Pinto Bandeira</t>
  </si>
  <si>
    <t>Pintópolis</t>
  </si>
  <si>
    <t>Pio ix</t>
  </si>
  <si>
    <t>Pio Xii</t>
  </si>
  <si>
    <t>Piquerobi</t>
  </si>
  <si>
    <t>Piquet Carneiro</t>
  </si>
  <si>
    <t>Piquete</t>
  </si>
  <si>
    <t>Piracaia</t>
  </si>
  <si>
    <t>Piracanjuba</t>
  </si>
  <si>
    <t>Piracema</t>
  </si>
  <si>
    <t>Piracicaba</t>
  </si>
  <si>
    <t>Piracuruca</t>
  </si>
  <si>
    <t>Piraí</t>
  </si>
  <si>
    <t>Piraí do Norte</t>
  </si>
  <si>
    <t>Piraí do Sul</t>
  </si>
  <si>
    <t>Piraju</t>
  </si>
  <si>
    <t>Pirajuba</t>
  </si>
  <si>
    <t>Pirajuí</t>
  </si>
  <si>
    <t>Pirambu</t>
  </si>
  <si>
    <t>Piranga</t>
  </si>
  <si>
    <t>Pirangi</t>
  </si>
  <si>
    <t>Piranguçu</t>
  </si>
  <si>
    <t>Piranguinho</t>
  </si>
  <si>
    <t>Piranhas</t>
  </si>
  <si>
    <t>Pirapemas</t>
  </si>
  <si>
    <t>Pirapetinga</t>
  </si>
  <si>
    <t>Pirapó</t>
  </si>
  <si>
    <t>Pirapora</t>
  </si>
  <si>
    <t>Pirapora do Bom Jesus</t>
  </si>
  <si>
    <t>Pirapozinho</t>
  </si>
  <si>
    <t>Piraquara</t>
  </si>
  <si>
    <t>Piraquê</t>
  </si>
  <si>
    <t>Pirassununga</t>
  </si>
  <si>
    <t>Piratini</t>
  </si>
  <si>
    <t>Piratininga</t>
  </si>
  <si>
    <t>Piratuba</t>
  </si>
  <si>
    <t>Piraúba</t>
  </si>
  <si>
    <t>Pirenópolis</t>
  </si>
  <si>
    <t>Pires do Rio</t>
  </si>
  <si>
    <t>Pires Ferreira</t>
  </si>
  <si>
    <t>Piripá</t>
  </si>
  <si>
    <t>Piripiri</t>
  </si>
  <si>
    <t>Piritiba</t>
  </si>
  <si>
    <t>Pirpirituba</t>
  </si>
  <si>
    <t>Pitanga</t>
  </si>
  <si>
    <t>Pitangueiras</t>
  </si>
  <si>
    <t>Pitangui</t>
  </si>
  <si>
    <t>Pitimbu</t>
  </si>
  <si>
    <t>Pium</t>
  </si>
  <si>
    <t>Piúma</t>
  </si>
  <si>
    <t>Piumhi</t>
  </si>
  <si>
    <t>Placas</t>
  </si>
  <si>
    <t>Plácido de Castro</t>
  </si>
  <si>
    <t>Planaltina</t>
  </si>
  <si>
    <t>Planaltina do Paraná</t>
  </si>
  <si>
    <t>Planaltino</t>
  </si>
  <si>
    <t>Planalto</t>
  </si>
  <si>
    <t>Planalto Alegre</t>
  </si>
  <si>
    <t>Planalto da Serra</t>
  </si>
  <si>
    <t>Planura</t>
  </si>
  <si>
    <t>Platina</t>
  </si>
  <si>
    <t>Poá</t>
  </si>
  <si>
    <t>Poção</t>
  </si>
  <si>
    <t>Poção de Pedras</t>
  </si>
  <si>
    <t>Pocinhos</t>
  </si>
  <si>
    <t>Poço Branco</t>
  </si>
  <si>
    <t>Poço Dantas</t>
  </si>
  <si>
    <t>Poço Das Antas</t>
  </si>
  <si>
    <t>Poço Das Trincheiras</t>
  </si>
  <si>
    <t>Poço de José de Moura</t>
  </si>
  <si>
    <t>Poço Fundo</t>
  </si>
  <si>
    <t>Poço Redondo</t>
  </si>
  <si>
    <t>Poço Verde</t>
  </si>
  <si>
    <t>Poções</t>
  </si>
  <si>
    <t>Poconé</t>
  </si>
  <si>
    <t>Poços de Caldas</t>
  </si>
  <si>
    <t>Pocrane</t>
  </si>
  <si>
    <t>Pojuca</t>
  </si>
  <si>
    <t>Poloni</t>
  </si>
  <si>
    <t>Pombal</t>
  </si>
  <si>
    <t>Pombos</t>
  </si>
  <si>
    <t>Pomerode</t>
  </si>
  <si>
    <t>Pompéia</t>
  </si>
  <si>
    <t>Pompéu</t>
  </si>
  <si>
    <t>Pongaí</t>
  </si>
  <si>
    <t>Ponta de Pedras</t>
  </si>
  <si>
    <t>Ponta Grossa</t>
  </si>
  <si>
    <t>Ponta Porã</t>
  </si>
  <si>
    <t>Pontal</t>
  </si>
  <si>
    <t>Pontal do Araguaia</t>
  </si>
  <si>
    <t>Pontal do Paraná</t>
  </si>
  <si>
    <t>Pontalina</t>
  </si>
  <si>
    <t>Pontalinda</t>
  </si>
  <si>
    <t>Pontão</t>
  </si>
  <si>
    <t>Ponte Alta</t>
  </si>
  <si>
    <t>Ponte Alta do Bom Jesus</t>
  </si>
  <si>
    <t>Ponte Alta do Norte</t>
  </si>
  <si>
    <t>Ponte Alta do Tocantins</t>
  </si>
  <si>
    <t>Ponte Branca</t>
  </si>
  <si>
    <t>Ponte Nova</t>
  </si>
  <si>
    <t>Ponte Preta</t>
  </si>
  <si>
    <t>Ponte Serrada</t>
  </si>
  <si>
    <t>Pontes e Lacerda</t>
  </si>
  <si>
    <t>Pontes Gestal</t>
  </si>
  <si>
    <t>Ponto Belo</t>
  </si>
  <si>
    <t>Ponto Chique</t>
  </si>
  <si>
    <t>Ponto Dos Volantes</t>
  </si>
  <si>
    <t>Ponto Novo</t>
  </si>
  <si>
    <t>Populina</t>
  </si>
  <si>
    <t>Poranga</t>
  </si>
  <si>
    <t>Porangaba</t>
  </si>
  <si>
    <t>Porangatu</t>
  </si>
  <si>
    <t>Porciúncula</t>
  </si>
  <si>
    <t>Porecatu</t>
  </si>
  <si>
    <t>Portalegre</t>
  </si>
  <si>
    <t>Portão</t>
  </si>
  <si>
    <t>Porteirão</t>
  </si>
  <si>
    <t>Porteiras</t>
  </si>
  <si>
    <t>Porteirinha</t>
  </si>
  <si>
    <t>Portel</t>
  </si>
  <si>
    <t>Portelândia</t>
  </si>
  <si>
    <t>Porto</t>
  </si>
  <si>
    <t>Porto Acre</t>
  </si>
  <si>
    <t>Porto Alegre</t>
  </si>
  <si>
    <t>Porto Alegre do Norte</t>
  </si>
  <si>
    <t>Porto Alegre do Piauí</t>
  </si>
  <si>
    <t>Porto Alegre do Tocantins</t>
  </si>
  <si>
    <t>Porto Amazonas</t>
  </si>
  <si>
    <t>Porto Barreiro</t>
  </si>
  <si>
    <t>Porto Belo</t>
  </si>
  <si>
    <t>Porto Calvo</t>
  </si>
  <si>
    <t>Porto da Folha</t>
  </si>
  <si>
    <t>Porto de Moz</t>
  </si>
  <si>
    <t>Porto de Pedras</t>
  </si>
  <si>
    <t>Porto do Mangue</t>
  </si>
  <si>
    <t>Porto Dos Gaúchos</t>
  </si>
  <si>
    <t>Porto Esperidião</t>
  </si>
  <si>
    <t>Porto Estrela</t>
  </si>
  <si>
    <t>Porto Feliz</t>
  </si>
  <si>
    <t>Porto Ferreira</t>
  </si>
  <si>
    <t>Porto Firme</t>
  </si>
  <si>
    <t>Porto Franco</t>
  </si>
  <si>
    <t>Porto Grande</t>
  </si>
  <si>
    <t>Porto Lucena</t>
  </si>
  <si>
    <t>Porto Mauá</t>
  </si>
  <si>
    <t>Porto Murtinho</t>
  </si>
  <si>
    <t>Porto Nacional</t>
  </si>
  <si>
    <t>Porto Real</t>
  </si>
  <si>
    <t>Porto Real do Colégio</t>
  </si>
  <si>
    <t>Porto Rico</t>
  </si>
  <si>
    <t>Porto Rico do Maranhão</t>
  </si>
  <si>
    <t>Porto Seguro</t>
  </si>
  <si>
    <t>Porto União</t>
  </si>
  <si>
    <t>Porto Velho</t>
  </si>
  <si>
    <t>Porto Vera Cruz</t>
  </si>
  <si>
    <t>Porto Vitória</t>
  </si>
  <si>
    <t>Porto Walter</t>
  </si>
  <si>
    <t>Porto Xavier</t>
  </si>
  <si>
    <t>Posse</t>
  </si>
  <si>
    <t>Poté</t>
  </si>
  <si>
    <t>Potengi</t>
  </si>
  <si>
    <t>Potim</t>
  </si>
  <si>
    <t>Potiraguá</t>
  </si>
  <si>
    <t>Potirendaba</t>
  </si>
  <si>
    <t>Potiretama</t>
  </si>
  <si>
    <t>Pouso Alegre</t>
  </si>
  <si>
    <t>Pouso Alto</t>
  </si>
  <si>
    <t>Pouso Novo</t>
  </si>
  <si>
    <t>Pouso Redondo</t>
  </si>
  <si>
    <t>Poxoréo</t>
  </si>
  <si>
    <t>Pracinha</t>
  </si>
  <si>
    <t>Pracuúba</t>
  </si>
  <si>
    <t>Prado</t>
  </si>
  <si>
    <t>Prado Ferreira</t>
  </si>
  <si>
    <t>Pradópolis</t>
  </si>
  <si>
    <t>Prados</t>
  </si>
  <si>
    <t>Praia Grande</t>
  </si>
  <si>
    <t>Praia Norte</t>
  </si>
  <si>
    <t>Prainha</t>
  </si>
  <si>
    <t>Pranchita</t>
  </si>
  <si>
    <t>Prata</t>
  </si>
  <si>
    <t>Prata do Piauí</t>
  </si>
  <si>
    <t>Pratânia</t>
  </si>
  <si>
    <t>Pratápolis</t>
  </si>
  <si>
    <t>Pratinha</t>
  </si>
  <si>
    <t>Presidente Alves</t>
  </si>
  <si>
    <t>Presidente Bernardes</t>
  </si>
  <si>
    <t>Presidente Castelo Branco</t>
  </si>
  <si>
    <t>Presidente Dutra</t>
  </si>
  <si>
    <t>Presidente Epitácio</t>
  </si>
  <si>
    <t>Presidente Figueiredo</t>
  </si>
  <si>
    <t>Presidente Getúlio</t>
  </si>
  <si>
    <t>Presidente Jânio Quadros</t>
  </si>
  <si>
    <t>Presidente Juscelino</t>
  </si>
  <si>
    <t>Presidente Kennedy</t>
  </si>
  <si>
    <t>Presidente Kubitschek</t>
  </si>
  <si>
    <t>Presidente Lucena</t>
  </si>
  <si>
    <t>Presidente Médici</t>
  </si>
  <si>
    <t>Presidente Nereu</t>
  </si>
  <si>
    <t>Presidente Olegário</t>
  </si>
  <si>
    <t>Presidente Prudente</t>
  </si>
  <si>
    <t>Presidente Sarney</t>
  </si>
  <si>
    <t>Presidente Tancredo Neves</t>
  </si>
  <si>
    <t>Presidente Vargas</t>
  </si>
  <si>
    <t>Presidente Venceslau</t>
  </si>
  <si>
    <t>Primavera</t>
  </si>
  <si>
    <t>Primavera de Rondônia</t>
  </si>
  <si>
    <t>Primavera do Leste</t>
  </si>
  <si>
    <t>Primeira Cruz</t>
  </si>
  <si>
    <t>Primeiro de Maio</t>
  </si>
  <si>
    <t>Princesa</t>
  </si>
  <si>
    <t>Princesa Isabel</t>
  </si>
  <si>
    <t>Professor Jamil</t>
  </si>
  <si>
    <t>Progresso</t>
  </si>
  <si>
    <t>Promissão</t>
  </si>
  <si>
    <t>Propriá</t>
  </si>
  <si>
    <t>Protásio Alves</t>
  </si>
  <si>
    <t>Prudente de Morais</t>
  </si>
  <si>
    <t>Prudentópolis</t>
  </si>
  <si>
    <t>Pugmil</t>
  </si>
  <si>
    <t>Pureza</t>
  </si>
  <si>
    <t>Putinga</t>
  </si>
  <si>
    <t>Puxinanã</t>
  </si>
  <si>
    <t>Quadra</t>
  </si>
  <si>
    <t>Quaraí</t>
  </si>
  <si>
    <t>Quartel Geral</t>
  </si>
  <si>
    <t>Quarto Centenário</t>
  </si>
  <si>
    <t>Quatá</t>
  </si>
  <si>
    <t>Quatiguá</t>
  </si>
  <si>
    <t>Quatipuru</t>
  </si>
  <si>
    <t>Quatis</t>
  </si>
  <si>
    <t>Quatro Barras</t>
  </si>
  <si>
    <t>Quatro Irmãos</t>
  </si>
  <si>
    <t>Quatro Pontes</t>
  </si>
  <si>
    <t>Quebrangulo</t>
  </si>
  <si>
    <t>Quedas do Iguaçu</t>
  </si>
  <si>
    <t>Queimada Nova</t>
  </si>
  <si>
    <t>Queimadas</t>
  </si>
  <si>
    <t>Queimados</t>
  </si>
  <si>
    <t>Queiroz</t>
  </si>
  <si>
    <t>Queluz</t>
  </si>
  <si>
    <t>Queluzito</t>
  </si>
  <si>
    <t>Querência</t>
  </si>
  <si>
    <t>Querência do Norte</t>
  </si>
  <si>
    <t>Quevedos</t>
  </si>
  <si>
    <t>Quijingue</t>
  </si>
  <si>
    <t>Quilombo</t>
  </si>
  <si>
    <t>Quinta do Sol</t>
  </si>
  <si>
    <t>Quintana</t>
  </si>
  <si>
    <t>Quinze de Novembro</t>
  </si>
  <si>
    <t>Quipapá</t>
  </si>
  <si>
    <t>Quirinópolis</t>
  </si>
  <si>
    <t>Quissamã</t>
  </si>
  <si>
    <t>Quitandinha</t>
  </si>
  <si>
    <t>Quiterianópolis</t>
  </si>
  <si>
    <t>Quixaba</t>
  </si>
  <si>
    <t>Quixabá</t>
  </si>
  <si>
    <t>Quixabeira</t>
  </si>
  <si>
    <t>Quixadá</t>
  </si>
  <si>
    <t>Quixelô</t>
  </si>
  <si>
    <t>Quixeramobim</t>
  </si>
  <si>
    <t>Quixeré</t>
  </si>
  <si>
    <t>Rafael Fernandes</t>
  </si>
  <si>
    <t>Rafael Godeiro</t>
  </si>
  <si>
    <t>Rafael Jambeiro</t>
  </si>
  <si>
    <t>Rafard</t>
  </si>
  <si>
    <t>Ramilândia</t>
  </si>
  <si>
    <t>Rancharia</t>
  </si>
  <si>
    <t>Rancho Alegre</t>
  </si>
  <si>
    <t>Rancho Alegre D´oeste</t>
  </si>
  <si>
    <t>Rancho Queimado</t>
  </si>
  <si>
    <t>Raposa</t>
  </si>
  <si>
    <t>Raposos</t>
  </si>
  <si>
    <t>Raul Soares</t>
  </si>
  <si>
    <t>Realeza</t>
  </si>
  <si>
    <t>Rebouças</t>
  </si>
  <si>
    <t>Recife</t>
  </si>
  <si>
    <t>Recreio</t>
  </si>
  <si>
    <t>Recursolândia</t>
  </si>
  <si>
    <t>Redenção</t>
  </si>
  <si>
    <t>Redenção da Serra</t>
  </si>
  <si>
    <t>Redenção do Gurguéia</t>
  </si>
  <si>
    <t>Redentora</t>
  </si>
  <si>
    <t>Reduto</t>
  </si>
  <si>
    <t>Regeneração</t>
  </si>
  <si>
    <t>Regente Feijó</t>
  </si>
  <si>
    <t>Reginópolis</t>
  </si>
  <si>
    <t>Registro</t>
  </si>
  <si>
    <t>Relvado</t>
  </si>
  <si>
    <t>Remanso</t>
  </si>
  <si>
    <t>Remígio</t>
  </si>
  <si>
    <t>Renascença</t>
  </si>
  <si>
    <t>Reriutaba</t>
  </si>
  <si>
    <t>Resende</t>
  </si>
  <si>
    <t>Resende Costa</t>
  </si>
  <si>
    <t>Reserva</t>
  </si>
  <si>
    <t>Reserva do Cabaçal</t>
  </si>
  <si>
    <t>Reserva do Iguaçu</t>
  </si>
  <si>
    <t>Resplendor</t>
  </si>
  <si>
    <t>Ressaquinha</t>
  </si>
  <si>
    <t>Restinga</t>
  </si>
  <si>
    <t>Restinga Seca</t>
  </si>
  <si>
    <t>Retirolândia</t>
  </si>
  <si>
    <t>Riachão</t>
  </si>
  <si>
    <t>Riachão Das Neves</t>
  </si>
  <si>
    <t>Riachão do Bacamarte</t>
  </si>
  <si>
    <t>Riachão do Dantas</t>
  </si>
  <si>
    <t>Riachão do Jacuípe</t>
  </si>
  <si>
    <t>Riachão do Poço</t>
  </si>
  <si>
    <t>Riachinho</t>
  </si>
  <si>
    <t>Riacho da Cruz</t>
  </si>
  <si>
    <t>Riacho Das Almas</t>
  </si>
  <si>
    <t>Riacho de Santana</t>
  </si>
  <si>
    <t>Riacho de Santo Antônio</t>
  </si>
  <si>
    <t>Riacho Dos Cavalos</t>
  </si>
  <si>
    <t>Riacho Dos Machados</t>
  </si>
  <si>
    <t>Riacho Frio</t>
  </si>
  <si>
    <t>Riachuelo</t>
  </si>
  <si>
    <t>Rialma</t>
  </si>
  <si>
    <t>Rianápolis</t>
  </si>
  <si>
    <t>Ribamar Fiquene</t>
  </si>
  <si>
    <t>Ribas do Rio Pardo</t>
  </si>
  <si>
    <t>Ribeira</t>
  </si>
  <si>
    <t>Ribeira do Amparo</t>
  </si>
  <si>
    <t>Ribeira do Piauí</t>
  </si>
  <si>
    <t>Ribeira do Pombal</t>
  </si>
  <si>
    <t>Ribeirão</t>
  </si>
  <si>
    <t>Ribeirão Bonito</t>
  </si>
  <si>
    <t>Ribeirão Branco</t>
  </si>
  <si>
    <t>Ribeirão Cascalheira</t>
  </si>
  <si>
    <t>Ribeirão Claro</t>
  </si>
  <si>
    <t>Ribeirão Corrente</t>
  </si>
  <si>
    <t>Ribeirão Das Neves</t>
  </si>
  <si>
    <t>Ribeirão do Largo</t>
  </si>
  <si>
    <t>Ribeirão do Pinhal</t>
  </si>
  <si>
    <t>Ribeirão do Sul</t>
  </si>
  <si>
    <t>Ribeirão Dos Índios</t>
  </si>
  <si>
    <t>Ribeirão Grande</t>
  </si>
  <si>
    <t>Ribeirão Pires</t>
  </si>
  <si>
    <t>Ribeirão Preto</t>
  </si>
  <si>
    <t>Ribeirão Vermelho</t>
  </si>
  <si>
    <t>Ribeirãozinho</t>
  </si>
  <si>
    <t>Ribeiro Gonçalves</t>
  </si>
  <si>
    <t>Ribeirópolis</t>
  </si>
  <si>
    <t>Rifaina</t>
  </si>
  <si>
    <t>Rincão</t>
  </si>
  <si>
    <t>Rinópolis</t>
  </si>
  <si>
    <t>Rio Acima</t>
  </si>
  <si>
    <t>Rio Azul</t>
  </si>
  <si>
    <t>Rio Bananal</t>
  </si>
  <si>
    <t>Rio Bom</t>
  </si>
  <si>
    <t>Rio Bonito</t>
  </si>
  <si>
    <t>Rio Bonito do Iguaçu</t>
  </si>
  <si>
    <t>Rio Branco</t>
  </si>
  <si>
    <t>Rio Branco do Ivaí</t>
  </si>
  <si>
    <t>Rio Branco do Sul</t>
  </si>
  <si>
    <t>Rio Brilhante</t>
  </si>
  <si>
    <t>Rio Casca</t>
  </si>
  <si>
    <t>Rio Claro</t>
  </si>
  <si>
    <t>Rio Crespo</t>
  </si>
  <si>
    <t>Rio da Conceição</t>
  </si>
  <si>
    <t>Rio Das Antas</t>
  </si>
  <si>
    <t>Rio Das Flores</t>
  </si>
  <si>
    <t>Rio Das Ostras</t>
  </si>
  <si>
    <t>Rio Das Pedras</t>
  </si>
  <si>
    <t>Rio de Contas</t>
  </si>
  <si>
    <t>Rio de Janeiro</t>
  </si>
  <si>
    <t>Rio do Antônio</t>
  </si>
  <si>
    <t>Rio do Campo</t>
  </si>
  <si>
    <t>Rio do Fogo</t>
  </si>
  <si>
    <t>Rio do Oeste</t>
  </si>
  <si>
    <t>Rio do Pires</t>
  </si>
  <si>
    <t>Rio do Prado</t>
  </si>
  <si>
    <t>Rio do Sul</t>
  </si>
  <si>
    <t>Rio Doce</t>
  </si>
  <si>
    <t>Rio Dos Bois</t>
  </si>
  <si>
    <t>Rio Dos Cedros</t>
  </si>
  <si>
    <t>Rio Dos Índios</t>
  </si>
  <si>
    <t>Rio Espera</t>
  </si>
  <si>
    <t>Rio Formoso</t>
  </si>
  <si>
    <t>Rio Fortuna</t>
  </si>
  <si>
    <t>Rio Grande</t>
  </si>
  <si>
    <t>Rio Grande da Serra</t>
  </si>
  <si>
    <t>Rio Grande do Piauí</t>
  </si>
  <si>
    <t>Rio Largo</t>
  </si>
  <si>
    <t>Rio Manso</t>
  </si>
  <si>
    <t>Rio Maria</t>
  </si>
  <si>
    <t>Rio Negrinho</t>
  </si>
  <si>
    <t>Rio Negro</t>
  </si>
  <si>
    <t>Rio Novo</t>
  </si>
  <si>
    <t>Rio Novo do Sul</t>
  </si>
  <si>
    <t>Rio Paranaíba</t>
  </si>
  <si>
    <t>Rio Pardo</t>
  </si>
  <si>
    <t>Rio Pardo de Minas</t>
  </si>
  <si>
    <t>Rio Piracicaba</t>
  </si>
  <si>
    <t>Rio Pomba</t>
  </si>
  <si>
    <t>Rio Preto</t>
  </si>
  <si>
    <t>Rio Preto da Eva</t>
  </si>
  <si>
    <t>Rio Quente</t>
  </si>
  <si>
    <t>Rio Real</t>
  </si>
  <si>
    <t>Rio Rufino</t>
  </si>
  <si>
    <t>Rio Sono</t>
  </si>
  <si>
    <t>Rio Tinto</t>
  </si>
  <si>
    <t>Rio Verde</t>
  </si>
  <si>
    <t>Rio Verde de Mato Grosso</t>
  </si>
  <si>
    <t>Rio Vermelho</t>
  </si>
  <si>
    <t>Riolândia</t>
  </si>
  <si>
    <t>Riozinho</t>
  </si>
  <si>
    <t>Riqueza</t>
  </si>
  <si>
    <t>Ritápolis</t>
  </si>
  <si>
    <t>Riversul</t>
  </si>
  <si>
    <t>Roca Sales</t>
  </si>
  <si>
    <t>Rochedo</t>
  </si>
  <si>
    <t>Rochedo de Minas</t>
  </si>
  <si>
    <t>Rodeio</t>
  </si>
  <si>
    <t>Rodeio Bonito</t>
  </si>
  <si>
    <t>Rodeiro</t>
  </si>
  <si>
    <t>Rodelas</t>
  </si>
  <si>
    <t>Rodolfo Fernandes</t>
  </si>
  <si>
    <t>Rodrigues Alves</t>
  </si>
  <si>
    <t>Rolador</t>
  </si>
  <si>
    <t>Rolândia</t>
  </si>
  <si>
    <t>Rolante</t>
  </si>
  <si>
    <t>Rolim de Moura</t>
  </si>
  <si>
    <t>Romaria</t>
  </si>
  <si>
    <t>Romelândia</t>
  </si>
  <si>
    <t>Roncador</t>
  </si>
  <si>
    <t>Ronda Alta</t>
  </si>
  <si>
    <t>Rondinha</t>
  </si>
  <si>
    <t>Rondolândia</t>
  </si>
  <si>
    <t>Rondon</t>
  </si>
  <si>
    <t>Rondon do Pará</t>
  </si>
  <si>
    <t>Rondonópolis</t>
  </si>
  <si>
    <t>Roque Gonzales</t>
  </si>
  <si>
    <t>Rorainópolis</t>
  </si>
  <si>
    <t>Rosana</t>
  </si>
  <si>
    <t>Rosário</t>
  </si>
  <si>
    <t>Rosário da Limeira</t>
  </si>
  <si>
    <t>Rosário do Catete</t>
  </si>
  <si>
    <t>Rosário do Ivaí</t>
  </si>
  <si>
    <t>Rosário do Sul</t>
  </si>
  <si>
    <t>Rosário Oeste</t>
  </si>
  <si>
    <t>Roseira</t>
  </si>
  <si>
    <t>Roteiro</t>
  </si>
  <si>
    <t>Rubelita</t>
  </si>
  <si>
    <t>Rubiácea</t>
  </si>
  <si>
    <t>Rubiataba</t>
  </si>
  <si>
    <t>Rubim</t>
  </si>
  <si>
    <t>Rubinéia</t>
  </si>
  <si>
    <t>Rurópolis</t>
  </si>
  <si>
    <t>Russas</t>
  </si>
  <si>
    <t>Ruy Barbosa</t>
  </si>
  <si>
    <t>Sabará</t>
  </si>
  <si>
    <t>Sabáudia</t>
  </si>
  <si>
    <t>Sabino</t>
  </si>
  <si>
    <t>Sabinópolis</t>
  </si>
  <si>
    <t>Saboeiro</t>
  </si>
  <si>
    <t>Sacramento</t>
  </si>
  <si>
    <t>Sagrada Família</t>
  </si>
  <si>
    <t>Sagres</t>
  </si>
  <si>
    <t>Sairé</t>
  </si>
  <si>
    <t>Saldanha Marinho</t>
  </si>
  <si>
    <t>Sales</t>
  </si>
  <si>
    <t>Sales Oliveira</t>
  </si>
  <si>
    <t>Salesópolis</t>
  </si>
  <si>
    <t>Salete</t>
  </si>
  <si>
    <t>Salgadinho</t>
  </si>
  <si>
    <t>Salgado</t>
  </si>
  <si>
    <t>Salgado de São Félix</t>
  </si>
  <si>
    <t>Salgado Filho</t>
  </si>
  <si>
    <t>Salgueiro</t>
  </si>
  <si>
    <t>Salinas</t>
  </si>
  <si>
    <t>Salinas da Margarida</t>
  </si>
  <si>
    <t>Salinópolis</t>
  </si>
  <si>
    <t>Salitre</t>
  </si>
  <si>
    <t>Salmourão</t>
  </si>
  <si>
    <t>Saloá</t>
  </si>
  <si>
    <t>Saltinho</t>
  </si>
  <si>
    <t>Salto</t>
  </si>
  <si>
    <t>Salto da Divisa</t>
  </si>
  <si>
    <t>Salto de Pirapora</t>
  </si>
  <si>
    <t>Salto do Céu</t>
  </si>
  <si>
    <t>Salto do Itararé</t>
  </si>
  <si>
    <t>Salto do Jacuí</t>
  </si>
  <si>
    <t>Salto do Lontra</t>
  </si>
  <si>
    <t>Salto Grande</t>
  </si>
  <si>
    <t>Salto Veloso</t>
  </si>
  <si>
    <t>Salvador</t>
  </si>
  <si>
    <t>Salvador Das Missões</t>
  </si>
  <si>
    <t>Salvador do Sul</t>
  </si>
  <si>
    <t>Salvaterra</t>
  </si>
  <si>
    <t>Sambaíba</t>
  </si>
  <si>
    <t>Sampaio</t>
  </si>
  <si>
    <t>Sananduva</t>
  </si>
  <si>
    <t>Sanclerlândia</t>
  </si>
  <si>
    <t>Sandolândia</t>
  </si>
  <si>
    <t>Sandovalina</t>
  </si>
  <si>
    <t>Sangão</t>
  </si>
  <si>
    <t>Sanharó</t>
  </si>
  <si>
    <t>Santa Adélia</t>
  </si>
  <si>
    <t>Santa Albertina</t>
  </si>
  <si>
    <t>Santa Amélia</t>
  </si>
  <si>
    <t>Santa Bárbara</t>
  </si>
  <si>
    <t>Santa Bárbara D´oeste</t>
  </si>
  <si>
    <t>Santa Bárbara de Goiás</t>
  </si>
  <si>
    <t>Santa Bárbara do Leste</t>
  </si>
  <si>
    <t>Santa Bárbara do Monte Verde</t>
  </si>
  <si>
    <t>Santa Bárbara do Pará</t>
  </si>
  <si>
    <t>Santa Bárbara do Sul</t>
  </si>
  <si>
    <t>Santa Bárbara do Tugúrio</t>
  </si>
  <si>
    <t>Santa Branca</t>
  </si>
  <si>
    <t>Santa Brígida</t>
  </si>
  <si>
    <t>Santa Carmem</t>
  </si>
  <si>
    <t>Santa Cecília</t>
  </si>
  <si>
    <t>Santa Cecília do Pavão</t>
  </si>
  <si>
    <t>Santa Cecília do Sul</t>
  </si>
  <si>
    <t>Santa Clara D´oeste</t>
  </si>
  <si>
    <t>Santa Clara do Sul</t>
  </si>
  <si>
    <t>Santa Cruz</t>
  </si>
  <si>
    <t>Santa Cruz Cabrália</t>
  </si>
  <si>
    <t>Santa Cruz da Baixa Verde</t>
  </si>
  <si>
    <t>Santa Cruz da Conceição</t>
  </si>
  <si>
    <t>Santa Cruz da Esperança</t>
  </si>
  <si>
    <t>Santa Cruz da Vitória</t>
  </si>
  <si>
    <t>Santa Cruz Das Palmeiras</t>
  </si>
  <si>
    <t>Santa Cruz de Goiás</t>
  </si>
  <si>
    <t>Santa Cruz de Minas</t>
  </si>
  <si>
    <t>Santa Cruz de Monte Castelo</t>
  </si>
  <si>
    <t>Santa Cruz de Salinas</t>
  </si>
  <si>
    <t>Santa Cruz do Arari</t>
  </si>
  <si>
    <t>Santa Cruz do Capibaribe</t>
  </si>
  <si>
    <t>Santa Cruz do Escalvado</t>
  </si>
  <si>
    <t>Santa Cruz do Piauí</t>
  </si>
  <si>
    <t>Santa Cruz do Rio Pardo</t>
  </si>
  <si>
    <t>Santa Cruz do Sul</t>
  </si>
  <si>
    <t>Santa Cruz do Xingu</t>
  </si>
  <si>
    <t>Santa Cruz Dos Milagres</t>
  </si>
  <si>
    <t>Santa Efigênia de Minas</t>
  </si>
  <si>
    <t>Santa Ernestina</t>
  </si>
  <si>
    <t>Santa fé</t>
  </si>
  <si>
    <t>Santa fé de Goiás</t>
  </si>
  <si>
    <t>Santa fé de Minas</t>
  </si>
  <si>
    <t>Santa fé do Araguaia</t>
  </si>
  <si>
    <t>Santa fé do Sul</t>
  </si>
  <si>
    <t>Santa Filomena</t>
  </si>
  <si>
    <t>Santa Filomena do Maranhão</t>
  </si>
  <si>
    <t>Santa Gertrudes</t>
  </si>
  <si>
    <t>Santa Helena</t>
  </si>
  <si>
    <t>Santa Helena de Goiás</t>
  </si>
  <si>
    <t>Santa Helena de Minas</t>
  </si>
  <si>
    <t>Santa Inês</t>
  </si>
  <si>
    <t>Santa Isabel</t>
  </si>
  <si>
    <t>Santa Isabel do Ivaí</t>
  </si>
  <si>
    <t>Santa Isabel do Pará</t>
  </si>
  <si>
    <t>Santa Isabel do Rio Negro</t>
  </si>
  <si>
    <t>Santa Izabel do Oeste</t>
  </si>
  <si>
    <t>Santa Juliana</t>
  </si>
  <si>
    <t>Santa Leopoldina</t>
  </si>
  <si>
    <t>Santa Lúcia</t>
  </si>
  <si>
    <t>Santa Luz</t>
  </si>
  <si>
    <t>Santa Luzia</t>
  </si>
  <si>
    <t>Santa Luzia D´oeste</t>
  </si>
  <si>
    <t>Santa Luzia do Itanhy</t>
  </si>
  <si>
    <t>Santa Luzia do Norte</t>
  </si>
  <si>
    <t>Santa Luzia do Pará</t>
  </si>
  <si>
    <t>Santa Luzia do Paruá</t>
  </si>
  <si>
    <t>Santa Margarida</t>
  </si>
  <si>
    <t>Santa Margarida do Sul</t>
  </si>
  <si>
    <t>Santa Maria</t>
  </si>
  <si>
    <t>Santa Maria da Boa Vista</t>
  </si>
  <si>
    <t>Santa Maria da Serra</t>
  </si>
  <si>
    <t>Santa Maria da Vitória</t>
  </si>
  <si>
    <t>Santa Maria Das Barreiras</t>
  </si>
  <si>
    <t>Santa Maria de Itabira</t>
  </si>
  <si>
    <t>Santa Maria de Jetibá</t>
  </si>
  <si>
    <t>Santa Maria do Cambucá</t>
  </si>
  <si>
    <t>Santa Maria do Herval</t>
  </si>
  <si>
    <t>Santa Maria do Oeste</t>
  </si>
  <si>
    <t>Santa Maria do Pará</t>
  </si>
  <si>
    <t>Santa Maria do Salto</t>
  </si>
  <si>
    <t>Santa Maria do Suaçuí</t>
  </si>
  <si>
    <t>Santa Maria do Tocantins</t>
  </si>
  <si>
    <t>Santa Maria Madalena</t>
  </si>
  <si>
    <t>Santa Mariana</t>
  </si>
  <si>
    <t>Santa Mercedes</t>
  </si>
  <si>
    <t>Santa Mônica</t>
  </si>
  <si>
    <t>Santa Quitéria</t>
  </si>
  <si>
    <t>Santa Quitéria do Maranhão</t>
  </si>
  <si>
    <t>Santa Rita</t>
  </si>
  <si>
    <t>Santa Rita D´oeste</t>
  </si>
  <si>
    <t>Santa Rita de Caldas</t>
  </si>
  <si>
    <t>Santa Rita de Cássia</t>
  </si>
  <si>
    <t>Santa Rita de Ibitipoca</t>
  </si>
  <si>
    <t>Santa Rita de Jacutinga</t>
  </si>
  <si>
    <t>Santa Rita de Minas</t>
  </si>
  <si>
    <t>Santa Rita do Araguaia</t>
  </si>
  <si>
    <t>Santa Rita do Itueto</t>
  </si>
  <si>
    <t>Santa Rita do Novo Destino</t>
  </si>
  <si>
    <t>Santa Rita do Pardo</t>
  </si>
  <si>
    <t>Santa Rita do Passa Quatro</t>
  </si>
  <si>
    <t>Santa Rita do Sapucaí</t>
  </si>
  <si>
    <t>Santa Rita do Tocantins</t>
  </si>
  <si>
    <t>Santa Rita do Trivelato</t>
  </si>
  <si>
    <t>Santa Rosa</t>
  </si>
  <si>
    <t>Santa Rosa da Serra</t>
  </si>
  <si>
    <t>Santa Rosa de Goiás</t>
  </si>
  <si>
    <t>Santa Rosa de Lima</t>
  </si>
  <si>
    <t>Santa Rosa de Viterbo</t>
  </si>
  <si>
    <t>Santa Rosa do Piauí</t>
  </si>
  <si>
    <t>Santa Rosa do Purus</t>
  </si>
  <si>
    <t>Santa Rosa do Sul</t>
  </si>
  <si>
    <t>Santa Rosa do Tocantins</t>
  </si>
  <si>
    <t>Santa Salete</t>
  </si>
  <si>
    <t>Santa Teresa</t>
  </si>
  <si>
    <t>Santa Teresinha</t>
  </si>
  <si>
    <t>Santa Tereza</t>
  </si>
  <si>
    <t>Santa Tereza de Goiás</t>
  </si>
  <si>
    <t>Santa Tereza do Oeste</t>
  </si>
  <si>
    <t>Santa Tereza do Tocantins</t>
  </si>
  <si>
    <t>Santa Terezinha</t>
  </si>
  <si>
    <t>Santa Terezinha de Goiás</t>
  </si>
  <si>
    <t>Santa Terezinha de Itaipu</t>
  </si>
  <si>
    <t>Santa Terezinha do Progresso</t>
  </si>
  <si>
    <t>Santa Terezinha do Tocantins</t>
  </si>
  <si>
    <t>Santa Vitória</t>
  </si>
  <si>
    <t>Santa Vitória do Palmar</t>
  </si>
  <si>
    <t>Santaluz</t>
  </si>
  <si>
    <t>Santana</t>
  </si>
  <si>
    <t>Santana da Boa Vista</t>
  </si>
  <si>
    <t>Santana da Ponte Pensa</t>
  </si>
  <si>
    <t>Santana da Vargem</t>
  </si>
  <si>
    <t>Santana de Cataguases</t>
  </si>
  <si>
    <t>Santana de Mangueira</t>
  </si>
  <si>
    <t>Santana de Parnaíba</t>
  </si>
  <si>
    <t>Santana de Pirapama</t>
  </si>
  <si>
    <t>Santana do Acaraú</t>
  </si>
  <si>
    <t>Santana do Araguaia</t>
  </si>
  <si>
    <t>Santana do Cariri</t>
  </si>
  <si>
    <t>Santana do Deserto</t>
  </si>
  <si>
    <t>Santana do Garambéu</t>
  </si>
  <si>
    <t>Santana do Ipanema</t>
  </si>
  <si>
    <t>Santana do Itararé</t>
  </si>
  <si>
    <t>Santana do Jacaré</t>
  </si>
  <si>
    <t>Santana do Livramento</t>
  </si>
  <si>
    <t>Santana do Manhuaçu</t>
  </si>
  <si>
    <t>Santana do Maranhão</t>
  </si>
  <si>
    <t>Santana do Matos</t>
  </si>
  <si>
    <t>Santana do Mundaú</t>
  </si>
  <si>
    <t>Santana do Paraíso</t>
  </si>
  <si>
    <t>Santana do Piauí</t>
  </si>
  <si>
    <t>Santana do Riacho</t>
  </si>
  <si>
    <t>Santana do São Francisco</t>
  </si>
  <si>
    <t>Santana do Seridó</t>
  </si>
  <si>
    <t>Santana Dos Garrotes</t>
  </si>
  <si>
    <t>Santana Dos Montes</t>
  </si>
  <si>
    <t>Santanópolis</t>
  </si>
  <si>
    <t>Santarém</t>
  </si>
  <si>
    <t>Santarém Novo</t>
  </si>
  <si>
    <t>Santiago</t>
  </si>
  <si>
    <t>Santiago do Sul</t>
  </si>
  <si>
    <t>Santo Afonso</t>
  </si>
  <si>
    <t>Santo Amaro</t>
  </si>
  <si>
    <t>Santo Amaro da Imperatriz</t>
  </si>
  <si>
    <t>Santo Amaro Das Brotas</t>
  </si>
  <si>
    <t>Santo Amaro do Maranhão</t>
  </si>
  <si>
    <t>Santo Anastácio</t>
  </si>
  <si>
    <t>Santo André</t>
  </si>
  <si>
    <t>Santo Ângelo</t>
  </si>
  <si>
    <t>Santo Antônio</t>
  </si>
  <si>
    <t>Santo Antônio da Alegria</t>
  </si>
  <si>
    <t>Santo Antônio da Barra</t>
  </si>
  <si>
    <t>Santo Antônio da Patrulha</t>
  </si>
  <si>
    <t>Santo Antônio da Platina</t>
  </si>
  <si>
    <t>Santo Antônio Das Missões</t>
  </si>
  <si>
    <t>Santo Antônio de Goiás</t>
  </si>
  <si>
    <t>Santo Antônio de Jesus</t>
  </si>
  <si>
    <t>Santo Antônio de Lisboa</t>
  </si>
  <si>
    <t>Santo Antônio de Pádua</t>
  </si>
  <si>
    <t>Santo Antônio de Posse</t>
  </si>
  <si>
    <t>Santo Antônio do Amparo</t>
  </si>
  <si>
    <t>Santo Antônio do Aracanguá</t>
  </si>
  <si>
    <t>Santo Antônio do Aventureiro</t>
  </si>
  <si>
    <t>Santo Antônio do Caiuá</t>
  </si>
  <si>
    <t>Santo Antônio do Descoberto</t>
  </si>
  <si>
    <t>Santo Antônio do Grama</t>
  </si>
  <si>
    <t>Santo Antônio do Içá</t>
  </si>
  <si>
    <t>Santo Antônio do Itambé</t>
  </si>
  <si>
    <t>Santo Antônio do Jacinto</t>
  </si>
  <si>
    <t>Santo Antônio do Jardim</t>
  </si>
  <si>
    <t>Santo Antônio do Leste</t>
  </si>
  <si>
    <t>Santo Antônio do Leverger</t>
  </si>
  <si>
    <t>Santo Antônio do Monte</t>
  </si>
  <si>
    <t>Santo Antônio do Palma</t>
  </si>
  <si>
    <t>Santo Antônio do Paraíso</t>
  </si>
  <si>
    <t>Santo Antônio do Pinhal</t>
  </si>
  <si>
    <t>Santo Antônio do Planalto</t>
  </si>
  <si>
    <t>Santo Antônio do Retiro</t>
  </si>
  <si>
    <t>Santo Antônio do Rio Abaixo</t>
  </si>
  <si>
    <t>Santo Antônio do Sudoeste</t>
  </si>
  <si>
    <t>Santo Antônio do Tauá</t>
  </si>
  <si>
    <t>Santo Antônio Dos Lopes</t>
  </si>
  <si>
    <t>Santo Antônio Dos Milagres</t>
  </si>
  <si>
    <t>Santo Augusto</t>
  </si>
  <si>
    <t>Santo Cristo</t>
  </si>
  <si>
    <t>Santo Estêvão</t>
  </si>
  <si>
    <t>Santo Expedito</t>
  </si>
  <si>
    <t>Santo Expedito do Sul</t>
  </si>
  <si>
    <t>Santo Hipólito</t>
  </si>
  <si>
    <t>Santo Inácio</t>
  </si>
  <si>
    <t>Santo Inácio do Piauí</t>
  </si>
  <si>
    <t>Santópolis do Aguapeí</t>
  </si>
  <si>
    <t>Santos</t>
  </si>
  <si>
    <t>Santos Dumont</t>
  </si>
  <si>
    <t>São Benedito</t>
  </si>
  <si>
    <t>São Benedito do Rio Preto</t>
  </si>
  <si>
    <t>São Benedito do Sul</t>
  </si>
  <si>
    <t>São Bentinho</t>
  </si>
  <si>
    <t>São Bento</t>
  </si>
  <si>
    <t>São Bento Abade</t>
  </si>
  <si>
    <t>São Bento do Norte</t>
  </si>
  <si>
    <t>São Bento do Sapucaí</t>
  </si>
  <si>
    <t>São Bento do Sul</t>
  </si>
  <si>
    <t>São Bento do Tocantins</t>
  </si>
  <si>
    <t>São Bento do Trairí</t>
  </si>
  <si>
    <t>São Bento do Una</t>
  </si>
  <si>
    <t>São Bernardino</t>
  </si>
  <si>
    <t>São Bernardo</t>
  </si>
  <si>
    <t>São Bernardo do Campo</t>
  </si>
  <si>
    <t>São Bonifácio</t>
  </si>
  <si>
    <t>São Borja</t>
  </si>
  <si>
    <t>São Brás</t>
  </si>
  <si>
    <t>São Brás do Suaçuí</t>
  </si>
  <si>
    <t>São Braz do Piauí</t>
  </si>
  <si>
    <t>São Caetano de Odivelas</t>
  </si>
  <si>
    <t>São Caetano do Sul</t>
  </si>
  <si>
    <t>São Caitano</t>
  </si>
  <si>
    <t>São Carlos</t>
  </si>
  <si>
    <t>São Carlos do Ivaí</t>
  </si>
  <si>
    <t>São Cristóvão</t>
  </si>
  <si>
    <t>São Cristovão do Sul</t>
  </si>
  <si>
    <t>São Desidério</t>
  </si>
  <si>
    <t>São Domingos</t>
  </si>
  <si>
    <t>São Domingos Das Dores</t>
  </si>
  <si>
    <t>São Domingos de Pombal</t>
  </si>
  <si>
    <t>São Domingos do Araguaia</t>
  </si>
  <si>
    <t>São Domingos do Azeitão</t>
  </si>
  <si>
    <t>São Domingos do Capim</t>
  </si>
  <si>
    <t>São Domingos do Cariri</t>
  </si>
  <si>
    <t>São Domingos do Maranhão</t>
  </si>
  <si>
    <t>São Domingos do Norte</t>
  </si>
  <si>
    <t>São Domingos do Prata</t>
  </si>
  <si>
    <t>São Domingos do Sul</t>
  </si>
  <si>
    <t>São Felipe</t>
  </si>
  <si>
    <t>São Felipe D´oeste</t>
  </si>
  <si>
    <t>São Félix</t>
  </si>
  <si>
    <t>São Félix de Balsas</t>
  </si>
  <si>
    <t>São Félix de Minas</t>
  </si>
  <si>
    <t>São Félix do Araguaia</t>
  </si>
  <si>
    <t>São Félix do Coribe</t>
  </si>
  <si>
    <t>São Félix do Piauí</t>
  </si>
  <si>
    <t>São Félix do Tocantins</t>
  </si>
  <si>
    <t>São Félix do Xingu</t>
  </si>
  <si>
    <t>São Fernando</t>
  </si>
  <si>
    <t>São Fidélis</t>
  </si>
  <si>
    <t>São Francisco</t>
  </si>
  <si>
    <t>São Francisco de Assis</t>
  </si>
  <si>
    <t>São Francisco de Assis do Piauí</t>
  </si>
  <si>
    <t>São Francisco de Goiás</t>
  </si>
  <si>
    <t>São Francisco de Itabapoana</t>
  </si>
  <si>
    <t>São Francisco de Paula</t>
  </si>
  <si>
    <t>São Francisco de Sales</t>
  </si>
  <si>
    <t>São Francisco do Brejão</t>
  </si>
  <si>
    <t>São Francisco do Conde</t>
  </si>
  <si>
    <t>São Francisco do Glória</t>
  </si>
  <si>
    <t>São Francisco do Guaporé</t>
  </si>
  <si>
    <t>São Francisco do Maranhão</t>
  </si>
  <si>
    <t>São Francisco do Oeste</t>
  </si>
  <si>
    <t>São Francisco do Pará</t>
  </si>
  <si>
    <t>São Francisco do Piauí</t>
  </si>
  <si>
    <t>São Francisco do Sul</t>
  </si>
  <si>
    <t>São Gabriel</t>
  </si>
  <si>
    <t>São Gabriel da Cachoeira</t>
  </si>
  <si>
    <t>São Gabriel da Palha</t>
  </si>
  <si>
    <t>São Gabriel do Oeste</t>
  </si>
  <si>
    <t>São Geraldo</t>
  </si>
  <si>
    <t>São Geraldo da Piedade</t>
  </si>
  <si>
    <t>São Geraldo do Araguaia</t>
  </si>
  <si>
    <t>São Geraldo do Baixio</t>
  </si>
  <si>
    <t>São Gonçalo</t>
  </si>
  <si>
    <t>São Gonçalo do Abaeté</t>
  </si>
  <si>
    <t>São Gonçalo do Amarante</t>
  </si>
  <si>
    <t>São Gonçalo do Gurguéia</t>
  </si>
  <si>
    <t>São Gonçalo do Pará</t>
  </si>
  <si>
    <t>São Gonçalo do Piauí</t>
  </si>
  <si>
    <t>São Gonçalo do Rio Abaixo</t>
  </si>
  <si>
    <t>São Gonçalo do Rio Preto</t>
  </si>
  <si>
    <t>São Gonçalo do Sapucaí</t>
  </si>
  <si>
    <t>São Gonçalo Dos Campos</t>
  </si>
  <si>
    <t>São Gotardo</t>
  </si>
  <si>
    <t>São Jerônimo</t>
  </si>
  <si>
    <t>São Jerônimo da Serra</t>
  </si>
  <si>
    <t>São João</t>
  </si>
  <si>
    <t>São João Batista</t>
  </si>
  <si>
    <t>São João Batista do Glória</t>
  </si>
  <si>
    <t>São João D´aliança</t>
  </si>
  <si>
    <t>São João da Baliza</t>
  </si>
  <si>
    <t>São João da Barra</t>
  </si>
  <si>
    <t>São João da Boa Vista</t>
  </si>
  <si>
    <t>São João da Canabrava</t>
  </si>
  <si>
    <t>São João da Fronteira</t>
  </si>
  <si>
    <t>São João da Lagoa</t>
  </si>
  <si>
    <t>São João da Mata</t>
  </si>
  <si>
    <t>São João da Paraúna</t>
  </si>
  <si>
    <t>São João da Ponta</t>
  </si>
  <si>
    <t>São João da Ponte</t>
  </si>
  <si>
    <t>São João da Serra</t>
  </si>
  <si>
    <t>São João da Urtiga</t>
  </si>
  <si>
    <t>São João da Varjota</t>
  </si>
  <si>
    <t>São João Das Duas Pontes</t>
  </si>
  <si>
    <t>São João Das Missões</t>
  </si>
  <si>
    <t>São João de Iracema</t>
  </si>
  <si>
    <t>São João de Meriti</t>
  </si>
  <si>
    <t>São João de Pirabas</t>
  </si>
  <si>
    <t>São João Del Rei</t>
  </si>
  <si>
    <t>São João do Araguaia</t>
  </si>
  <si>
    <t>São João do Arraial</t>
  </si>
  <si>
    <t>São João do Caiuá</t>
  </si>
  <si>
    <t>São João do Cariri</t>
  </si>
  <si>
    <t>São João do Carú</t>
  </si>
  <si>
    <t>São João do Itaperiú</t>
  </si>
  <si>
    <t>São João do Ivaí</t>
  </si>
  <si>
    <t>São João do Jaguaribe</t>
  </si>
  <si>
    <t>São João do Manhuaçu</t>
  </si>
  <si>
    <t>São João do Manteninha</t>
  </si>
  <si>
    <t>São João do Oeste</t>
  </si>
  <si>
    <t>São João do Oriente</t>
  </si>
  <si>
    <t>São João do Pacuí</t>
  </si>
  <si>
    <t>São João do Paraíso</t>
  </si>
  <si>
    <t>São João do Pau D´alho</t>
  </si>
  <si>
    <t>São João do Piauí</t>
  </si>
  <si>
    <t>São João do Polêsine</t>
  </si>
  <si>
    <t>São João do Rio do Peixe</t>
  </si>
  <si>
    <t>São João do Sabugi</t>
  </si>
  <si>
    <t>São João do Soter</t>
  </si>
  <si>
    <t>São João do Sul</t>
  </si>
  <si>
    <t>São João do Tigre</t>
  </si>
  <si>
    <t>São João do Triunfo</t>
  </si>
  <si>
    <t>São João Dos Patos</t>
  </si>
  <si>
    <t>São João Evangelista</t>
  </si>
  <si>
    <t>São João Nepomuceno</t>
  </si>
  <si>
    <t>São Joaquim</t>
  </si>
  <si>
    <t>São Joaquim da Barra</t>
  </si>
  <si>
    <t>São Joaquim de Bicas</t>
  </si>
  <si>
    <t>São Joaquim do Monte</t>
  </si>
  <si>
    <t>São Jorge</t>
  </si>
  <si>
    <t>São Jorge D´oeste</t>
  </si>
  <si>
    <t>São Jorge do Ivaí</t>
  </si>
  <si>
    <t>São Jorge do Patrocínio</t>
  </si>
  <si>
    <t>São José</t>
  </si>
  <si>
    <t>São José da Barra</t>
  </si>
  <si>
    <t>São José da Bela Vista</t>
  </si>
  <si>
    <t>São José da Boa Vista</t>
  </si>
  <si>
    <t>São José da Coroa Grande</t>
  </si>
  <si>
    <t>São José da Lagoa Tapada</t>
  </si>
  <si>
    <t>São José da Laje</t>
  </si>
  <si>
    <t>São José da Lapa</t>
  </si>
  <si>
    <t>São José da Safira</t>
  </si>
  <si>
    <t>São José da Tapera</t>
  </si>
  <si>
    <t>São José da Varginha</t>
  </si>
  <si>
    <t>São José da Vitória</t>
  </si>
  <si>
    <t>São José Das Missões</t>
  </si>
  <si>
    <t>São José Das Palmeiras</t>
  </si>
  <si>
    <t>São José de Caiana</t>
  </si>
  <si>
    <t>São José de Espinharas</t>
  </si>
  <si>
    <t>São José de Mipibu</t>
  </si>
  <si>
    <t>São José de Piranhas</t>
  </si>
  <si>
    <t>São José de Princesa</t>
  </si>
  <si>
    <t>São José de Ribamar</t>
  </si>
  <si>
    <t>São José de Ubá</t>
  </si>
  <si>
    <t>São José do Alegre</t>
  </si>
  <si>
    <t>São José do Barreiro</t>
  </si>
  <si>
    <t>São José do Belmonte</t>
  </si>
  <si>
    <t>São José do Bonfim</t>
  </si>
  <si>
    <t>São José do Brejo do Cruz</t>
  </si>
  <si>
    <t>São José do Calçado</t>
  </si>
  <si>
    <t>São José do Campestre</t>
  </si>
  <si>
    <t>São José do Cedro</t>
  </si>
  <si>
    <t>São José do Cerrito</t>
  </si>
  <si>
    <t>São José do Divino</t>
  </si>
  <si>
    <t>São José do Egito</t>
  </si>
  <si>
    <t>São José do Goiabal</t>
  </si>
  <si>
    <t>São José do Herval</t>
  </si>
  <si>
    <t>São José do Hortêncio</t>
  </si>
  <si>
    <t>São José do Inhacorá</t>
  </si>
  <si>
    <t>São José do Jacuípe</t>
  </si>
  <si>
    <t>São José do Jacuri</t>
  </si>
  <si>
    <t>São José do Mantimento</t>
  </si>
  <si>
    <t>São José do Norte</t>
  </si>
  <si>
    <t>São José do Ouro</t>
  </si>
  <si>
    <t>São José do Peixe</t>
  </si>
  <si>
    <t>São José do Piauí</t>
  </si>
  <si>
    <t>São José do Povo</t>
  </si>
  <si>
    <t>São José do Rio Claro</t>
  </si>
  <si>
    <t>São José do Rio Pardo</t>
  </si>
  <si>
    <t>São José do Rio Preto</t>
  </si>
  <si>
    <t>São José do Sabugi</t>
  </si>
  <si>
    <t>São José do Seridó</t>
  </si>
  <si>
    <t>São José do Sul</t>
  </si>
  <si>
    <t>São José do Vale do Rio Preto</t>
  </si>
  <si>
    <t>São José do Xingu</t>
  </si>
  <si>
    <t>São José Dos Ausentes</t>
  </si>
  <si>
    <t>São José Dos Basílios</t>
  </si>
  <si>
    <t>São José Dos Campos</t>
  </si>
  <si>
    <t>São José Dos Cordeiros</t>
  </si>
  <si>
    <t>São José Dos Pinhais</t>
  </si>
  <si>
    <t>São José Dos Quatro Marcos</t>
  </si>
  <si>
    <t>São José Dos Ramos</t>
  </si>
  <si>
    <t>São Julião</t>
  </si>
  <si>
    <t>São Leopoldo</t>
  </si>
  <si>
    <t>São Lourenço</t>
  </si>
  <si>
    <t>São Lourenço da Mata</t>
  </si>
  <si>
    <t>São Lourenço da Serra</t>
  </si>
  <si>
    <t>São Lourenço do Oeste</t>
  </si>
  <si>
    <t>São Lourenço do Piauí</t>
  </si>
  <si>
    <t>São Lourenço do Sul</t>
  </si>
  <si>
    <t>São Ludgero</t>
  </si>
  <si>
    <t>São Luís</t>
  </si>
  <si>
    <t>São Luís de Montes Belos</t>
  </si>
  <si>
    <t>São Luís do Curu</t>
  </si>
  <si>
    <t>São Luís do Paraitinga</t>
  </si>
  <si>
    <t>São Luis do Piauí</t>
  </si>
  <si>
    <t>São Luís do Quitunde</t>
  </si>
  <si>
    <t>São Luís Gonzaga do Maranhão</t>
  </si>
  <si>
    <t>São Luiz</t>
  </si>
  <si>
    <t>São Luíz do Norte</t>
  </si>
  <si>
    <t>São Luiz Gonzaga</t>
  </si>
  <si>
    <t>São Mamede</t>
  </si>
  <si>
    <t>São Manoel do Paraná</t>
  </si>
  <si>
    <t>São Manuel</t>
  </si>
  <si>
    <t>São Marcos</t>
  </si>
  <si>
    <t>São Martinho</t>
  </si>
  <si>
    <t>São Martinho da Serra</t>
  </si>
  <si>
    <t>São Mateus</t>
  </si>
  <si>
    <t>São Mateus do Maranhão</t>
  </si>
  <si>
    <t>São Mateus do Sul</t>
  </si>
  <si>
    <t>São Miguel</t>
  </si>
  <si>
    <t>São Miguel Arcanjo</t>
  </si>
  <si>
    <t>São Miguel da Baixa Grande</t>
  </si>
  <si>
    <t>São Miguel da Boa Vista</t>
  </si>
  <si>
    <t>São Miguel Das Matas</t>
  </si>
  <si>
    <t>São Miguel Das Missões</t>
  </si>
  <si>
    <t>São Miguel de Taipu</t>
  </si>
  <si>
    <t>São Miguel do Aleixo</t>
  </si>
  <si>
    <t>São Miguel do Anta</t>
  </si>
  <si>
    <t>São Miguel do Araguaia</t>
  </si>
  <si>
    <t>São Miguel do Fidalgo</t>
  </si>
  <si>
    <t>São Miguel do Gostoso</t>
  </si>
  <si>
    <t>São Miguel do Guamá</t>
  </si>
  <si>
    <t>São Miguel do Guaporé</t>
  </si>
  <si>
    <t>São Miguel do Iguaçu</t>
  </si>
  <si>
    <t>São Miguel do Oeste</t>
  </si>
  <si>
    <t>São Miguel do Passa Quatro</t>
  </si>
  <si>
    <t>São Miguel do Tapuio</t>
  </si>
  <si>
    <t>São Miguel do Tocantins</t>
  </si>
  <si>
    <t>São Miguel Dos Campos</t>
  </si>
  <si>
    <t>São Miguel Dos Milagres</t>
  </si>
  <si>
    <t>São Nicolau</t>
  </si>
  <si>
    <t>São Patrício</t>
  </si>
  <si>
    <t>São Paulo</t>
  </si>
  <si>
    <t>São Paulo Das Missões</t>
  </si>
  <si>
    <t>São Paulo de Olivença</t>
  </si>
  <si>
    <t>São Paulo do Potengi</t>
  </si>
  <si>
    <t>São Pedro</t>
  </si>
  <si>
    <t>São Pedro da Água Branca</t>
  </si>
  <si>
    <t>São Pedro da Aldeia</t>
  </si>
  <si>
    <t>São Pedro da Cipa</t>
  </si>
  <si>
    <t>São Pedro da Serra</t>
  </si>
  <si>
    <t>São Pedro da União</t>
  </si>
  <si>
    <t>São Pedro Das Missões</t>
  </si>
  <si>
    <t>São Pedro de Alcântara</t>
  </si>
  <si>
    <t>São Pedro do Butiá</t>
  </si>
  <si>
    <t>São Pedro do Iguaçu</t>
  </si>
  <si>
    <t>São Pedro do Ivaí</t>
  </si>
  <si>
    <t>São Pedro do Paraná</t>
  </si>
  <si>
    <t>São Pedro do Piauí</t>
  </si>
  <si>
    <t>São Pedro do Suaçuí</t>
  </si>
  <si>
    <t>São Pedro do Sul</t>
  </si>
  <si>
    <t>São Pedro do Turvo</t>
  </si>
  <si>
    <t>São Pedro Dos Crentes</t>
  </si>
  <si>
    <t>São Pedro Dos Ferros</t>
  </si>
  <si>
    <t>São Rafael</t>
  </si>
  <si>
    <t>São Raimundo Das Mangabeiras</t>
  </si>
  <si>
    <t>São Raimundo do Doca Bezerra</t>
  </si>
  <si>
    <t>São Raimundo Nonato</t>
  </si>
  <si>
    <t>São Roberto</t>
  </si>
  <si>
    <t>São Romão</t>
  </si>
  <si>
    <t>São Roque</t>
  </si>
  <si>
    <t>São Roque de Minas</t>
  </si>
  <si>
    <t>São Roque do Canaã</t>
  </si>
  <si>
    <t>São Salvador do Tocantins</t>
  </si>
  <si>
    <t>São Sebastião</t>
  </si>
  <si>
    <t>São Sebastião da Amoreira</t>
  </si>
  <si>
    <t>São Sebastião da Bela Vista</t>
  </si>
  <si>
    <t>São Sebastião da Boa Vista</t>
  </si>
  <si>
    <t>São Sebastião da Grama</t>
  </si>
  <si>
    <t>São Sebastião da Vargem Alegre</t>
  </si>
  <si>
    <t>São Sebastião de Lagoa de Roça</t>
  </si>
  <si>
    <t>São Sebastião do Alto</t>
  </si>
  <si>
    <t>São Sebastião do Anta</t>
  </si>
  <si>
    <t>São Sebastião do Caí</t>
  </si>
  <si>
    <t>São Sebastião do Maranhão</t>
  </si>
  <si>
    <t>São Sebastião do Oeste</t>
  </si>
  <si>
    <t>São Sebastião do Paraíso</t>
  </si>
  <si>
    <t>São Sebastião do Passé</t>
  </si>
  <si>
    <t>São Sebastião do Rio Preto</t>
  </si>
  <si>
    <t>São Sebastião do Rio Verde</t>
  </si>
  <si>
    <t>São Sebastião do Tocantins</t>
  </si>
  <si>
    <t>São Sebastião do Uatumã</t>
  </si>
  <si>
    <t>São Sebastião do Umbuzeiro</t>
  </si>
  <si>
    <t>São Sepé</t>
  </si>
  <si>
    <t>São Simão</t>
  </si>
  <si>
    <t>São Thomé Das Letras</t>
  </si>
  <si>
    <t>São Tiago</t>
  </si>
  <si>
    <t>São Tomás de Aquino</t>
  </si>
  <si>
    <t>São Tomé</t>
  </si>
  <si>
    <t>São Valentim</t>
  </si>
  <si>
    <t>São Valentim do Sul</t>
  </si>
  <si>
    <t>São Valério da Natividade</t>
  </si>
  <si>
    <t>São Valério do Sul</t>
  </si>
  <si>
    <t>São Vendelino</t>
  </si>
  <si>
    <t>São Vicente</t>
  </si>
  <si>
    <t>São Vicente de Minas</t>
  </si>
  <si>
    <t>São Vicente do Sul</t>
  </si>
  <si>
    <t>São Vicente Ferrer</t>
  </si>
  <si>
    <t>Sapé</t>
  </si>
  <si>
    <t>Sapeaçu</t>
  </si>
  <si>
    <t>Sapezal</t>
  </si>
  <si>
    <t>Sapiranga</t>
  </si>
  <si>
    <t>Sapopema</t>
  </si>
  <si>
    <t>Sapucaia</t>
  </si>
  <si>
    <t>Sapucaia do Sul</t>
  </si>
  <si>
    <t>Sapucaí-mirim</t>
  </si>
  <si>
    <t>Saquarema</t>
  </si>
  <si>
    <t>Sarandi</t>
  </si>
  <si>
    <t>Sarapuí</t>
  </si>
  <si>
    <t>Sardoá</t>
  </si>
  <si>
    <t>Sarutaiá</t>
  </si>
  <si>
    <t>Sarzedo</t>
  </si>
  <si>
    <t>Sátiro Dias</t>
  </si>
  <si>
    <t>Satuba</t>
  </si>
  <si>
    <t>Satubinha</t>
  </si>
  <si>
    <t>Saubara</t>
  </si>
  <si>
    <t>Saudade do Iguaçu</t>
  </si>
  <si>
    <t>Saudades</t>
  </si>
  <si>
    <t>Saúde</t>
  </si>
  <si>
    <t>Schroeder</t>
  </si>
  <si>
    <t>Seabra</t>
  </si>
  <si>
    <t>Seara</t>
  </si>
  <si>
    <t>Sebastianópolis do Sul</t>
  </si>
  <si>
    <t>Sebastião Barros</t>
  </si>
  <si>
    <t>Sebastião Laranjeiras</t>
  </si>
  <si>
    <t>Sebastião Leal</t>
  </si>
  <si>
    <t>Seberi</t>
  </si>
  <si>
    <t>Sede Nova</t>
  </si>
  <si>
    <t>Segredo</t>
  </si>
  <si>
    <t>Selbach</t>
  </si>
  <si>
    <t>Selvíria</t>
  </si>
  <si>
    <t>Sem-peixe</t>
  </si>
  <si>
    <t>Sena Madureira</t>
  </si>
  <si>
    <t>Senador Alexandre Costa</t>
  </si>
  <si>
    <t>Senador Amaral</t>
  </si>
  <si>
    <t>Senador Canedo</t>
  </si>
  <si>
    <t>Senador Cortes</t>
  </si>
  <si>
    <t>Senador Elói de Souza</t>
  </si>
  <si>
    <t>Senador Firmino</t>
  </si>
  <si>
    <t>Senador Georgino Avelino</t>
  </si>
  <si>
    <t>Senador Guiomard</t>
  </si>
  <si>
    <t>Senador José Bento</t>
  </si>
  <si>
    <t>Senador José Porfírio</t>
  </si>
  <si>
    <t>Senador la Rocque</t>
  </si>
  <si>
    <t>Senador Modestino Gonçalves</t>
  </si>
  <si>
    <t>Senador Pompeu</t>
  </si>
  <si>
    <t>Senador Rui Palmeira</t>
  </si>
  <si>
    <t>Senador sá</t>
  </si>
  <si>
    <t>Senador Salgado Filho</t>
  </si>
  <si>
    <t>Sengés</t>
  </si>
  <si>
    <t>Senhor do Bonfim</t>
  </si>
  <si>
    <t>Senhora de Oliveira</t>
  </si>
  <si>
    <t>Senhora do Porto</t>
  </si>
  <si>
    <t>Senhora Dos Remédios</t>
  </si>
  <si>
    <t>Sentinela do Sul</t>
  </si>
  <si>
    <t>Sento sé</t>
  </si>
  <si>
    <t>Serafina Corrêa</t>
  </si>
  <si>
    <t>Sericita</t>
  </si>
  <si>
    <t>Seridó</t>
  </si>
  <si>
    <t>Seringueiras</t>
  </si>
  <si>
    <t>Sério</t>
  </si>
  <si>
    <t>Seritinga</t>
  </si>
  <si>
    <t>Seropédica</t>
  </si>
  <si>
    <t>Serra</t>
  </si>
  <si>
    <t>Serra Alta</t>
  </si>
  <si>
    <t>Serra Azul</t>
  </si>
  <si>
    <t>Serra Azul de Minas</t>
  </si>
  <si>
    <t>Serra Branca</t>
  </si>
  <si>
    <t>Serra da Raiz</t>
  </si>
  <si>
    <t>Serra da Saudade</t>
  </si>
  <si>
    <t>Serra de São Bento</t>
  </si>
  <si>
    <t>Serra do Mel</t>
  </si>
  <si>
    <t>Serra do Navio</t>
  </si>
  <si>
    <t>Serra do Ramalho</t>
  </si>
  <si>
    <t>Serra do Salitre</t>
  </si>
  <si>
    <t>Serra Dos Aimorés</t>
  </si>
  <si>
    <t>Serra Dourada</t>
  </si>
  <si>
    <t>Serra Grande</t>
  </si>
  <si>
    <t>Serra Negra</t>
  </si>
  <si>
    <t>Serra Negra do Norte</t>
  </si>
  <si>
    <t>Serra Nova Dourada</t>
  </si>
  <si>
    <t>Serra Preta</t>
  </si>
  <si>
    <t>Serra Redonda</t>
  </si>
  <si>
    <t>Serra Talhada</t>
  </si>
  <si>
    <t>Serrana</t>
  </si>
  <si>
    <t>Serrania</t>
  </si>
  <si>
    <t>Serrano do Maranhão</t>
  </si>
  <si>
    <t>Serranópolis</t>
  </si>
  <si>
    <t>Serranópolis de Minas</t>
  </si>
  <si>
    <t>Serranópolis do Iguaçu</t>
  </si>
  <si>
    <t>Serranos</t>
  </si>
  <si>
    <t>Serraria</t>
  </si>
  <si>
    <t>Serrinha</t>
  </si>
  <si>
    <t>Serrinha Dos Pintos</t>
  </si>
  <si>
    <t>Serrita</t>
  </si>
  <si>
    <t>Serro</t>
  </si>
  <si>
    <t>Serrolândia</t>
  </si>
  <si>
    <t>Sertaneja</t>
  </si>
  <si>
    <t>Sertânia</t>
  </si>
  <si>
    <t>Sertanópolis</t>
  </si>
  <si>
    <t>Sertão</t>
  </si>
  <si>
    <t>Sertão Santana</t>
  </si>
  <si>
    <t>Sertãozinho</t>
  </si>
  <si>
    <t>Sete Barras</t>
  </si>
  <si>
    <t>Sete de Setembro</t>
  </si>
  <si>
    <t>Sete Lagoas</t>
  </si>
  <si>
    <t>Sete Quedas</t>
  </si>
  <si>
    <t>Setubinha</t>
  </si>
  <si>
    <t>Severiano de Almeida</t>
  </si>
  <si>
    <t>Severiano Melo</t>
  </si>
  <si>
    <t>Severínia</t>
  </si>
  <si>
    <t>Siderópolis</t>
  </si>
  <si>
    <t>Sidrolândia</t>
  </si>
  <si>
    <t>Sigefredo Pacheco</t>
  </si>
  <si>
    <t>Silva Jardim</t>
  </si>
  <si>
    <t>Silvânia</t>
  </si>
  <si>
    <t>Silvanópolis</t>
  </si>
  <si>
    <t>Silveira Martins</t>
  </si>
  <si>
    <t>Silveirânia</t>
  </si>
  <si>
    <t>Silveiras</t>
  </si>
  <si>
    <t>Silves</t>
  </si>
  <si>
    <t>Silvianópolis</t>
  </si>
  <si>
    <t>Simão Dias</t>
  </si>
  <si>
    <t>Simão Pereira</t>
  </si>
  <si>
    <t>Simões</t>
  </si>
  <si>
    <t>Simões Filho</t>
  </si>
  <si>
    <t>Simolândia</t>
  </si>
  <si>
    <t>Simonésia</t>
  </si>
  <si>
    <t>Simplício Mendes</t>
  </si>
  <si>
    <t>Sinimbu</t>
  </si>
  <si>
    <t>Sinop</t>
  </si>
  <si>
    <t>Siqueira Campos</t>
  </si>
  <si>
    <t>Sirinhaém</t>
  </si>
  <si>
    <t>Siriri</t>
  </si>
  <si>
    <t>Sítio D´abadia</t>
  </si>
  <si>
    <t>Sítio do Mato</t>
  </si>
  <si>
    <t>Sítio do Quinto</t>
  </si>
  <si>
    <t>Sítio Novo</t>
  </si>
  <si>
    <t>Sítio Novo do Tocantins</t>
  </si>
  <si>
    <t>Sobradinho</t>
  </si>
  <si>
    <t>Sobrado</t>
  </si>
  <si>
    <t>Sobral</t>
  </si>
  <si>
    <t>Sobrália</t>
  </si>
  <si>
    <t>Socorro</t>
  </si>
  <si>
    <t>Socorro do Piauí</t>
  </si>
  <si>
    <t>Solânea</t>
  </si>
  <si>
    <t>Soledade</t>
  </si>
  <si>
    <t>Soledade de Minas</t>
  </si>
  <si>
    <t>Solidão</t>
  </si>
  <si>
    <t>Solonópole</t>
  </si>
  <si>
    <t>Sombrio</t>
  </si>
  <si>
    <t>Sonora</t>
  </si>
  <si>
    <t>Sooretama</t>
  </si>
  <si>
    <t>Sorocaba</t>
  </si>
  <si>
    <t>Sorriso</t>
  </si>
  <si>
    <t>Sossêgo</t>
  </si>
  <si>
    <t>Soure</t>
  </si>
  <si>
    <t>Sousa</t>
  </si>
  <si>
    <t>Souto Soares</t>
  </si>
  <si>
    <t>Sucupira</t>
  </si>
  <si>
    <t>Sucupira do Norte</t>
  </si>
  <si>
    <t>Sucupira do Riachão</t>
  </si>
  <si>
    <t>Sud Mennucci</t>
  </si>
  <si>
    <t>Sul Brasil</t>
  </si>
  <si>
    <t>Sulina</t>
  </si>
  <si>
    <t>Sumaré</t>
  </si>
  <si>
    <t>Sumé</t>
  </si>
  <si>
    <t>Sumidouro</t>
  </si>
  <si>
    <t>Surubim</t>
  </si>
  <si>
    <t>Sussuapara</t>
  </si>
  <si>
    <t>Suzanápolis</t>
  </si>
  <si>
    <t>Suzano</t>
  </si>
  <si>
    <t>Tabaí</t>
  </si>
  <si>
    <t>Tabaporã</t>
  </si>
  <si>
    <t>Tabapuã</t>
  </si>
  <si>
    <t>Tabatinga</t>
  </si>
  <si>
    <t>Tabira</t>
  </si>
  <si>
    <t>Taboão da Serra</t>
  </si>
  <si>
    <t>Tabocas do Brejo Velho</t>
  </si>
  <si>
    <t>Taboleiro Grande</t>
  </si>
  <si>
    <t>Tabuleiro</t>
  </si>
  <si>
    <t>Tabuleiro do Norte</t>
  </si>
  <si>
    <t>Tacaimbó</t>
  </si>
  <si>
    <t>Tacaratu</t>
  </si>
  <si>
    <t>Taciba</t>
  </si>
  <si>
    <t>Tacuru</t>
  </si>
  <si>
    <t>Taguaí</t>
  </si>
  <si>
    <t>Taguatinga</t>
  </si>
  <si>
    <t>Taiaçu</t>
  </si>
  <si>
    <t>Tailândia</t>
  </si>
  <si>
    <t>Taió</t>
  </si>
  <si>
    <t>Taiobeiras</t>
  </si>
  <si>
    <t>Taipas do Tocantins</t>
  </si>
  <si>
    <t>Taipu</t>
  </si>
  <si>
    <t>Taiúva</t>
  </si>
  <si>
    <t>Talismã</t>
  </si>
  <si>
    <t>Tamandaré</t>
  </si>
  <si>
    <t>Tamarana</t>
  </si>
  <si>
    <t>Tambaú</t>
  </si>
  <si>
    <t>Tamboara</t>
  </si>
  <si>
    <t>Tamboril</t>
  </si>
  <si>
    <t>Tamboril do Piauí</t>
  </si>
  <si>
    <t>Tanabi</t>
  </si>
  <si>
    <t>Tangará</t>
  </si>
  <si>
    <t>Tangará da Serra</t>
  </si>
  <si>
    <t>Tanguá</t>
  </si>
  <si>
    <t>Tanhaçu</t>
  </si>
  <si>
    <t>Tanque D´arca</t>
  </si>
  <si>
    <t>Tanque do Piauí</t>
  </si>
  <si>
    <t>Tanque Novo</t>
  </si>
  <si>
    <t>Tanquinho</t>
  </si>
  <si>
    <t>Taparuba</t>
  </si>
  <si>
    <t>Tapauá</t>
  </si>
  <si>
    <t>Tapejara</t>
  </si>
  <si>
    <t>Tapera</t>
  </si>
  <si>
    <t>Taperoá</t>
  </si>
  <si>
    <t>Tapes</t>
  </si>
  <si>
    <t>Tapira</t>
  </si>
  <si>
    <t>Tapiraí</t>
  </si>
  <si>
    <t>Tapiramutá</t>
  </si>
  <si>
    <t>Tapiratiba</t>
  </si>
  <si>
    <t>Tapurah</t>
  </si>
  <si>
    <t>Taquara</t>
  </si>
  <si>
    <t>Taquaraçu de Minas</t>
  </si>
  <si>
    <t>Taquaral</t>
  </si>
  <si>
    <t>Taquaral de Goiás</t>
  </si>
  <si>
    <t>Taquarana</t>
  </si>
  <si>
    <t>Taquari</t>
  </si>
  <si>
    <t>Taquaritinga</t>
  </si>
  <si>
    <t>Taquaritinga do Norte</t>
  </si>
  <si>
    <t>Taquarituba</t>
  </si>
  <si>
    <t>Taquarivaí</t>
  </si>
  <si>
    <t>Taquaruçu do Sul</t>
  </si>
  <si>
    <t>Taquarussu</t>
  </si>
  <si>
    <t>Tarabai</t>
  </si>
  <si>
    <t>Tarauacá</t>
  </si>
  <si>
    <t>Tarrafas</t>
  </si>
  <si>
    <t>Tartarugalzinho</t>
  </si>
  <si>
    <t>Tarumã</t>
  </si>
  <si>
    <t>Tarumirim</t>
  </si>
  <si>
    <t>Tasso Fragoso</t>
  </si>
  <si>
    <t>Tatuí</t>
  </si>
  <si>
    <t>Tauá</t>
  </si>
  <si>
    <t>Taubaté</t>
  </si>
  <si>
    <t>Tavares</t>
  </si>
  <si>
    <t>Tefé</t>
  </si>
  <si>
    <t>Teixeira</t>
  </si>
  <si>
    <t>Teixeira de Freitas</t>
  </si>
  <si>
    <t>Teixeira Soares</t>
  </si>
  <si>
    <t>Teixeiras</t>
  </si>
  <si>
    <t>Teixeirópolis</t>
  </si>
  <si>
    <t>Tejuçuoca</t>
  </si>
  <si>
    <t>Tejupá</t>
  </si>
  <si>
    <t>Telêmaco Borba</t>
  </si>
  <si>
    <t>Telha</t>
  </si>
  <si>
    <t>Tenente Ananias</t>
  </si>
  <si>
    <t>Tenente Laurentino Cruz</t>
  </si>
  <si>
    <t>Tenente Portela</t>
  </si>
  <si>
    <t>Tenório</t>
  </si>
  <si>
    <t>Teodoro Sampaio</t>
  </si>
  <si>
    <t>Teofilândia</t>
  </si>
  <si>
    <t>Teófilo Otoni</t>
  </si>
  <si>
    <t>Teolândia</t>
  </si>
  <si>
    <t>Teotônio Vilela</t>
  </si>
  <si>
    <t>Terenos</t>
  </si>
  <si>
    <t>Teresina</t>
  </si>
  <si>
    <t>Teresina de Goiás</t>
  </si>
  <si>
    <t>Teresópolis</t>
  </si>
  <si>
    <t>Terezinha</t>
  </si>
  <si>
    <t>Terezópolis de Goiás</t>
  </si>
  <si>
    <t>Terra Alta</t>
  </si>
  <si>
    <t>Terra Boa</t>
  </si>
  <si>
    <t>Terra de Areia</t>
  </si>
  <si>
    <t>Terra Nova</t>
  </si>
  <si>
    <t>Terra Nova do Norte</t>
  </si>
  <si>
    <t>Terra Rica</t>
  </si>
  <si>
    <t>Terra Roxa</t>
  </si>
  <si>
    <t>Terra Santa</t>
  </si>
  <si>
    <t>Tesouro</t>
  </si>
  <si>
    <t>Teutônia</t>
  </si>
  <si>
    <t>Theobroma</t>
  </si>
  <si>
    <t>Tianguá</t>
  </si>
  <si>
    <t>Tibagi</t>
  </si>
  <si>
    <t>Tibau</t>
  </si>
  <si>
    <t>Tibau do Sul</t>
  </si>
  <si>
    <t>Tietê</t>
  </si>
  <si>
    <t>Tigrinhos</t>
  </si>
  <si>
    <t>Tijucas</t>
  </si>
  <si>
    <t>Tijucas do Sul</t>
  </si>
  <si>
    <t>Timbaúba</t>
  </si>
  <si>
    <t>Timbaúba Dos Batistas</t>
  </si>
  <si>
    <t>Timbé do Sul</t>
  </si>
  <si>
    <t>Timbiras</t>
  </si>
  <si>
    <t>Timbó</t>
  </si>
  <si>
    <t>Timbó Grande</t>
  </si>
  <si>
    <t>Timburi</t>
  </si>
  <si>
    <t>Timon</t>
  </si>
  <si>
    <t>Timóteo</t>
  </si>
  <si>
    <t>Tio Hugo</t>
  </si>
  <si>
    <t>Tiradentes</t>
  </si>
  <si>
    <t>Tiradentes do Sul</t>
  </si>
  <si>
    <t>Tiros</t>
  </si>
  <si>
    <t>Tobias Barreto</t>
  </si>
  <si>
    <t>Tocantínia</t>
  </si>
  <si>
    <t>Tocantinópolis</t>
  </si>
  <si>
    <t>Tocantins</t>
  </si>
  <si>
    <t>Tocos do Moji</t>
  </si>
  <si>
    <t>Toledo</t>
  </si>
  <si>
    <t>Tomar do Geru</t>
  </si>
  <si>
    <t>Tomazina</t>
  </si>
  <si>
    <t>Tombos</t>
  </si>
  <si>
    <t>Tomé-açu</t>
  </si>
  <si>
    <t>Tonantins</t>
  </si>
  <si>
    <t>Toritama</t>
  </si>
  <si>
    <t>Torixoréu</t>
  </si>
  <si>
    <t>Toropi</t>
  </si>
  <si>
    <t>Torre de Pedra</t>
  </si>
  <si>
    <t>Torres</t>
  </si>
  <si>
    <t>Torrinha</t>
  </si>
  <si>
    <t>Touros</t>
  </si>
  <si>
    <t>Trabiju</t>
  </si>
  <si>
    <t>Tracuateua</t>
  </si>
  <si>
    <t>Tracunhaém</t>
  </si>
  <si>
    <t>Traipu</t>
  </si>
  <si>
    <t>Trairão</t>
  </si>
  <si>
    <t>Trairi</t>
  </si>
  <si>
    <t>Trajano de Morais</t>
  </si>
  <si>
    <t>Tramandaí</t>
  </si>
  <si>
    <t>Travesseiro</t>
  </si>
  <si>
    <t>Tremedal</t>
  </si>
  <si>
    <t>Tremembé</t>
  </si>
  <si>
    <t>Três Arroios</t>
  </si>
  <si>
    <t>Três Barras</t>
  </si>
  <si>
    <t>Três Barras do Paraná</t>
  </si>
  <si>
    <t>Três Cachoeiras</t>
  </si>
  <si>
    <t>Três Corações</t>
  </si>
  <si>
    <t>Três Coroas</t>
  </si>
  <si>
    <t>Três de Maio</t>
  </si>
  <si>
    <t>Três Forquilhas</t>
  </si>
  <si>
    <t>Três Fronteiras</t>
  </si>
  <si>
    <t>Três Lagoas</t>
  </si>
  <si>
    <t>Três Marias</t>
  </si>
  <si>
    <t>Três Palmeiras</t>
  </si>
  <si>
    <t>Três Passos</t>
  </si>
  <si>
    <t>Três Pontas</t>
  </si>
  <si>
    <t>Três Ranchos</t>
  </si>
  <si>
    <t>Três Rios</t>
  </si>
  <si>
    <t>Treviso</t>
  </si>
  <si>
    <t>Treze de Maio</t>
  </si>
  <si>
    <t>Treze Tílias</t>
  </si>
  <si>
    <t>Trindade</t>
  </si>
  <si>
    <t>Trindade do Sul</t>
  </si>
  <si>
    <t>Triunfo</t>
  </si>
  <si>
    <t>Triunfo Potiguar</t>
  </si>
  <si>
    <t>Trizidela do Vale</t>
  </si>
  <si>
    <t>Trombas</t>
  </si>
  <si>
    <t>Trombudo Central</t>
  </si>
  <si>
    <t>Tubarão</t>
  </si>
  <si>
    <t>Tucano</t>
  </si>
  <si>
    <t>Tucumã</t>
  </si>
  <si>
    <t>Tucunduva</t>
  </si>
  <si>
    <t>Tucuruí</t>
  </si>
  <si>
    <t>Tufilândia</t>
  </si>
  <si>
    <t>Tuiuti</t>
  </si>
  <si>
    <t>Tumiritinga</t>
  </si>
  <si>
    <t>Tunápolis</t>
  </si>
  <si>
    <t>Tunas</t>
  </si>
  <si>
    <t>Tunas do Paraná</t>
  </si>
  <si>
    <t>Tuneiras do Oeste</t>
  </si>
  <si>
    <t>Tuntum</t>
  </si>
  <si>
    <t>Tupã</t>
  </si>
  <si>
    <t>Tupaciguara</t>
  </si>
  <si>
    <t>Tupanatinga</t>
  </si>
  <si>
    <t>Tupanci do Sul</t>
  </si>
  <si>
    <t>Tupanciretã</t>
  </si>
  <si>
    <t>Tupandi</t>
  </si>
  <si>
    <t>Tuparendi</t>
  </si>
  <si>
    <t>Tuparetama</t>
  </si>
  <si>
    <t>Tupãssi</t>
  </si>
  <si>
    <t>Tupi Paulista</t>
  </si>
  <si>
    <t>Tupirama</t>
  </si>
  <si>
    <t>Tupiratins</t>
  </si>
  <si>
    <t>Turiaçu</t>
  </si>
  <si>
    <t>Turilândia</t>
  </si>
  <si>
    <t>Turiúba</t>
  </si>
  <si>
    <t>Turmalina</t>
  </si>
  <si>
    <t>Turuçu</t>
  </si>
  <si>
    <t>Tururu</t>
  </si>
  <si>
    <t>Turvânia</t>
  </si>
  <si>
    <t>Turvelândia</t>
  </si>
  <si>
    <t>Turvo</t>
  </si>
  <si>
    <t>Turvolândia</t>
  </si>
  <si>
    <t>Tutóia</t>
  </si>
  <si>
    <t>Uarini</t>
  </si>
  <si>
    <t>Uauá</t>
  </si>
  <si>
    <t>Ubá</t>
  </si>
  <si>
    <t>Ubaí</t>
  </si>
  <si>
    <t>Ubaíra</t>
  </si>
  <si>
    <t>Ubaitaba</t>
  </si>
  <si>
    <t>Ubajara</t>
  </si>
  <si>
    <t>Ubaporanga</t>
  </si>
  <si>
    <t>Ubarana</t>
  </si>
  <si>
    <t>Ubatã</t>
  </si>
  <si>
    <t>Ubatuba</t>
  </si>
  <si>
    <t>Uberaba</t>
  </si>
  <si>
    <t>Uberlândia</t>
  </si>
  <si>
    <t>Ubirajara</t>
  </si>
  <si>
    <t>Ubiratã</t>
  </si>
  <si>
    <t>Ubiretama</t>
  </si>
  <si>
    <t>Uchoa</t>
  </si>
  <si>
    <t>Uibaí</t>
  </si>
  <si>
    <t>Uiramutã</t>
  </si>
  <si>
    <t>Uirapuru</t>
  </si>
  <si>
    <t>Uiraúna</t>
  </si>
  <si>
    <t>Ulianópolis</t>
  </si>
  <si>
    <t>Umari</t>
  </si>
  <si>
    <t>Umarizal</t>
  </si>
  <si>
    <t>Umbaúba</t>
  </si>
  <si>
    <t>Umburanas</t>
  </si>
  <si>
    <t>Umburatiba</t>
  </si>
  <si>
    <t>Umbuzeiro</t>
  </si>
  <si>
    <t>Umirim</t>
  </si>
  <si>
    <t>Umuarama</t>
  </si>
  <si>
    <t>Una</t>
  </si>
  <si>
    <t>Unaí</t>
  </si>
  <si>
    <t>União</t>
  </si>
  <si>
    <t>União da Serra</t>
  </si>
  <si>
    <t>União da Vitória</t>
  </si>
  <si>
    <t>União de Minas</t>
  </si>
  <si>
    <t>União do Oeste</t>
  </si>
  <si>
    <t>União do Sul</t>
  </si>
  <si>
    <t>União Dos Palmares</t>
  </si>
  <si>
    <t>União Paulista</t>
  </si>
  <si>
    <t>Uniflor</t>
  </si>
  <si>
    <t>Unistalda</t>
  </si>
  <si>
    <t>Upanema</t>
  </si>
  <si>
    <t>Uraí</t>
  </si>
  <si>
    <t>Urandi</t>
  </si>
  <si>
    <t>Urânia</t>
  </si>
  <si>
    <t>Urbano Santos</t>
  </si>
  <si>
    <t>Uru</t>
  </si>
  <si>
    <t>Uruaçu</t>
  </si>
  <si>
    <t>Uruana</t>
  </si>
  <si>
    <t>Uruana de Minas</t>
  </si>
  <si>
    <t>Uruará</t>
  </si>
  <si>
    <t>Urubici</t>
  </si>
  <si>
    <t>Uruburetama</t>
  </si>
  <si>
    <t>Urucânia</t>
  </si>
  <si>
    <t>Urucará</t>
  </si>
  <si>
    <t>Uruçuca</t>
  </si>
  <si>
    <t>Uruçuí</t>
  </si>
  <si>
    <t>Urucuia</t>
  </si>
  <si>
    <t>Urucurituba</t>
  </si>
  <si>
    <t>Uruguaiana</t>
  </si>
  <si>
    <t>Uruoca</t>
  </si>
  <si>
    <t>Urupá</t>
  </si>
  <si>
    <t>Urupema</t>
  </si>
  <si>
    <t>Urupês</t>
  </si>
  <si>
    <t>Urussanga</t>
  </si>
  <si>
    <t>Urutaí</t>
  </si>
  <si>
    <t>Utinga</t>
  </si>
  <si>
    <t>Vacaria</t>
  </si>
  <si>
    <t>Vale de São Domingos</t>
  </si>
  <si>
    <t>Vale do Anari</t>
  </si>
  <si>
    <t>Vale do Paraíso</t>
  </si>
  <si>
    <t>Vale do Sol</t>
  </si>
  <si>
    <t>Vale Real</t>
  </si>
  <si>
    <t>Vale Verde</t>
  </si>
  <si>
    <t>Valença</t>
  </si>
  <si>
    <t>Valença do Piauí</t>
  </si>
  <si>
    <t>Valente</t>
  </si>
  <si>
    <t>Valentim Gentil</t>
  </si>
  <si>
    <t>Valinhos</t>
  </si>
  <si>
    <t>Valparaíso</t>
  </si>
  <si>
    <t>Valparaíso de Goiás</t>
  </si>
  <si>
    <t>Vanini</t>
  </si>
  <si>
    <t>Vargeão</t>
  </si>
  <si>
    <t>Vargem</t>
  </si>
  <si>
    <t>Vargem Alegre</t>
  </si>
  <si>
    <t>Vargem Alta</t>
  </si>
  <si>
    <t>Vargem Bonita</t>
  </si>
  <si>
    <t>Vargem Grande</t>
  </si>
  <si>
    <t>Vargem Grande do Rio Pardo</t>
  </si>
  <si>
    <t>Vargem Grande do Sul</t>
  </si>
  <si>
    <t>Vargem Grande Paulista</t>
  </si>
  <si>
    <t>Varginha</t>
  </si>
  <si>
    <t>Varjão</t>
  </si>
  <si>
    <t>Varjão de Minas</t>
  </si>
  <si>
    <t>Varjota</t>
  </si>
  <si>
    <t>Varre-sai</t>
  </si>
  <si>
    <t>Várzea</t>
  </si>
  <si>
    <t>Várzea Alegre</t>
  </si>
  <si>
    <t>Várzea Branca</t>
  </si>
  <si>
    <t>Várzea da Palma</t>
  </si>
  <si>
    <t>Várzea da Roça</t>
  </si>
  <si>
    <t>Várzea do Poço</t>
  </si>
  <si>
    <t>Várzea Grande</t>
  </si>
  <si>
    <t>Várzea Nova</t>
  </si>
  <si>
    <t>Várzea Paulista</t>
  </si>
  <si>
    <t>Varzedo</t>
  </si>
  <si>
    <t>Varzelândia</t>
  </si>
  <si>
    <t>Vassouras</t>
  </si>
  <si>
    <t>Vazante</t>
  </si>
  <si>
    <t>Venâncio Aires</t>
  </si>
  <si>
    <t>Venda Nova do Imigrante</t>
  </si>
  <si>
    <t>Venha-ver</t>
  </si>
  <si>
    <t>Ventania</t>
  </si>
  <si>
    <t>Venturosa</t>
  </si>
  <si>
    <t>Vera</t>
  </si>
  <si>
    <t>Vera Cruz</t>
  </si>
  <si>
    <t>Vera Cruz do Oeste</t>
  </si>
  <si>
    <t>Vera Mendes</t>
  </si>
  <si>
    <t>Veranópolis</t>
  </si>
  <si>
    <t>Verdejante</t>
  </si>
  <si>
    <t>Verdelândia</t>
  </si>
  <si>
    <t>Verê</t>
  </si>
  <si>
    <t>Vereda</t>
  </si>
  <si>
    <t>Veredinha</t>
  </si>
  <si>
    <t>Veríssimo</t>
  </si>
  <si>
    <t>Vermelho Novo</t>
  </si>
  <si>
    <t>Vertente do Lério</t>
  </si>
  <si>
    <t>Vertentes</t>
  </si>
  <si>
    <t>Vespasiano</t>
  </si>
  <si>
    <t>Vespasiano Correa</t>
  </si>
  <si>
    <t>Viadutos</t>
  </si>
  <si>
    <t>Viamão</t>
  </si>
  <si>
    <t>Viana</t>
  </si>
  <si>
    <t>Vianópolis</t>
  </si>
  <si>
    <t>Vicência</t>
  </si>
  <si>
    <t>Vicente Dutra</t>
  </si>
  <si>
    <t>Vicentina</t>
  </si>
  <si>
    <t>Vicentinópolis</t>
  </si>
  <si>
    <t>Viçosa</t>
  </si>
  <si>
    <t>Viçosa do Ceará</t>
  </si>
  <si>
    <t>Victor Graeff</t>
  </si>
  <si>
    <t>Vidal Ramos</t>
  </si>
  <si>
    <t>Videira</t>
  </si>
  <si>
    <t>Vieiras</t>
  </si>
  <si>
    <t>Vieirópolis</t>
  </si>
  <si>
    <t>Vigia</t>
  </si>
  <si>
    <t>Vila Alta</t>
  </si>
  <si>
    <t>Vila Bela da Santíssima Trindade</t>
  </si>
  <si>
    <t>Vila Boa</t>
  </si>
  <si>
    <t>Vila Flor</t>
  </si>
  <si>
    <t>Vila Flores</t>
  </si>
  <si>
    <t>Vila Lângaro</t>
  </si>
  <si>
    <t>Vila Maria</t>
  </si>
  <si>
    <t>Vila Nova do Piauí</t>
  </si>
  <si>
    <t>Vila Nova do Sul</t>
  </si>
  <si>
    <t>Vila Nova Dos Martírios</t>
  </si>
  <si>
    <t>Vila Pavão</t>
  </si>
  <si>
    <t>Vila Propício</t>
  </si>
  <si>
    <t>Vila Rica</t>
  </si>
  <si>
    <t>Vila Valério</t>
  </si>
  <si>
    <t>Vila Velha</t>
  </si>
  <si>
    <t>Vilhena</t>
  </si>
  <si>
    <t>Vinhedo</t>
  </si>
  <si>
    <t>Viradouro</t>
  </si>
  <si>
    <t>Virgem da Lapa</t>
  </si>
  <si>
    <t>Virgínia</t>
  </si>
  <si>
    <t>Virginópolis</t>
  </si>
  <si>
    <t>Virgolândia</t>
  </si>
  <si>
    <t>Virmond</t>
  </si>
  <si>
    <t>Visconde do Rio Branco</t>
  </si>
  <si>
    <t>Viseu</t>
  </si>
  <si>
    <t>Vista Alegre</t>
  </si>
  <si>
    <t>Vista Alegre do Alto</t>
  </si>
  <si>
    <t>Vista Alegre do Prata</t>
  </si>
  <si>
    <t>Vista Gaúcha</t>
  </si>
  <si>
    <t>Vista Serrana</t>
  </si>
  <si>
    <t>Vitor Meireles</t>
  </si>
  <si>
    <t>Vitória</t>
  </si>
  <si>
    <t>Vitória Brasil</t>
  </si>
  <si>
    <t>Vitória da Conquista</t>
  </si>
  <si>
    <t>Vitória Das Missões</t>
  </si>
  <si>
    <t>Vitória de Santo Antão</t>
  </si>
  <si>
    <t>Vitória do Jari</t>
  </si>
  <si>
    <t>Vitória do Mearim</t>
  </si>
  <si>
    <t>Vitória do Xingu</t>
  </si>
  <si>
    <t>Vitorino</t>
  </si>
  <si>
    <t>Vitorino Freire</t>
  </si>
  <si>
    <t>Volta Grande</t>
  </si>
  <si>
    <t>Volta Redonda</t>
  </si>
  <si>
    <t>Votorantim</t>
  </si>
  <si>
    <t>Votuporanga</t>
  </si>
  <si>
    <t>Wagner</t>
  </si>
  <si>
    <t>Wall Ferraz</t>
  </si>
  <si>
    <t>Wanderlândia</t>
  </si>
  <si>
    <t>Wanderley</t>
  </si>
  <si>
    <t>Wenceslau Braz</t>
  </si>
  <si>
    <t>Wenceslau Guimarães</t>
  </si>
  <si>
    <t>Westfalia</t>
  </si>
  <si>
    <t>Witmarsum</t>
  </si>
  <si>
    <t>Xambioá</t>
  </si>
  <si>
    <t>Xambrê</t>
  </si>
  <si>
    <t>Xangri-lá</t>
  </si>
  <si>
    <t>Xanxerê</t>
  </si>
  <si>
    <t>Xapuri</t>
  </si>
  <si>
    <t>Xavantina</t>
  </si>
  <si>
    <t>Xaxim</t>
  </si>
  <si>
    <t>Xexéu</t>
  </si>
  <si>
    <t>Xinguara</t>
  </si>
  <si>
    <t>Xique-xique</t>
  </si>
  <si>
    <t>Zabelê</t>
  </si>
  <si>
    <t>Zacarias</t>
  </si>
  <si>
    <t>zé Doca</t>
  </si>
  <si>
    <t>Zortéa</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</si>
</sst>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_-&quot;R$&quot;\ * #,##0.00_-;\-&quot;R$&quot;\ * #,##0.00_-;_-&quot;R$&quot;\ * &quot;-&quot;??_-;_-@"/>
    <numFmt numFmtId="165" formatCode="dd\ mmmm\ yyyy"/>
    <numFmt numFmtId="166" formatCode="0.0%"/>
    <numFmt numFmtId="167" formatCode="_-&quot;R$&quot;* #,##0.00_-;\-&quot;R$&quot;* #,##0.00_-;_-&quot;R$&quot;* &quot;-&quot;??_-;_-@"/>
  </numFmts>
  <fonts count="34">
    <font>
      <sz val="11.0"/>
      <color theme="1"/>
      <name val="Calibri"/>
      <scheme val="minor"/>
    </font>
    <font>
      <sz val="10.0"/>
      <color theme="1"/>
      <name val="Arial"/>
    </font>
    <font>
      <sz val="11.0"/>
      <color theme="1"/>
      <name val="Calibri"/>
    </font>
    <font>
      <b/>
      <sz val="18.0"/>
      <color theme="1"/>
      <name val="Arial"/>
    </font>
    <font>
      <b/>
      <sz val="28.0"/>
      <color theme="1"/>
      <name val="Arial"/>
    </font>
    <font>
      <b/>
      <sz val="14.0"/>
      <color theme="0"/>
      <name val="Arial"/>
    </font>
    <font/>
    <font>
      <b/>
      <sz val="10.0"/>
      <color theme="1"/>
      <name val="Century Gothic"/>
    </font>
    <font>
      <sz val="12.0"/>
      <color rgb="FF0000FF"/>
      <name val="Century Gothic"/>
    </font>
    <font>
      <b/>
      <sz val="12.0"/>
      <color theme="1"/>
      <name val="Century Gothic"/>
    </font>
    <font>
      <b/>
      <sz val="9.0"/>
      <color theme="1"/>
      <name val="Century Gothic"/>
    </font>
    <font>
      <sz val="12.0"/>
      <color theme="1"/>
      <name val="Century Gothic"/>
    </font>
    <font>
      <b/>
      <sz val="20.0"/>
      <color theme="1"/>
      <name val="Arial"/>
    </font>
    <font>
      <b/>
      <sz val="11.0"/>
      <color theme="1"/>
      <name val="Calibri"/>
    </font>
    <font>
      <sz val="10.0"/>
      <color theme="1"/>
      <name val="Century Gothic"/>
    </font>
    <font>
      <sz val="9.0"/>
      <color theme="1"/>
      <name val="Century Gothic"/>
    </font>
    <font>
      <sz val="11.0"/>
      <color theme="1"/>
      <name val="Century Gothic"/>
    </font>
    <font>
      <b/>
      <sz val="11.0"/>
      <color theme="0"/>
      <name val="Century Gothic"/>
    </font>
    <font>
      <b/>
      <sz val="12.0"/>
      <color theme="0"/>
      <name val="Arial"/>
    </font>
    <font>
      <sz val="10.0"/>
      <color theme="0"/>
      <name val="Arial"/>
    </font>
    <font>
      <b/>
      <sz val="8.0"/>
      <color theme="0"/>
      <name val="Century Gothic"/>
    </font>
    <font>
      <sz val="10.0"/>
      <color rgb="FFFF0000"/>
      <name val="Arial"/>
    </font>
    <font>
      <sz val="12.0"/>
      <color theme="0"/>
      <name val="Century Gothic"/>
    </font>
    <font>
      <b/>
      <sz val="12.0"/>
      <color rgb="FF0000FF"/>
      <name val="Century Gothic"/>
    </font>
    <font>
      <sz val="10.0"/>
      <color rgb="FFFF0000"/>
      <name val="Century Gothic"/>
    </font>
    <font>
      <b/>
      <sz val="12.0"/>
      <color theme="0"/>
      <name val="Century Gothic"/>
    </font>
    <font>
      <b/>
      <sz val="11.0"/>
      <color theme="1"/>
      <name val="Century Gothic"/>
    </font>
    <font>
      <sz val="8.0"/>
      <color theme="1"/>
      <name val="Century Gothic"/>
    </font>
    <font>
      <sz val="10.0"/>
      <color rgb="FF0000FF"/>
      <name val="Century Gothic"/>
    </font>
    <font>
      <sz val="10.0"/>
      <color rgb="FF009600"/>
      <name val="Century Gothic"/>
    </font>
    <font>
      <b/>
      <sz val="10.0"/>
      <color theme="0"/>
      <name val="Century Gothic"/>
    </font>
    <font>
      <i/>
      <sz val="10.0"/>
      <color theme="0"/>
      <name val="Century Gothic"/>
    </font>
    <font>
      <b/>
      <sz val="11.0"/>
      <color rgb="FF0000FF"/>
      <name val="Century Gothic"/>
    </font>
    <font>
      <color theme="1"/>
      <name val="Calibri"/>
      <scheme val="minor"/>
    </font>
  </fonts>
  <fills count="15">
    <fill>
      <patternFill patternType="none"/>
    </fill>
    <fill>
      <patternFill patternType="lightGray"/>
    </fill>
    <fill>
      <patternFill patternType="solid">
        <fgColor theme="0"/>
        <bgColor theme="0"/>
      </patternFill>
    </fill>
    <fill>
      <patternFill patternType="solid">
        <fgColor rgb="FF29754D"/>
        <bgColor rgb="FF29754D"/>
      </patternFill>
    </fill>
    <fill>
      <patternFill patternType="solid">
        <fgColor rgb="FFC5E0B3"/>
        <bgColor rgb="FFC5E0B3"/>
      </patternFill>
    </fill>
    <fill>
      <patternFill patternType="solid">
        <fgColor rgb="FFF2F2F2"/>
        <bgColor rgb="FFF2F2F2"/>
      </patternFill>
    </fill>
    <fill>
      <patternFill patternType="solid">
        <fgColor rgb="FFE2EFD9"/>
        <bgColor rgb="FFE2EFD9"/>
      </patternFill>
    </fill>
    <fill>
      <patternFill patternType="solid">
        <fgColor rgb="FFD8D8D8"/>
        <bgColor rgb="FFD8D8D8"/>
      </patternFill>
    </fill>
    <fill>
      <patternFill patternType="solid">
        <fgColor rgb="FFA5A5A5"/>
        <bgColor rgb="FFA5A5A5"/>
      </patternFill>
    </fill>
    <fill>
      <patternFill patternType="solid">
        <fgColor rgb="FFDDE7E7"/>
        <bgColor rgb="FFDDE7E7"/>
      </patternFill>
    </fill>
    <fill>
      <patternFill patternType="solid">
        <fgColor rgb="FF595959"/>
        <bgColor rgb="FF595959"/>
      </patternFill>
    </fill>
    <fill>
      <patternFill patternType="solid">
        <fgColor rgb="FFB4C6E7"/>
        <bgColor rgb="FFB4C6E7"/>
      </patternFill>
    </fill>
    <fill>
      <patternFill patternType="solid">
        <fgColor rgb="FFF7CAAC"/>
        <bgColor rgb="FFF7CAAC"/>
      </patternFill>
    </fill>
    <fill>
      <patternFill patternType="solid">
        <fgColor rgb="FFFEF2CB"/>
        <bgColor rgb="FFFEF2CB"/>
      </patternFill>
    </fill>
    <fill>
      <patternFill patternType="solid">
        <fgColor rgb="FFFFE598"/>
        <bgColor rgb="FFFFE598"/>
      </patternFill>
    </fill>
  </fills>
  <borders count="50">
    <border/>
    <border>
      <left/>
      <right/>
      <top/>
      <bottom/>
    </border>
    <border>
      <left/>
      <right/>
      <top/>
    </border>
    <border>
      <left style="double">
        <color rgb="FFBFBFBF"/>
      </left>
      <top style="double">
        <color rgb="FFBFBFBF"/>
      </top>
      <bottom style="double">
        <color rgb="FFBFBFBF"/>
      </bottom>
    </border>
    <border>
      <top style="double">
        <color rgb="FFBFBFBF"/>
      </top>
      <bottom style="double">
        <color rgb="FFBFBFBF"/>
      </bottom>
    </border>
    <border>
      <right style="double">
        <color rgb="FFBFBFBF"/>
      </right>
      <top style="double">
        <color rgb="FFBFBFBF"/>
      </top>
      <bottom style="double">
        <color rgb="FFBFBFBF"/>
      </bottom>
    </border>
    <border>
      <left style="double">
        <color rgb="FFBFBFBF"/>
      </left>
      <top style="double">
        <color rgb="FFBFBFBF"/>
      </top>
      <bottom/>
    </border>
    <border>
      <top style="double">
        <color rgb="FFBFBFBF"/>
      </top>
      <bottom/>
    </border>
    <border>
      <right/>
      <top style="double">
        <color rgb="FFBFBFBF"/>
      </top>
      <bottom/>
    </border>
    <border>
      <left/>
      <right/>
    </border>
    <border>
      <left style="double">
        <color rgb="FFBFBFBF"/>
      </left>
      <right/>
      <top style="double">
        <color rgb="FFBFBFBF"/>
      </top>
      <bottom style="thin">
        <color rgb="FFBFBFBF"/>
      </bottom>
    </border>
    <border>
      <left/>
      <right style="double">
        <color rgb="FFBFBFBF"/>
      </right>
      <top style="double">
        <color rgb="FFBFBFBF"/>
      </top>
      <bottom style="thin">
        <color rgb="FFBFBFBF"/>
      </bottom>
    </border>
    <border>
      <left/>
      <right style="double">
        <color rgb="FFBFBFBF"/>
      </right>
      <top style="thin">
        <color rgb="FFBFBFBF"/>
      </top>
      <bottom style="thin">
        <color rgb="FFBFBFBF"/>
      </bottom>
    </border>
    <border>
      <left style="double">
        <color rgb="FFBFBFBF"/>
      </left>
      <right/>
      <top style="thin">
        <color rgb="FFBFBFBF"/>
      </top>
      <bottom style="thin">
        <color rgb="FFBFBFBF"/>
      </bottom>
    </border>
    <border>
      <left/>
      <right style="thin">
        <color rgb="FFBFBFBF"/>
      </right>
      <top style="thin">
        <color rgb="FFBFBFBF"/>
      </top>
      <bottom style="thin">
        <color rgb="FFBFBFBF"/>
      </bottom>
    </border>
    <border>
      <left style="thin">
        <color rgb="FFBFBFBF"/>
      </left>
      <right style="double">
        <color rgb="FFBFBFBF"/>
      </right>
      <top style="thin">
        <color rgb="FFBFBFBF"/>
      </top>
      <bottom style="thin">
        <color rgb="FFBFBFBF"/>
      </bottom>
    </border>
    <border>
      <left/>
      <right/>
      <bottom/>
    </border>
    <border>
      <left style="double">
        <color rgb="FFBFBFBF"/>
      </left>
      <right/>
      <top/>
      <bottom style="thin">
        <color rgb="FFBFBFBF"/>
      </bottom>
    </border>
    <border>
      <left/>
      <right style="thin">
        <color rgb="FFBFBFBF"/>
      </right>
      <top/>
      <bottom style="thin">
        <color rgb="FFBFBFBF"/>
      </bottom>
    </border>
    <border>
      <left style="double">
        <color rgb="FFBFBFBF"/>
      </left>
      <right style="double">
        <color rgb="FFBFBFBF"/>
      </right>
      <top style="double">
        <color rgb="FFBFBFBF"/>
      </top>
      <bottom style="double">
        <color rgb="FFBFBFBF"/>
      </bottom>
    </border>
    <border>
      <left/>
      <right style="double">
        <color rgb="FFBFBFBF"/>
      </right>
      <top style="double">
        <color rgb="FFBFBFBF"/>
      </top>
      <bottom style="double">
        <color rgb="FFBFBFBF"/>
      </bottom>
    </border>
    <border>
      <left style="double">
        <color rgb="FFBFBFBF"/>
      </left>
      <right style="double">
        <color rgb="FFBFBFBF"/>
      </right>
      <top style="double">
        <color rgb="FFBFBFBF"/>
      </top>
      <bottom/>
    </border>
    <border>
      <right style="double">
        <color rgb="FFBFBFBF"/>
      </right>
      <top style="double">
        <color rgb="FFBFBFBF"/>
      </top>
    </border>
    <border>
      <left style="double">
        <color rgb="FFBFBFBF"/>
      </left>
      <right style="double">
        <color rgb="FFBFBFBF"/>
      </right>
      <top style="thin">
        <color rgb="FFBFBFBF"/>
      </top>
      <bottom style="thin">
        <color rgb="FFBFBFBF"/>
      </bottom>
    </border>
    <border>
      <left style="double">
        <color rgb="FFBFBFBF"/>
      </left>
      <right style="double">
        <color rgb="FFBFBFBF"/>
      </right>
      <top style="thin">
        <color rgb="FFBFBFBF"/>
      </top>
      <bottom style="thin">
        <color rgb="FF000000"/>
      </bottom>
    </border>
    <border>
      <left style="double">
        <color rgb="FFBFBFBF"/>
      </left>
      <right/>
      <top style="thin">
        <color rgb="FFBFBFBF"/>
      </top>
      <bottom style="double">
        <color rgb="FFBFBFBF"/>
      </bottom>
    </border>
    <border>
      <left/>
      <right style="double">
        <color rgb="FFBFBFBF"/>
      </right>
      <top style="thin">
        <color rgb="FFBFBFBF"/>
      </top>
      <bottom style="double">
        <color rgb="FFBFBFBF"/>
      </bottom>
    </border>
    <border>
      <left style="double">
        <color rgb="FFBFBFBF"/>
      </left>
      <right/>
      <top/>
      <bottom style="double">
        <color rgb="FFBFBFBF"/>
      </bottom>
    </border>
    <border>
      <left/>
      <right style="double">
        <color rgb="FFBFBFBF"/>
      </right>
      <top/>
      <bottom style="double">
        <color rgb="FFBFBFBF"/>
      </bottom>
    </border>
    <border>
      <left style="double">
        <color rgb="FFBFBFBF"/>
      </left>
      <right style="double">
        <color rgb="FFBFBFBF"/>
      </right>
      <top style="thin">
        <color rgb="FFBFBFBF"/>
      </top>
      <bottom style="double">
        <color rgb="FFBFBFBF"/>
      </bottom>
    </border>
    <border>
      <left style="double">
        <color rgb="FFBFBFBF"/>
      </left>
      <right style="double">
        <color rgb="FFBFBFBF"/>
      </right>
      <top/>
      <bottom/>
    </border>
    <border>
      <right style="double">
        <color rgb="FFBFBFBF"/>
      </right>
      <top style="thin">
        <color rgb="FF000000"/>
      </top>
      <bottom style="thin">
        <color rgb="FF000000"/>
      </bottom>
    </border>
    <border>
      <right style="double">
        <color rgb="FFBFBFBF"/>
      </right>
      <top style="thin">
        <color rgb="FF000000"/>
      </top>
    </border>
    <border>
      <left/>
      <right style="thin">
        <color rgb="FFBFBFBF"/>
      </right>
      <top style="thin">
        <color rgb="FFBFBFBF"/>
      </top>
      <bottom style="double">
        <color rgb="FFBFBFBF"/>
      </bottom>
    </border>
    <border>
      <right style="double">
        <color rgb="FFBFBFBF"/>
      </right>
      <bottom style="double">
        <color rgb="FFBFBFBF"/>
      </bottom>
    </border>
    <border>
      <bottom style="double">
        <color rgb="FFBFBFBF"/>
      </bottom>
    </border>
    <border>
      <left style="double">
        <color rgb="FFBFBFBF"/>
      </left>
      <right/>
      <top style="double">
        <color rgb="FFBFBFBF"/>
      </top>
      <bottom style="double">
        <color rgb="FFBFBFBF"/>
      </bottom>
    </border>
    <border>
      <left/>
      <right/>
      <top style="double">
        <color rgb="FFBFBFBF"/>
      </top>
      <bottom style="double">
        <color rgb="FFBFBFBF"/>
      </bottom>
    </border>
    <border>
      <left style="double">
        <color rgb="FFBFBFBF"/>
      </left>
      <right style="double">
        <color rgb="FFBFBFBF"/>
      </right>
      <top style="double">
        <color rgb="FFBFBFBF"/>
      </top>
    </border>
    <border>
      <left/>
      <right style="double">
        <color rgb="FFBFBFBF"/>
      </right>
      <top/>
      <bottom style="thin">
        <color rgb="FFBFBFBF"/>
      </bottom>
    </border>
    <border>
      <left style="double">
        <color rgb="FFBFBFBF"/>
      </left>
      <right style="double">
        <color rgb="FFBFBFBF"/>
      </right>
      <bottom style="double">
        <color rgb="FFBFBFBF"/>
      </bottom>
    </border>
    <border>
      <left style="double">
        <color rgb="FFBFBFBF"/>
      </left>
      <right style="double">
        <color rgb="FFBFBFBF"/>
      </right>
      <top/>
      <bottom style="double">
        <color rgb="FFBFBFBF"/>
      </bottom>
    </border>
    <border>
      <left/>
      <right/>
      <top style="thin">
        <color rgb="FFBFBFBF"/>
      </top>
      <bottom style="thin">
        <color rgb="FFBFBFBF"/>
      </bottom>
    </border>
    <border>
      <left/>
      <right/>
      <top style="double">
        <color rgb="FFBFBFBF"/>
      </top>
      <bottom style="thin">
        <color rgb="FFBFBFBF"/>
      </bottom>
    </border>
    <border>
      <left style="double">
        <color rgb="FFBFBFBF"/>
      </left>
      <right style="double">
        <color rgb="FFBFBFBF"/>
      </right>
      <top style="double">
        <color rgb="FFBFBFBF"/>
      </top>
      <bottom style="thin">
        <color rgb="FFBFBFBF"/>
      </bottom>
    </border>
    <border>
      <left style="double">
        <color rgb="FFBFBFBF"/>
      </left>
      <top style="thin">
        <color rgb="FFBFBFBF"/>
      </top>
      <bottom style="thin">
        <color rgb="FFBFBFBF"/>
      </bottom>
    </border>
    <border>
      <left style="double">
        <color rgb="FFBFBFBF"/>
      </left>
      <right/>
      <top/>
      <bottom/>
    </border>
    <border>
      <left/>
      <right style="double">
        <color rgb="FFBFBFBF"/>
      </right>
      <top/>
      <bottom/>
    </border>
    <border>
      <left style="double">
        <color rgb="FFBFBFBF"/>
      </left>
    </border>
    <border>
      <right style="double">
        <color rgb="FFBFBFBF"/>
      </right>
    </border>
  </borders>
  <cellStyleXfs count="1">
    <xf borderId="0" fillId="0" fontId="0" numFmtId="0" applyAlignment="1" applyFont="1"/>
  </cellStyleXfs>
  <cellXfs count="176">
    <xf borderId="0" fillId="0" fontId="0" numFmtId="0" xfId="0" applyAlignment="1" applyFont="1">
      <alignment readingOrder="0" shrinkToFit="0" vertical="bottom" wrapText="0"/>
    </xf>
    <xf borderId="1" fillId="2" fontId="1" numFmtId="0" xfId="0" applyBorder="1" applyFill="1" applyFont="1"/>
    <xf borderId="1" fillId="2" fontId="2" numFmtId="0" xfId="0" applyBorder="1" applyFont="1"/>
    <xf borderId="0" fillId="0" fontId="1" numFmtId="0" xfId="0" applyFont="1"/>
    <xf borderId="2" fillId="2" fontId="3" numFmtId="0" xfId="0" applyAlignment="1" applyBorder="1" applyFont="1">
      <alignment horizontal="right" vertical="center"/>
    </xf>
    <xf borderId="1" fillId="2" fontId="4" numFmtId="0" xfId="0" applyBorder="1" applyFont="1"/>
    <xf borderId="3" fillId="3" fontId="5" numFmtId="0" xfId="0" applyAlignment="1" applyBorder="1" applyFill="1" applyFont="1">
      <alignment horizontal="center" vertical="center"/>
    </xf>
    <xf borderId="4" fillId="0" fontId="6" numFmtId="0" xfId="0" applyBorder="1" applyFont="1"/>
    <xf borderId="5" fillId="0" fontId="6" numFmtId="0" xfId="0" applyBorder="1" applyFont="1"/>
    <xf borderId="6" fillId="3" fontId="5" numFmtId="0" xfId="0" applyAlignment="1" applyBorder="1" applyFont="1">
      <alignment horizontal="center" vertical="center"/>
    </xf>
    <xf borderId="7" fillId="0" fontId="6" numFmtId="0" xfId="0" applyBorder="1" applyFont="1"/>
    <xf borderId="8" fillId="0" fontId="6" numFmtId="0" xfId="0" applyBorder="1" applyFont="1"/>
    <xf borderId="9" fillId="0" fontId="6" numFmtId="0" xfId="0" applyBorder="1" applyFont="1"/>
    <xf borderId="10" fillId="4" fontId="7" numFmtId="0" xfId="0" applyAlignment="1" applyBorder="1" applyFill="1" applyFont="1">
      <alignment vertical="center"/>
    </xf>
    <xf borderId="11" fillId="4" fontId="7" numFmtId="0" xfId="0" applyAlignment="1" applyBorder="1" applyFont="1">
      <alignment vertical="center"/>
    </xf>
    <xf borderId="12" fillId="2" fontId="8" numFmtId="2" xfId="0" applyAlignment="1" applyBorder="1" applyFont="1" applyNumberFormat="1">
      <alignment horizontal="center" shrinkToFit="1" vertical="center" wrapText="0"/>
    </xf>
    <xf borderId="13" fillId="4" fontId="7" numFmtId="0" xfId="0" applyAlignment="1" applyBorder="1" applyFont="1">
      <alignment vertical="center"/>
    </xf>
    <xf borderId="12" fillId="4" fontId="7" numFmtId="0" xfId="0" applyAlignment="1" applyBorder="1" applyFont="1">
      <alignment vertical="center"/>
    </xf>
    <xf borderId="12" fillId="5" fontId="9" numFmtId="2" xfId="0" applyAlignment="1" applyBorder="1" applyFill="1" applyFont="1" applyNumberFormat="1">
      <alignment horizontal="center" shrinkToFit="1" vertical="center" wrapText="0"/>
    </xf>
    <xf borderId="13" fillId="4" fontId="7" numFmtId="0" xfId="0" applyAlignment="1" applyBorder="1" applyFont="1">
      <alignment horizontal="center" vertical="center"/>
    </xf>
    <xf borderId="14" fillId="4" fontId="7" numFmtId="0" xfId="0" applyAlignment="1" applyBorder="1" applyFont="1">
      <alignment horizontal="center" vertical="center"/>
    </xf>
    <xf borderId="15" fillId="4" fontId="7" numFmtId="0" xfId="0" applyAlignment="1" applyBorder="1" applyFont="1">
      <alignment horizontal="center" vertical="center"/>
    </xf>
    <xf borderId="16" fillId="0" fontId="6" numFmtId="0" xfId="0" applyBorder="1" applyFont="1"/>
    <xf borderId="13" fillId="6" fontId="10" numFmtId="0" xfId="0" applyAlignment="1" applyBorder="1" applyFill="1" applyFont="1">
      <alignment vertical="center"/>
    </xf>
    <xf borderId="12" fillId="6" fontId="10" numFmtId="0" xfId="0" applyAlignment="1" applyBorder="1" applyFont="1">
      <alignment horizontal="right" vertical="center"/>
    </xf>
    <xf borderId="17" fillId="6" fontId="7" numFmtId="0" xfId="0" applyAlignment="1" applyBorder="1" applyFont="1">
      <alignment horizontal="right" vertical="center"/>
    </xf>
    <xf borderId="18" fillId="6" fontId="7" numFmtId="0" xfId="0" applyAlignment="1" applyBorder="1" applyFont="1">
      <alignment horizontal="right" vertical="center"/>
    </xf>
    <xf borderId="12" fillId="2" fontId="11" numFmtId="1" xfId="0" applyAlignment="1" applyBorder="1" applyFont="1" applyNumberFormat="1">
      <alignment horizontal="center" shrinkToFit="1" vertical="center" wrapText="0"/>
    </xf>
    <xf borderId="1" fillId="2" fontId="12" numFmtId="0" xfId="0" applyAlignment="1" applyBorder="1" applyFont="1">
      <alignment horizontal="left"/>
    </xf>
    <xf borderId="1" fillId="2" fontId="13" numFmtId="0" xfId="0" applyAlignment="1" applyBorder="1" applyFont="1">
      <alignment horizontal="right" shrinkToFit="0" wrapText="1"/>
    </xf>
    <xf borderId="13" fillId="6" fontId="7" numFmtId="0" xfId="0" applyAlignment="1" applyBorder="1" applyFont="1">
      <alignment vertical="center"/>
    </xf>
    <xf borderId="12" fillId="6" fontId="7" numFmtId="0" xfId="0" applyAlignment="1" applyBorder="1" applyFont="1">
      <alignment horizontal="right" vertical="center"/>
    </xf>
    <xf borderId="13" fillId="6" fontId="7" numFmtId="0" xfId="0" applyAlignment="1" applyBorder="1" applyFont="1">
      <alignment horizontal="right" vertical="center"/>
    </xf>
    <xf borderId="14" fillId="6" fontId="7" numFmtId="0" xfId="0" applyAlignment="1" applyBorder="1" applyFont="1">
      <alignment horizontal="right" vertical="center"/>
    </xf>
    <xf borderId="1" fillId="2" fontId="14" numFmtId="0" xfId="0" applyAlignment="1" applyBorder="1" applyFont="1">
      <alignment shrinkToFit="0" wrapText="1"/>
    </xf>
    <xf borderId="1" fillId="2" fontId="14" numFmtId="0" xfId="0" applyAlignment="1" applyBorder="1" applyFont="1">
      <alignment horizontal="center" shrinkToFit="0" vertical="center" wrapText="1"/>
    </xf>
    <xf borderId="1" fillId="2" fontId="15" numFmtId="0" xfId="0" applyAlignment="1" applyBorder="1" applyFont="1">
      <alignment horizontal="center" shrinkToFit="0" wrapText="1"/>
    </xf>
    <xf borderId="1" fillId="2" fontId="15" numFmtId="164" xfId="0" applyAlignment="1" applyBorder="1" applyFont="1" applyNumberFormat="1">
      <alignment horizontal="center" shrinkToFit="0" wrapText="1"/>
    </xf>
    <xf borderId="1" fillId="2" fontId="14" numFmtId="164" xfId="0" applyAlignment="1" applyBorder="1" applyFont="1" applyNumberFormat="1">
      <alignment horizontal="left" shrinkToFit="0" wrapText="1"/>
    </xf>
    <xf borderId="1" fillId="2" fontId="16" numFmtId="0" xfId="0" applyAlignment="1" applyBorder="1" applyFont="1">
      <alignment horizontal="left" shrinkToFit="0" wrapText="1"/>
    </xf>
    <xf borderId="19" fillId="7" fontId="17" numFmtId="0" xfId="0" applyAlignment="1" applyBorder="1" applyFill="1" applyFont="1">
      <alignment horizontal="center" vertical="center"/>
    </xf>
    <xf borderId="20" fillId="3" fontId="18" numFmtId="0" xfId="0" applyAlignment="1" applyBorder="1" applyFont="1">
      <alignment vertical="center"/>
    </xf>
    <xf borderId="1" fillId="2" fontId="11" numFmtId="0" xfId="0" applyAlignment="1" applyBorder="1" applyFont="1">
      <alignment shrinkToFit="0" wrapText="1"/>
    </xf>
    <xf borderId="1" fillId="2" fontId="11" numFmtId="2" xfId="0" applyAlignment="1" applyBorder="1" applyFont="1" applyNumberFormat="1">
      <alignment horizontal="left" shrinkToFit="1" vertical="center" wrapText="0"/>
    </xf>
    <xf borderId="1" fillId="2" fontId="7" numFmtId="164" xfId="0" applyAlignment="1" applyBorder="1" applyFont="1" applyNumberFormat="1">
      <alignment horizontal="left" shrinkToFit="0" vertical="center" wrapText="1"/>
    </xf>
    <xf borderId="1" fillId="2" fontId="16" numFmtId="4" xfId="0" applyAlignment="1" applyBorder="1" applyFont="1" applyNumberFormat="1">
      <alignment horizontal="left" shrinkToFit="0" vertical="center" wrapText="1"/>
    </xf>
    <xf borderId="21" fillId="7" fontId="7" numFmtId="0" xfId="0" applyAlignment="1" applyBorder="1" applyFont="1">
      <alignment vertical="center"/>
    </xf>
    <xf borderId="22" fillId="0" fontId="16" numFmtId="14" xfId="0" applyAlignment="1" applyBorder="1" applyFont="1" applyNumberFormat="1">
      <alignment horizontal="left" shrinkToFit="1" vertical="center" wrapText="0"/>
    </xf>
    <xf borderId="23" fillId="7" fontId="7" numFmtId="0" xfId="0" applyAlignment="1" applyBorder="1" applyFont="1">
      <alignment vertical="center"/>
    </xf>
    <xf borderId="24" fillId="0" fontId="16" numFmtId="0" xfId="0" applyAlignment="1" applyBorder="1" applyFont="1">
      <alignment horizontal="left" shrinkToFit="1" vertical="center" wrapText="0"/>
    </xf>
    <xf borderId="25" fillId="4" fontId="7" numFmtId="0" xfId="0" applyAlignment="1" applyBorder="1" applyFont="1">
      <alignment vertical="center"/>
    </xf>
    <xf borderId="26" fillId="4" fontId="7" numFmtId="0" xfId="0" applyAlignment="1" applyBorder="1" applyFont="1">
      <alignment vertical="center"/>
    </xf>
    <xf borderId="26" fillId="5" fontId="9" numFmtId="2" xfId="0" applyAlignment="1" applyBorder="1" applyFont="1" applyNumberFormat="1">
      <alignment horizontal="center" shrinkToFit="1" vertical="center" wrapText="0"/>
    </xf>
    <xf borderId="27" fillId="7" fontId="7" numFmtId="0" xfId="0" applyAlignment="1" applyBorder="1" applyFont="1">
      <alignment vertical="center"/>
    </xf>
    <xf borderId="28" fillId="7" fontId="7" numFmtId="0" xfId="0" applyAlignment="1" applyBorder="1" applyFont="1">
      <alignment vertical="center"/>
    </xf>
    <xf borderId="29" fillId="2" fontId="8" numFmtId="2" xfId="0" applyAlignment="1" applyBorder="1" applyFont="1" applyNumberFormat="1">
      <alignment horizontal="center" shrinkToFit="1" vertical="center" wrapText="0"/>
    </xf>
    <xf borderId="30" fillId="7" fontId="7" numFmtId="0" xfId="0" applyAlignment="1" applyBorder="1" applyFont="1">
      <alignment vertical="center"/>
    </xf>
    <xf borderId="31" fillId="0" fontId="11" numFmtId="2" xfId="0" applyAlignment="1" applyBorder="1" applyFont="1" applyNumberFormat="1">
      <alignment horizontal="left" shrinkToFit="1" vertical="center" wrapText="0"/>
    </xf>
    <xf borderId="1" fillId="2" fontId="11" numFmtId="2" xfId="0" applyAlignment="1" applyBorder="1" applyFont="1" applyNumberFormat="1">
      <alignment shrinkToFit="0" wrapText="1"/>
    </xf>
    <xf borderId="1" fillId="2" fontId="19" numFmtId="0" xfId="0" applyBorder="1" applyFont="1"/>
    <xf borderId="1" fillId="2" fontId="20" numFmtId="164" xfId="0" applyAlignment="1" applyBorder="1" applyFont="1" applyNumberFormat="1">
      <alignment horizontal="center" shrinkToFit="0" vertical="center" wrapText="1"/>
    </xf>
    <xf borderId="1" fillId="2" fontId="14" numFmtId="0" xfId="0" applyAlignment="1" applyBorder="1" applyFont="1">
      <alignment shrinkToFit="0" vertical="center" wrapText="1"/>
    </xf>
    <xf borderId="32" fillId="0" fontId="16" numFmtId="165" xfId="0" applyAlignment="1" applyBorder="1" applyFont="1" applyNumberFormat="1">
      <alignment horizontal="left" shrinkToFit="1" vertical="center" wrapText="0"/>
    </xf>
    <xf borderId="1" fillId="2" fontId="21" numFmtId="9" xfId="0" applyBorder="1" applyFont="1" applyNumberFormat="1"/>
    <xf borderId="1" fillId="2" fontId="11" numFmtId="2" xfId="0" applyAlignment="1" applyBorder="1" applyFont="1" applyNumberFormat="1">
      <alignment horizontal="center" shrinkToFit="0" vertical="center" wrapText="1"/>
    </xf>
    <xf borderId="1" fillId="2" fontId="22" numFmtId="2" xfId="0" applyAlignment="1" applyBorder="1" applyFont="1" applyNumberFormat="1">
      <alignment shrinkToFit="0" wrapText="1"/>
    </xf>
    <xf borderId="25" fillId="6" fontId="7" numFmtId="0" xfId="0" applyAlignment="1" applyBorder="1" applyFont="1">
      <alignment horizontal="right" vertical="center"/>
    </xf>
    <xf borderId="33" fillId="6" fontId="7" numFmtId="0" xfId="0" applyAlignment="1" applyBorder="1" applyFont="1">
      <alignment horizontal="right" vertical="center"/>
    </xf>
    <xf borderId="26" fillId="2" fontId="11" numFmtId="1" xfId="0" applyAlignment="1" applyBorder="1" applyFont="1" applyNumberFormat="1">
      <alignment horizontal="center" shrinkToFit="1" vertical="center" wrapText="0"/>
    </xf>
    <xf borderId="1" fillId="2" fontId="14" numFmtId="164" xfId="0" applyAlignment="1" applyBorder="1" applyFont="1" applyNumberFormat="1">
      <alignment horizontal="left" shrinkToFit="0" vertical="center" wrapText="1"/>
    </xf>
    <xf borderId="1" fillId="2" fontId="16" numFmtId="0" xfId="0" applyAlignment="1" applyBorder="1" applyFont="1">
      <alignment horizontal="left" shrinkToFit="0" vertical="center" wrapText="1"/>
    </xf>
    <xf borderId="23" fillId="0" fontId="16" numFmtId="14" xfId="0" applyAlignment="1" applyBorder="1" applyFont="1" applyNumberFormat="1">
      <alignment shrinkToFit="1" vertical="center" wrapText="0"/>
    </xf>
    <xf borderId="28" fillId="2" fontId="23" numFmtId="166" xfId="0" applyAlignment="1" applyBorder="1" applyFont="1" applyNumberFormat="1">
      <alignment horizontal="center" shrinkToFit="1" vertical="center" wrapText="0"/>
    </xf>
    <xf borderId="1" fillId="2" fontId="22" numFmtId="164" xfId="0" applyAlignment="1" applyBorder="1" applyFont="1" applyNumberFormat="1">
      <alignment shrinkToFit="0" wrapText="1"/>
    </xf>
    <xf borderId="1" fillId="2" fontId="11" numFmtId="167" xfId="0" applyAlignment="1" applyBorder="1" applyFont="1" applyNumberFormat="1">
      <alignment shrinkToFit="0" wrapText="1"/>
    </xf>
    <xf borderId="29" fillId="7" fontId="7" numFmtId="0" xfId="0" applyAlignment="1" applyBorder="1" applyFont="1">
      <alignment vertical="center"/>
    </xf>
    <xf borderId="34" fillId="0" fontId="11" numFmtId="0" xfId="0" applyAlignment="1" applyBorder="1" applyFont="1">
      <alignment horizontal="right" shrinkToFit="1" vertical="center" wrapText="0"/>
    </xf>
    <xf borderId="1" fillId="2" fontId="11" numFmtId="164" xfId="0" applyAlignment="1" applyBorder="1" applyFont="1" applyNumberFormat="1">
      <alignment shrinkToFit="0" wrapText="1"/>
    </xf>
    <xf borderId="1" fillId="2" fontId="24" numFmtId="164" xfId="0" applyAlignment="1" applyBorder="1" applyFont="1" applyNumberFormat="1">
      <alignment horizontal="center" shrinkToFit="0" vertical="center" wrapText="1"/>
    </xf>
    <xf borderId="0" fillId="0" fontId="22" numFmtId="0" xfId="0" applyAlignment="1" applyFont="1">
      <alignment shrinkToFit="0" wrapText="1"/>
    </xf>
    <xf borderId="1" fillId="2" fontId="24" numFmtId="164" xfId="0" applyAlignment="1" applyBorder="1" applyFont="1" applyNumberFormat="1">
      <alignment horizontal="left" shrinkToFit="0" vertical="center" wrapText="1"/>
    </xf>
    <xf borderId="35" fillId="0" fontId="1" numFmtId="0" xfId="0" applyBorder="1" applyFont="1"/>
    <xf borderId="1" fillId="2" fontId="22" numFmtId="0" xfId="0" applyAlignment="1" applyBorder="1" applyFont="1">
      <alignment shrinkToFit="0" wrapText="1"/>
    </xf>
    <xf borderId="36" fillId="3" fontId="25" numFmtId="0" xfId="0" applyAlignment="1" applyBorder="1" applyFont="1">
      <alignment horizontal="center" vertical="center"/>
    </xf>
    <xf borderId="37" fillId="3" fontId="25" numFmtId="0" xfId="0" applyAlignment="1" applyBorder="1" applyFont="1">
      <alignment horizontal="center" vertical="center"/>
    </xf>
    <xf borderId="20" fillId="3" fontId="25" numFmtId="0" xfId="0" applyAlignment="1" applyBorder="1" applyFont="1">
      <alignment horizontal="center" vertical="center"/>
    </xf>
    <xf borderId="1" fillId="2" fontId="11" numFmtId="0" xfId="0" applyAlignment="1" applyBorder="1" applyFont="1">
      <alignment horizontal="center" shrinkToFit="0" vertical="center" wrapText="1"/>
    </xf>
    <xf borderId="3" fillId="3" fontId="25" numFmtId="0" xfId="0" applyAlignment="1" applyBorder="1" applyFont="1">
      <alignment horizontal="center" vertical="center"/>
    </xf>
    <xf borderId="1" fillId="2" fontId="25" numFmtId="0" xfId="0" applyAlignment="1" applyBorder="1" applyFont="1">
      <alignment horizontal="center" shrinkToFit="0" vertical="center" wrapText="1"/>
    </xf>
    <xf borderId="19" fillId="3" fontId="25" numFmtId="0" xfId="0" applyAlignment="1" applyBorder="1" applyFont="1">
      <alignment horizontal="center" shrinkToFit="0" vertical="center" wrapText="1"/>
    </xf>
    <xf borderId="38" fillId="3" fontId="25" numFmtId="0" xfId="0" applyAlignment="1" applyBorder="1" applyFont="1">
      <alignment horizontal="center" vertical="center"/>
    </xf>
    <xf borderId="1" fillId="2" fontId="11" numFmtId="0" xfId="0" applyBorder="1" applyFont="1"/>
    <xf borderId="0" fillId="0" fontId="11" numFmtId="0" xfId="0" applyFont="1"/>
    <xf borderId="19" fillId="3" fontId="25" numFmtId="0" xfId="0" applyAlignment="1" applyBorder="1" applyFont="1">
      <alignment horizontal="center" vertical="center"/>
    </xf>
    <xf borderId="39" fillId="3" fontId="25" numFmtId="164" xfId="0" applyAlignment="1" applyBorder="1" applyFont="1" applyNumberFormat="1">
      <alignment horizontal="center" shrinkToFit="1" vertical="center" wrapText="0"/>
    </xf>
    <xf borderId="40" fillId="0" fontId="6" numFmtId="0" xfId="0" applyBorder="1" applyFont="1"/>
    <xf borderId="36" fillId="3" fontId="25" numFmtId="0" xfId="0" applyAlignment="1" applyBorder="1" applyFont="1">
      <alignment horizontal="center" shrinkToFit="0" vertical="center" wrapText="1"/>
    </xf>
    <xf borderId="37" fillId="3" fontId="25" numFmtId="0" xfId="0" applyAlignment="1" applyBorder="1" applyFont="1">
      <alignment horizontal="center" shrinkToFit="0" vertical="center" wrapText="1"/>
    </xf>
    <xf borderId="1" fillId="3" fontId="25" numFmtId="164" xfId="0" applyAlignment="1" applyBorder="1" applyFont="1" applyNumberFormat="1">
      <alignment horizontal="center" shrinkToFit="1" vertical="center" wrapText="0"/>
    </xf>
    <xf borderId="1" fillId="3" fontId="25" numFmtId="0" xfId="0" applyAlignment="1" applyBorder="1" applyFont="1">
      <alignment horizontal="center" vertical="center"/>
    </xf>
    <xf borderId="1" fillId="2" fontId="11" numFmtId="4" xfId="0" applyAlignment="1" applyBorder="1" applyFont="1" applyNumberFormat="1">
      <alignment shrinkToFit="0" wrapText="1"/>
    </xf>
    <xf borderId="36" fillId="8" fontId="9" numFmtId="4" xfId="0" applyAlignment="1" applyBorder="1" applyFill="1" applyFont="1" applyNumberFormat="1">
      <alignment horizontal="center" shrinkToFit="0" vertical="center" wrapText="1"/>
    </xf>
    <xf borderId="37" fillId="8" fontId="9" numFmtId="1" xfId="0" applyAlignment="1" applyBorder="1" applyFont="1" applyNumberFormat="1">
      <alignment horizontal="left" shrinkToFit="0" vertical="center" wrapText="1"/>
    </xf>
    <xf borderId="20" fillId="8" fontId="9" numFmtId="4" xfId="0" applyAlignment="1" applyBorder="1" applyFont="1" applyNumberFormat="1">
      <alignment horizontal="center" shrinkToFit="0" vertical="center" wrapText="1"/>
    </xf>
    <xf borderId="37" fillId="8" fontId="9" numFmtId="4" xfId="0" applyAlignment="1" applyBorder="1" applyFont="1" applyNumberFormat="1">
      <alignment horizontal="center" shrinkToFit="0" vertical="center" wrapText="1"/>
    </xf>
    <xf borderId="36" fillId="8" fontId="9" numFmtId="164" xfId="0" applyAlignment="1" applyBorder="1" applyFont="1" applyNumberFormat="1">
      <alignment horizontal="center" shrinkToFit="0" vertical="center" wrapText="1"/>
    </xf>
    <xf borderId="37" fillId="8" fontId="9" numFmtId="164" xfId="0" applyAlignment="1" applyBorder="1" applyFont="1" applyNumberFormat="1">
      <alignment horizontal="center" shrinkToFit="0" vertical="center" wrapText="1"/>
    </xf>
    <xf borderId="20" fillId="8" fontId="9" numFmtId="164" xfId="0" applyAlignment="1" applyBorder="1" applyFont="1" applyNumberFormat="1">
      <alignment horizontal="center" shrinkToFit="0" vertical="center" wrapText="1"/>
    </xf>
    <xf borderId="36" fillId="8" fontId="7" numFmtId="164" xfId="0" applyAlignment="1" applyBorder="1" applyFont="1" applyNumberFormat="1">
      <alignment horizontal="left" shrinkToFit="0" vertical="center" wrapText="1"/>
    </xf>
    <xf borderId="1" fillId="2" fontId="9" numFmtId="4" xfId="0" applyAlignment="1" applyBorder="1" applyFont="1" applyNumberFormat="1">
      <alignment horizontal="center" shrinkToFit="0" vertical="center" wrapText="1"/>
    </xf>
    <xf borderId="41" fillId="8" fontId="9" numFmtId="4" xfId="0" applyAlignment="1" applyBorder="1" applyFont="1" applyNumberFormat="1">
      <alignment horizontal="right" shrinkToFit="0" vertical="center" wrapText="1"/>
    </xf>
    <xf borderId="0" fillId="0" fontId="1" numFmtId="4" xfId="0" applyFont="1" applyNumberFormat="1"/>
    <xf borderId="1" fillId="2" fontId="16" numFmtId="4" xfId="0" applyAlignment="1" applyBorder="1" applyFont="1" applyNumberFormat="1">
      <alignment shrinkToFit="0" wrapText="1"/>
    </xf>
    <xf borderId="10" fillId="7" fontId="26" numFmtId="4" xfId="0" applyAlignment="1" applyBorder="1" applyFont="1" applyNumberFormat="1">
      <alignment horizontal="center" shrinkToFit="0" vertical="center" wrapText="1"/>
    </xf>
    <xf borderId="42" fillId="7" fontId="7" numFmtId="1" xfId="0" applyAlignment="1" applyBorder="1" applyFont="1" applyNumberFormat="1">
      <alignment shrinkToFit="0" vertical="center" wrapText="1"/>
    </xf>
    <xf borderId="11" fillId="7" fontId="26" numFmtId="4" xfId="0" applyAlignment="1" applyBorder="1" applyFont="1" applyNumberFormat="1">
      <alignment horizontal="center" shrinkToFit="0" vertical="center" wrapText="1"/>
    </xf>
    <xf borderId="43" fillId="7" fontId="26" numFmtId="4" xfId="0" applyAlignment="1" applyBorder="1" applyFont="1" applyNumberFormat="1">
      <alignment horizontal="center" shrinkToFit="0" vertical="center" wrapText="1"/>
    </xf>
    <xf borderId="10" fillId="7" fontId="26" numFmtId="164" xfId="0" applyAlignment="1" applyBorder="1" applyFont="1" applyNumberFormat="1">
      <alignment horizontal="center" shrinkToFit="0" vertical="center" wrapText="1"/>
    </xf>
    <xf borderId="43" fillId="7" fontId="26" numFmtId="164" xfId="0" applyAlignment="1" applyBorder="1" applyFont="1" applyNumberFormat="1">
      <alignment horizontal="center" shrinkToFit="0" vertical="center" wrapText="1"/>
    </xf>
    <xf borderId="44" fillId="7" fontId="14" numFmtId="164" xfId="0" applyAlignment="1" applyBorder="1" applyFont="1" applyNumberFormat="1">
      <alignment horizontal="center" shrinkToFit="0" vertical="center" wrapText="1"/>
    </xf>
    <xf borderId="10" fillId="7" fontId="7" numFmtId="164" xfId="0" applyAlignment="1" applyBorder="1" applyFont="1" applyNumberFormat="1">
      <alignment horizontal="left" shrinkToFit="0" vertical="center" wrapText="1"/>
    </xf>
    <xf borderId="44" fillId="7" fontId="7" numFmtId="164" xfId="0" applyAlignment="1" applyBorder="1" applyFont="1" applyNumberFormat="1">
      <alignment horizontal="left" shrinkToFit="0" vertical="center" wrapText="1"/>
    </xf>
    <xf borderId="1" fillId="2" fontId="26" numFmtId="4" xfId="0" applyAlignment="1" applyBorder="1" applyFont="1" applyNumberFormat="1">
      <alignment horizontal="center" shrinkToFit="0" vertical="center" wrapText="1"/>
    </xf>
    <xf borderId="44" fillId="7" fontId="26" numFmtId="4" xfId="0" applyAlignment="1" applyBorder="1" applyFont="1" applyNumberFormat="1">
      <alignment horizontal="right" shrinkToFit="0" vertical="center" wrapText="1"/>
    </xf>
    <xf borderId="1" fillId="2" fontId="27" numFmtId="4" xfId="0" applyAlignment="1" applyBorder="1" applyFont="1" applyNumberFormat="1">
      <alignment shrinkToFit="0" wrapText="1"/>
    </xf>
    <xf borderId="23" fillId="5" fontId="14" numFmtId="4" xfId="0" applyAlignment="1" applyBorder="1" applyFont="1" applyNumberFormat="1">
      <alignment horizontal="center" shrinkToFit="0" vertical="center" wrapText="1"/>
    </xf>
    <xf borderId="13" fillId="5" fontId="14" numFmtId="4" xfId="0" applyAlignment="1" applyBorder="1" applyFont="1" applyNumberFormat="1">
      <alignment horizontal="left" shrinkToFit="0" vertical="center" wrapText="1"/>
    </xf>
    <xf borderId="23" fillId="9" fontId="14" numFmtId="4" xfId="0" applyAlignment="1" applyBorder="1" applyFill="1" applyFont="1" applyNumberFormat="1">
      <alignment horizontal="center" shrinkToFit="0" vertical="center" wrapText="1"/>
    </xf>
    <xf borderId="45" fillId="0" fontId="28" numFmtId="4" xfId="0" applyAlignment="1" applyBorder="1" applyFont="1" applyNumberFormat="1">
      <alignment horizontal="center" shrinkToFit="0" vertical="center" wrapText="1"/>
    </xf>
    <xf borderId="13" fillId="5" fontId="14" numFmtId="164" xfId="0" applyAlignment="1" applyBorder="1" applyFont="1" applyNumberFormat="1">
      <alignment horizontal="center" shrinkToFit="0" vertical="center" wrapText="1"/>
    </xf>
    <xf borderId="13" fillId="5" fontId="28" numFmtId="9" xfId="0" applyAlignment="1" applyBorder="1" applyFont="1" applyNumberFormat="1">
      <alignment horizontal="center" shrinkToFit="0" vertical="center" wrapText="1"/>
    </xf>
    <xf borderId="23" fillId="0" fontId="29" numFmtId="164" xfId="0" applyAlignment="1" applyBorder="1" applyFont="1" applyNumberFormat="1">
      <alignment horizontal="left" shrinkToFit="0" vertical="center" wrapText="1"/>
    </xf>
    <xf borderId="23" fillId="5" fontId="14" numFmtId="164" xfId="0" applyAlignment="1" applyBorder="1" applyFont="1" applyNumberFormat="1">
      <alignment horizontal="left" shrinkToFit="0" vertical="center" wrapText="1"/>
    </xf>
    <xf borderId="23" fillId="9" fontId="14" numFmtId="164" xfId="0" applyAlignment="1" applyBorder="1" applyFont="1" applyNumberFormat="1">
      <alignment horizontal="left" shrinkToFit="0" vertical="center" wrapText="1"/>
    </xf>
    <xf borderId="23" fillId="9" fontId="14" numFmtId="164" xfId="0" applyAlignment="1" applyBorder="1" applyFont="1" applyNumberFormat="1">
      <alignment horizontal="center" shrinkToFit="0" vertical="center" wrapText="1"/>
    </xf>
    <xf borderId="1" fillId="2" fontId="14" numFmtId="4" xfId="0" applyAlignment="1" applyBorder="1" applyFont="1" applyNumberFormat="1">
      <alignment horizontal="center" shrinkToFit="0" vertical="center" wrapText="1"/>
    </xf>
    <xf borderId="23" fillId="2" fontId="16" numFmtId="4" xfId="0" applyAlignment="1" applyBorder="1" applyFont="1" applyNumberFormat="1">
      <alignment shrinkToFit="0" vertical="center" wrapText="1"/>
    </xf>
    <xf borderId="46" fillId="5" fontId="14" numFmtId="4" xfId="0" applyAlignment="1" applyBorder="1" applyFont="1" applyNumberFormat="1">
      <alignment horizontal="center" shrinkToFit="0" vertical="center" wrapText="1"/>
    </xf>
    <xf borderId="1" fillId="5" fontId="14" numFmtId="4" xfId="0" applyAlignment="1" applyBorder="1" applyFont="1" applyNumberFormat="1">
      <alignment horizontal="left" shrinkToFit="0" vertical="center" wrapText="1"/>
    </xf>
    <xf borderId="47" fillId="9" fontId="14" numFmtId="4" xfId="0" applyAlignment="1" applyBorder="1" applyFont="1" applyNumberFormat="1">
      <alignment horizontal="center" shrinkToFit="0" vertical="center" wrapText="1"/>
    </xf>
    <xf borderId="48" fillId="0" fontId="28" numFmtId="4" xfId="0" applyAlignment="1" applyBorder="1" applyFont="1" applyNumberFormat="1">
      <alignment horizontal="center" shrinkToFit="0" vertical="center" wrapText="1"/>
    </xf>
    <xf borderId="0" fillId="0" fontId="28" numFmtId="4" xfId="0" applyAlignment="1" applyFont="1" applyNumberFormat="1">
      <alignment horizontal="center" shrinkToFit="0" vertical="center" wrapText="1"/>
    </xf>
    <xf borderId="46" fillId="5" fontId="14" numFmtId="164" xfId="0" applyAlignment="1" applyBorder="1" applyFont="1" applyNumberFormat="1">
      <alignment horizontal="center" shrinkToFit="0" vertical="center" wrapText="1"/>
    </xf>
    <xf borderId="1" fillId="5" fontId="28" numFmtId="9" xfId="0" applyAlignment="1" applyBorder="1" applyFont="1" applyNumberFormat="1">
      <alignment horizontal="center" shrinkToFit="0" vertical="center" wrapText="1"/>
    </xf>
    <xf borderId="1" fillId="5" fontId="14" numFmtId="164" xfId="0" applyAlignment="1" applyBorder="1" applyFont="1" applyNumberFormat="1">
      <alignment horizontal="center" shrinkToFit="0" vertical="center" wrapText="1"/>
    </xf>
    <xf borderId="49" fillId="0" fontId="29" numFmtId="164" xfId="0" applyAlignment="1" applyBorder="1" applyFont="1" applyNumberFormat="1">
      <alignment horizontal="left" shrinkToFit="0" vertical="center" wrapText="1"/>
    </xf>
    <xf borderId="46" fillId="5" fontId="14" numFmtId="164" xfId="0" applyAlignment="1" applyBorder="1" applyFont="1" applyNumberFormat="1">
      <alignment horizontal="left" shrinkToFit="0" vertical="center" wrapText="1"/>
    </xf>
    <xf borderId="46" fillId="9" fontId="14" numFmtId="164" xfId="0" applyAlignment="1" applyBorder="1" applyFont="1" applyNumberFormat="1">
      <alignment horizontal="left" shrinkToFit="0" vertical="center" wrapText="1"/>
    </xf>
    <xf borderId="46" fillId="9" fontId="14" numFmtId="164" xfId="0" applyAlignment="1" applyBorder="1" applyFont="1" applyNumberFormat="1">
      <alignment horizontal="center" shrinkToFit="0" vertical="center" wrapText="1"/>
    </xf>
    <xf borderId="30" fillId="2" fontId="16" numFmtId="4" xfId="0" applyAlignment="1" applyBorder="1" applyFont="1" applyNumberFormat="1">
      <alignment shrinkToFit="0" vertical="center" wrapText="1"/>
    </xf>
    <xf borderId="0" fillId="0" fontId="2" numFmtId="0" xfId="0" applyFont="1"/>
    <xf borderId="0" fillId="0" fontId="14" numFmtId="0" xfId="0" applyFont="1"/>
    <xf borderId="0" fillId="0" fontId="7" numFmtId="3" xfId="0" applyAlignment="1" applyFont="1" applyNumberFormat="1">
      <alignment horizontal="center"/>
    </xf>
    <xf quotePrefix="1" borderId="1" fillId="10" fontId="30" numFmtId="0" xfId="0" applyAlignment="1" applyBorder="1" applyFill="1" applyFont="1">
      <alignment shrinkToFit="0" vertical="center" wrapText="1"/>
    </xf>
    <xf quotePrefix="1" borderId="1" fillId="10" fontId="30" numFmtId="0" xfId="0" applyAlignment="1" applyBorder="1" applyFont="1">
      <alignment horizontal="center" shrinkToFit="0" vertical="center" wrapText="1"/>
    </xf>
    <xf quotePrefix="1" borderId="2" fillId="10" fontId="30" numFmtId="0" xfId="0" applyAlignment="1" applyBorder="1" applyFont="1">
      <alignment horizontal="center" shrinkToFit="0" vertical="center" wrapText="1"/>
    </xf>
    <xf borderId="0" fillId="0" fontId="30" numFmtId="0" xfId="0" applyAlignment="1" applyFont="1">
      <alignment horizontal="center" shrinkToFit="0" vertical="center" wrapText="1"/>
    </xf>
    <xf quotePrefix="1" borderId="1" fillId="10" fontId="31" numFmtId="0" xfId="0" applyBorder="1" applyFont="1"/>
    <xf borderId="1" fillId="10" fontId="31" numFmtId="0" xfId="0" applyBorder="1" applyFont="1"/>
    <xf borderId="1" fillId="8" fontId="9" numFmtId="4" xfId="0" applyAlignment="1" applyBorder="1" applyFont="1" applyNumberFormat="1">
      <alignment horizontal="center" shrinkToFit="0" vertical="center" wrapText="1"/>
    </xf>
    <xf borderId="0" fillId="0" fontId="9" numFmtId="4" xfId="0" applyAlignment="1" applyFont="1" applyNumberFormat="1">
      <alignment horizontal="center" shrinkToFit="0" vertical="center" wrapText="1"/>
    </xf>
    <xf borderId="1" fillId="7" fontId="32" numFmtId="9" xfId="0" applyAlignment="1" applyBorder="1" applyFont="1" applyNumberFormat="1">
      <alignment horizontal="center" shrinkToFit="0" vertical="center" wrapText="1"/>
    </xf>
    <xf borderId="0" fillId="0" fontId="32" numFmtId="9" xfId="0" applyAlignment="1" applyFont="1" applyNumberFormat="1">
      <alignment horizontal="center" shrinkToFit="0" vertical="center" wrapText="1"/>
    </xf>
    <xf borderId="1" fillId="9" fontId="14" numFmtId="4" xfId="0" applyAlignment="1" applyBorder="1" applyFont="1" applyNumberFormat="1">
      <alignment horizontal="center" shrinkToFit="0" vertical="center" wrapText="1"/>
    </xf>
    <xf borderId="0" fillId="0" fontId="14" numFmtId="4" xfId="0" applyAlignment="1" applyFont="1" applyNumberFormat="1">
      <alignment horizontal="center" shrinkToFit="0" vertical="center" wrapText="1"/>
    </xf>
    <xf borderId="13" fillId="5" fontId="14" numFmtId="4" xfId="0" applyAlignment="1" applyBorder="1" applyFont="1" applyNumberFormat="1">
      <alignment horizontal="left" vertical="center"/>
    </xf>
    <xf borderId="0" fillId="0" fontId="2" numFmtId="0" xfId="0" applyAlignment="1" applyFont="1">
      <alignment horizontal="center"/>
    </xf>
    <xf borderId="0" fillId="0" fontId="33" numFmtId="0" xfId="0" applyFont="1"/>
    <xf quotePrefix="1" borderId="0" fillId="0" fontId="2" numFmtId="0" xfId="0" applyFont="1"/>
    <xf borderId="0" fillId="0" fontId="13" numFmtId="0" xfId="0" applyAlignment="1" applyFont="1">
      <alignment horizontal="center"/>
    </xf>
    <xf borderId="1" fillId="7" fontId="2" numFmtId="0" xfId="0" applyBorder="1" applyFont="1"/>
    <xf borderId="1" fillId="11" fontId="2" numFmtId="0" xfId="0" applyBorder="1" applyFill="1" applyFont="1"/>
    <xf borderId="1" fillId="12" fontId="2" numFmtId="0" xfId="0" applyBorder="1" applyFill="1" applyFont="1"/>
    <xf borderId="1" fillId="4" fontId="2" numFmtId="0" xfId="0" applyAlignment="1" applyBorder="1" applyFont="1">
      <alignment horizontal="center"/>
    </xf>
    <xf borderId="1" fillId="13" fontId="2" numFmtId="0" xfId="0" applyBorder="1" applyFill="1" applyFont="1"/>
    <xf borderId="1" fillId="14" fontId="2" numFmtId="0" xfId="0" applyBorder="1" applyFill="1" applyFont="1"/>
  </cellXfs>
  <cellStyles count="1">
    <cellStyle xfId="0" name="Normal" builtinId="0"/>
  </cellStyles>
  <dxfs count="2">
    <dxf>
      <font/>
      <fill>
        <patternFill patternType="solid">
          <fgColor rgb="FF00B0F0"/>
          <bgColor rgb="FF00B0F0"/>
        </patternFill>
      </fill>
      <border/>
    </dxf>
    <dxf>
      <font/>
      <fill>
        <patternFill patternType="solid">
          <fgColor rgb="FFFF0000"/>
          <bgColor rgb="FFFF000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85725</xdr:colOff>
      <xdr:row>0</xdr:row>
      <xdr:rowOff>123825</xdr:rowOff>
    </xdr:from>
    <xdr:ext cx="2085975" cy="1133475"/>
    <xdr:pic>
      <xdr:nvPicPr>
        <xdr:cNvPr descr="RD_Principal.png"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rgb="FF002060"/>
    <outlinePr summaryBelow="0"/>
    <pageSetUpPr/>
  </sheetPr>
  <sheetViews>
    <sheetView showGridLines="0" workbookViewId="0">
      <pane xSplit="2.0" ySplit="1.0" topLeftCell="C2" activePane="bottomRight" state="frozen"/>
      <selection activeCell="C1" sqref="C1" pane="topRight"/>
      <selection activeCell="A2" sqref="A2" pane="bottomLeft"/>
      <selection activeCell="C2" sqref="C2" pane="bottomRight"/>
    </sheetView>
  </sheetViews>
  <sheetFormatPr customHeight="1" defaultColWidth="14.43" defaultRowHeight="15.0" outlineLevelCol="1" outlineLevelRow="2"/>
  <cols>
    <col customWidth="1" min="1" max="1" width="2.29"/>
    <col customWidth="1" min="2" max="2" width="21.86"/>
    <col customWidth="1" min="3" max="3" width="92.71"/>
    <col customWidth="1" min="4" max="4" width="11.43"/>
    <col customWidth="1" min="5" max="5" width="0.71"/>
    <col customWidth="1" min="6" max="8" width="15.71" outlineLevel="1"/>
    <col customWidth="1" min="9" max="9" width="14.29"/>
    <col customWidth="1" min="10" max="10" width="0.71"/>
    <col customWidth="1" min="11" max="11" width="21.0" outlineLevel="1"/>
    <col customWidth="1" min="12" max="12" width="11.43" outlineLevel="1"/>
    <col customWidth="1" min="13" max="13" width="21.43" outlineLevel="1"/>
    <col customWidth="1" min="14" max="14" width="11.43" outlineLevel="1"/>
    <col customWidth="1" min="15" max="15" width="25.29"/>
    <col customWidth="1" min="16" max="16" width="0.71"/>
    <col customWidth="1" min="17" max="17" width="22.29" outlineLevel="1"/>
    <col customWidth="1" min="18" max="19" width="21.43" outlineLevel="1"/>
    <col customWidth="1" min="20" max="21" width="25.71"/>
    <col customWidth="1" min="22" max="22" width="0.71"/>
    <col customWidth="1" min="23" max="23" width="48.57"/>
    <col customWidth="1" min="24" max="24" width="1.57"/>
    <col customWidth="1" min="25" max="26" width="11.29"/>
  </cols>
  <sheetData>
    <row r="1" ht="14.25" customHeight="1">
      <c r="A1" s="1"/>
      <c r="B1" s="1"/>
      <c r="C1" s="1"/>
      <c r="D1" s="1"/>
      <c r="E1" s="1"/>
      <c r="F1" s="1"/>
      <c r="G1" s="1"/>
      <c r="H1" s="1"/>
      <c r="I1" s="1"/>
      <c r="J1" s="1"/>
      <c r="K1" s="1"/>
      <c r="L1" s="1"/>
      <c r="M1" s="1"/>
      <c r="N1" s="1"/>
      <c r="O1" s="1"/>
      <c r="P1" s="1"/>
      <c r="Q1" s="1"/>
      <c r="R1" s="2"/>
      <c r="S1" s="2"/>
      <c r="T1" s="1"/>
      <c r="U1" s="1"/>
      <c r="V1" s="1"/>
      <c r="W1" s="1"/>
      <c r="X1" s="1"/>
      <c r="Y1" s="3"/>
      <c r="Z1" s="3"/>
    </row>
    <row r="2" ht="18.75" customHeight="1">
      <c r="A2" s="1"/>
      <c r="B2" s="3"/>
      <c r="C2" s="4" t="str">
        <f t="array" ref="C2">"RD - LPU OBRAS DE REFORMAS – 2023 - "&amp;INDEX(CTRL!$F$3:$F$29,CTRL!$E$1)</f>
        <v>RD - LPU OBRAS DE REFORMAS – 2023 - SUL</v>
      </c>
      <c r="D2" s="5"/>
      <c r="E2" s="5"/>
      <c r="F2" s="6" t="s">
        <v>0</v>
      </c>
      <c r="G2" s="7"/>
      <c r="H2" s="8"/>
      <c r="I2" s="5"/>
      <c r="J2" s="5"/>
      <c r="K2" s="6" t="s">
        <v>1</v>
      </c>
      <c r="L2" s="7"/>
      <c r="M2" s="8"/>
      <c r="N2" s="5"/>
      <c r="O2" s="9" t="s">
        <v>2</v>
      </c>
      <c r="P2" s="10"/>
      <c r="Q2" s="11"/>
      <c r="R2" s="2"/>
      <c r="S2" s="2"/>
      <c r="T2" s="5"/>
      <c r="U2" s="5"/>
      <c r="V2" s="1"/>
      <c r="W2" s="1"/>
      <c r="X2" s="1"/>
      <c r="Y2" s="3"/>
      <c r="Z2" s="3"/>
    </row>
    <row r="3" ht="18.75" customHeight="1">
      <c r="A3" s="1"/>
      <c r="B3" s="5"/>
      <c r="C3" s="12"/>
      <c r="D3" s="5"/>
      <c r="E3" s="5"/>
      <c r="F3" s="13" t="s">
        <v>3</v>
      </c>
      <c r="G3" s="14"/>
      <c r="H3" s="15"/>
      <c r="I3" s="5"/>
      <c r="J3" s="5"/>
      <c r="K3" s="16" t="s">
        <v>4</v>
      </c>
      <c r="L3" s="17"/>
      <c r="M3" s="18">
        <f>M4+M5</f>
        <v>0</v>
      </c>
      <c r="N3" s="5"/>
      <c r="O3" s="19" t="s">
        <v>5</v>
      </c>
      <c r="P3" s="20"/>
      <c r="Q3" s="21" t="s">
        <v>6</v>
      </c>
      <c r="R3" s="2"/>
      <c r="S3" s="2"/>
      <c r="T3" s="5"/>
      <c r="U3" s="5"/>
      <c r="V3" s="1"/>
      <c r="W3" s="1"/>
      <c r="X3" s="1"/>
      <c r="Y3" s="3"/>
      <c r="Z3" s="3"/>
    </row>
    <row r="4" ht="18.75" customHeight="1">
      <c r="A4" s="1"/>
      <c r="B4" s="5"/>
      <c r="C4" s="22"/>
      <c r="D4" s="5"/>
      <c r="E4" s="5"/>
      <c r="F4" s="16" t="s">
        <v>7</v>
      </c>
      <c r="G4" s="17"/>
      <c r="H4" s="18">
        <f>H5+H6+H7</f>
        <v>0</v>
      </c>
      <c r="I4" s="5"/>
      <c r="J4" s="5"/>
      <c r="K4" s="23"/>
      <c r="L4" s="24" t="s">
        <v>8</v>
      </c>
      <c r="M4" s="15"/>
      <c r="N4" s="5"/>
      <c r="O4" s="25" t="s">
        <v>9</v>
      </c>
      <c r="P4" s="26"/>
      <c r="Q4" s="27"/>
      <c r="R4" s="2"/>
      <c r="S4" s="2"/>
      <c r="T4" s="5"/>
      <c r="U4" s="5"/>
      <c r="V4" s="1"/>
      <c r="W4" s="1"/>
      <c r="X4" s="1"/>
      <c r="Y4" s="3"/>
      <c r="Z4" s="3"/>
    </row>
    <row r="5" ht="18.75" customHeight="1">
      <c r="A5" s="1"/>
      <c r="B5" s="28"/>
      <c r="C5" s="29" t="s">
        <v>10</v>
      </c>
      <c r="D5" s="28"/>
      <c r="E5" s="28"/>
      <c r="F5" s="30"/>
      <c r="G5" s="31" t="s">
        <v>11</v>
      </c>
      <c r="H5" s="15"/>
      <c r="I5" s="28"/>
      <c r="J5" s="28"/>
      <c r="K5" s="16" t="s">
        <v>12</v>
      </c>
      <c r="L5" s="17"/>
      <c r="M5" s="18">
        <f>M6+M7+M8</f>
        <v>0</v>
      </c>
      <c r="N5" s="28"/>
      <c r="O5" s="32" t="s">
        <v>13</v>
      </c>
      <c r="P5" s="33"/>
      <c r="Q5" s="27"/>
      <c r="R5" s="2"/>
      <c r="S5" s="2"/>
      <c r="T5" s="28"/>
      <c r="U5" s="28"/>
      <c r="V5" s="1"/>
      <c r="W5" s="1"/>
      <c r="X5" s="1"/>
      <c r="Y5" s="3"/>
      <c r="Z5" s="3"/>
    </row>
    <row r="6" ht="18.75" customHeight="1">
      <c r="A6" s="34"/>
      <c r="B6" s="35"/>
      <c r="C6" s="1"/>
      <c r="D6" s="36"/>
      <c r="E6" s="36"/>
      <c r="F6" s="30"/>
      <c r="G6" s="31" t="s">
        <v>14</v>
      </c>
      <c r="H6" s="15"/>
      <c r="I6" s="36"/>
      <c r="J6" s="1"/>
      <c r="K6" s="30"/>
      <c r="L6" s="31" t="s">
        <v>15</v>
      </c>
      <c r="M6" s="15"/>
      <c r="N6" s="37"/>
      <c r="O6" s="32" t="s">
        <v>16</v>
      </c>
      <c r="P6" s="33"/>
      <c r="Q6" s="27"/>
      <c r="R6" s="2"/>
      <c r="S6" s="2"/>
      <c r="T6" s="38"/>
      <c r="U6" s="38"/>
      <c r="V6" s="36"/>
      <c r="W6" s="39"/>
      <c r="X6" s="39"/>
      <c r="Y6" s="3"/>
      <c r="Z6" s="3"/>
    </row>
    <row r="7" ht="18.75" customHeight="1">
      <c r="A7" s="34"/>
      <c r="B7" s="40" t="str">
        <f>IF(CTRL!L1=1,"DROGASIL","RAIA")</f>
        <v>DROGASIL</v>
      </c>
      <c r="C7" s="41" t="s">
        <v>17</v>
      </c>
      <c r="D7" s="42"/>
      <c r="E7" s="43"/>
      <c r="F7" s="30"/>
      <c r="G7" s="31" t="s">
        <v>18</v>
      </c>
      <c r="H7" s="15"/>
      <c r="I7" s="36"/>
      <c r="J7" s="1"/>
      <c r="K7" s="30"/>
      <c r="L7" s="31" t="s">
        <v>19</v>
      </c>
      <c r="M7" s="15"/>
      <c r="N7" s="37"/>
      <c r="O7" s="32" t="s">
        <v>20</v>
      </c>
      <c r="P7" s="33"/>
      <c r="Q7" s="27"/>
      <c r="R7" s="2"/>
      <c r="S7" s="2"/>
      <c r="T7" s="44"/>
      <c r="U7" s="43"/>
      <c r="V7" s="45"/>
      <c r="W7" s="2"/>
      <c r="X7" s="2"/>
      <c r="Y7" s="3"/>
      <c r="Z7" s="3"/>
    </row>
    <row r="8" ht="18.75" customHeight="1">
      <c r="A8" s="34"/>
      <c r="B8" s="46" t="s">
        <v>21</v>
      </c>
      <c r="C8" s="47" t="s">
        <v>22</v>
      </c>
      <c r="D8" s="42"/>
      <c r="E8" s="43"/>
      <c r="F8" s="16" t="s">
        <v>23</v>
      </c>
      <c r="G8" s="17"/>
      <c r="H8" s="18">
        <f>H3+H4</f>
        <v>0</v>
      </c>
      <c r="I8" s="36"/>
      <c r="J8" s="1"/>
      <c r="K8" s="30"/>
      <c r="L8" s="31" t="s">
        <v>24</v>
      </c>
      <c r="M8" s="15"/>
      <c r="N8" s="37"/>
      <c r="O8" s="32" t="s">
        <v>25</v>
      </c>
      <c r="P8" s="33"/>
      <c r="Q8" s="27"/>
      <c r="R8" s="2"/>
      <c r="S8" s="2"/>
      <c r="T8" s="44"/>
      <c r="U8" s="43"/>
      <c r="V8" s="45"/>
      <c r="W8" s="2"/>
      <c r="X8" s="2"/>
      <c r="Y8" s="3"/>
      <c r="Z8" s="3"/>
    </row>
    <row r="9" ht="1.5" customHeight="1">
      <c r="A9" s="34"/>
      <c r="B9" s="48" t="s">
        <v>26</v>
      </c>
      <c r="C9" s="49" t="s">
        <v>27</v>
      </c>
      <c r="D9" s="42"/>
      <c r="E9" s="43"/>
      <c r="F9" s="50" t="s">
        <v>28</v>
      </c>
      <c r="G9" s="51"/>
      <c r="H9" s="52">
        <f>H3+H5</f>
        <v>0</v>
      </c>
      <c r="I9" s="36"/>
      <c r="J9" s="1"/>
      <c r="K9" s="53" t="s">
        <v>29</v>
      </c>
      <c r="L9" s="54"/>
      <c r="M9" s="55"/>
      <c r="N9" s="37"/>
      <c r="O9" s="32" t="s">
        <v>30</v>
      </c>
      <c r="P9" s="33"/>
      <c r="Q9" s="27"/>
      <c r="R9" s="2"/>
      <c r="S9" s="2"/>
      <c r="T9" s="44"/>
      <c r="U9" s="43"/>
      <c r="V9" s="45"/>
      <c r="W9" s="2"/>
      <c r="X9" s="2"/>
      <c r="Y9" s="3"/>
      <c r="Z9" s="3"/>
    </row>
    <row r="10" ht="1.5" customHeight="1">
      <c r="A10" s="34"/>
      <c r="B10" s="56" t="s">
        <v>31</v>
      </c>
      <c r="C10" s="57"/>
      <c r="D10" s="58"/>
      <c r="E10" s="42"/>
      <c r="F10" s="42"/>
      <c r="G10" s="42"/>
      <c r="H10" s="42"/>
      <c r="I10" s="59"/>
      <c r="J10" s="60"/>
      <c r="K10" s="60"/>
      <c r="L10" s="60"/>
      <c r="M10" s="60"/>
      <c r="N10" s="60"/>
      <c r="O10" s="32" t="s">
        <v>32</v>
      </c>
      <c r="P10" s="33"/>
      <c r="Q10" s="27"/>
      <c r="R10" s="2"/>
      <c r="S10" s="2"/>
      <c r="T10" s="44"/>
      <c r="U10" s="43"/>
      <c r="V10" s="45"/>
      <c r="W10" s="2"/>
      <c r="X10" s="2"/>
      <c r="Y10" s="3"/>
      <c r="Z10" s="3"/>
    </row>
    <row r="11" ht="18.75" customHeight="1">
      <c r="A11" s="61"/>
      <c r="B11" s="48" t="s">
        <v>33</v>
      </c>
      <c r="C11" s="62">
        <v>45610.0</v>
      </c>
      <c r="D11" s="42"/>
      <c r="E11" s="42"/>
      <c r="F11" s="6" t="s">
        <v>34</v>
      </c>
      <c r="G11" s="7"/>
      <c r="H11" s="8"/>
      <c r="I11" s="63"/>
      <c r="J11" s="64"/>
      <c r="K11" s="2"/>
      <c r="L11" s="2"/>
      <c r="M11" s="2"/>
      <c r="N11" s="65"/>
      <c r="O11" s="66" t="s">
        <v>35</v>
      </c>
      <c r="P11" s="67"/>
      <c r="Q11" s="68"/>
      <c r="R11" s="2"/>
      <c r="S11" s="2"/>
      <c r="T11" s="69"/>
      <c r="U11" s="42"/>
      <c r="V11" s="70"/>
      <c r="W11" s="2"/>
      <c r="X11" s="2"/>
      <c r="Y11" s="3"/>
      <c r="Z11" s="3"/>
    </row>
    <row r="12" ht="18.75" customHeight="1">
      <c r="A12" s="61"/>
      <c r="B12" s="56" t="s">
        <v>36</v>
      </c>
      <c r="C12" s="71" t="s">
        <v>37</v>
      </c>
      <c r="D12" s="42"/>
      <c r="E12" s="42"/>
      <c r="F12" s="53" t="s">
        <v>38</v>
      </c>
      <c r="G12" s="54"/>
      <c r="H12" s="72">
        <v>0.0</v>
      </c>
      <c r="I12" s="58"/>
      <c r="J12" s="64"/>
      <c r="K12" s="2"/>
      <c r="L12" s="2"/>
      <c r="M12" s="2"/>
      <c r="N12" s="73"/>
      <c r="O12" s="73"/>
      <c r="P12" s="73"/>
      <c r="Q12" s="73"/>
      <c r="R12" s="2"/>
      <c r="S12" s="2"/>
      <c r="T12" s="73"/>
      <c r="U12" s="74"/>
      <c r="V12" s="70"/>
      <c r="W12" s="2"/>
      <c r="X12" s="2"/>
      <c r="Y12" s="3"/>
      <c r="Z12" s="3"/>
    </row>
    <row r="13" ht="18.75" customHeight="1">
      <c r="A13" s="61"/>
      <c r="B13" s="75" t="s">
        <v>39</v>
      </c>
      <c r="C13" s="76" t="s">
        <v>40</v>
      </c>
      <c r="D13" s="42"/>
      <c r="E13" s="42"/>
      <c r="F13" s="35"/>
      <c r="G13" s="35"/>
      <c r="H13" s="35"/>
      <c r="I13" s="58"/>
      <c r="J13" s="64"/>
      <c r="K13" s="2"/>
      <c r="L13" s="2"/>
      <c r="M13" s="2"/>
      <c r="N13" s="73"/>
      <c r="O13" s="73"/>
      <c r="P13" s="73"/>
      <c r="Q13" s="73"/>
      <c r="R13" s="73"/>
      <c r="S13" s="73"/>
      <c r="T13" s="77"/>
      <c r="U13" s="74"/>
      <c r="V13" s="70"/>
      <c r="W13" s="2"/>
      <c r="X13" s="2"/>
      <c r="Y13" s="3"/>
      <c r="Z13" s="3"/>
    </row>
    <row r="14" ht="14.25" customHeight="1">
      <c r="A14" s="34"/>
      <c r="B14" s="35"/>
      <c r="C14" s="35"/>
      <c r="D14" s="35"/>
      <c r="E14" s="35"/>
      <c r="F14" s="35"/>
      <c r="G14" s="35"/>
      <c r="H14" s="35"/>
      <c r="I14" s="35"/>
      <c r="J14" s="35"/>
      <c r="K14" s="78"/>
      <c r="L14" s="78"/>
      <c r="M14" s="78"/>
      <c r="N14" s="78"/>
      <c r="O14" s="78"/>
      <c r="P14" s="79"/>
      <c r="Q14" s="80"/>
      <c r="R14" s="80"/>
      <c r="S14" s="69"/>
      <c r="T14" s="81"/>
      <c r="U14" s="74"/>
      <c r="V14" s="35"/>
      <c r="W14" s="39"/>
      <c r="X14" s="2"/>
      <c r="Y14" s="3"/>
      <c r="Z14" s="3"/>
    </row>
    <row r="15" ht="18.75" customHeight="1">
      <c r="A15" s="82"/>
      <c r="B15" s="83"/>
      <c r="C15" s="84" t="s">
        <v>41</v>
      </c>
      <c r="D15" s="85"/>
      <c r="E15" s="86"/>
      <c r="F15" s="87" t="s">
        <v>42</v>
      </c>
      <c r="G15" s="7"/>
      <c r="H15" s="7"/>
      <c r="I15" s="8"/>
      <c r="J15" s="88"/>
      <c r="K15" s="87" t="s">
        <v>43</v>
      </c>
      <c r="L15" s="7"/>
      <c r="M15" s="7"/>
      <c r="N15" s="7"/>
      <c r="O15" s="8"/>
      <c r="P15" s="79"/>
      <c r="Q15" s="87" t="s">
        <v>44</v>
      </c>
      <c r="R15" s="7"/>
      <c r="S15" s="8"/>
      <c r="T15" s="89" t="s">
        <v>45</v>
      </c>
      <c r="U15" s="89" t="s">
        <v>46</v>
      </c>
      <c r="V15" s="88"/>
      <c r="W15" s="90" t="s">
        <v>47</v>
      </c>
      <c r="X15" s="91"/>
      <c r="Y15" s="92"/>
      <c r="Z15" s="92"/>
    </row>
    <row r="16" ht="14.25" customHeight="1">
      <c r="A16" s="82"/>
      <c r="B16" s="93" t="s">
        <v>48</v>
      </c>
      <c r="C16" s="93" t="s">
        <v>49</v>
      </c>
      <c r="D16" s="93" t="s">
        <v>50</v>
      </c>
      <c r="E16" s="92"/>
      <c r="F16" s="89" t="s">
        <v>51</v>
      </c>
      <c r="G16" s="89" t="s">
        <v>52</v>
      </c>
      <c r="H16" s="89" t="s">
        <v>53</v>
      </c>
      <c r="I16" s="93" t="s">
        <v>45</v>
      </c>
      <c r="J16" s="88"/>
      <c r="K16" s="93" t="s">
        <v>54</v>
      </c>
      <c r="L16" s="93" t="s">
        <v>55</v>
      </c>
      <c r="M16" s="93" t="s">
        <v>56</v>
      </c>
      <c r="N16" s="93" t="s">
        <v>57</v>
      </c>
      <c r="O16" s="93" t="s">
        <v>45</v>
      </c>
      <c r="P16" s="88"/>
      <c r="Q16" s="89" t="s">
        <v>51</v>
      </c>
      <c r="R16" s="89" t="s">
        <v>52</v>
      </c>
      <c r="S16" s="89" t="s">
        <v>53</v>
      </c>
      <c r="T16" s="94">
        <f t="shared" ref="T16:U16" si="1">SUM(T18,T357,T561,T742,T786,T799)</f>
        <v>21133.56067</v>
      </c>
      <c r="U16" s="94">
        <f t="shared" si="1"/>
        <v>21133.56067</v>
      </c>
      <c r="V16" s="88"/>
      <c r="W16" s="95"/>
      <c r="X16" s="91"/>
      <c r="Y16" s="92"/>
      <c r="Z16" s="92"/>
    </row>
    <row r="17" ht="14.25" customHeight="1">
      <c r="A17" s="82"/>
      <c r="B17" s="83"/>
      <c r="C17" s="84"/>
      <c r="D17" s="85"/>
      <c r="E17" s="92"/>
      <c r="F17" s="96"/>
      <c r="G17" s="97"/>
      <c r="H17" s="97"/>
      <c r="I17" s="85"/>
      <c r="J17" s="88"/>
      <c r="K17" s="83"/>
      <c r="L17" s="84"/>
      <c r="M17" s="84"/>
      <c r="N17" s="84"/>
      <c r="O17" s="85"/>
      <c r="P17" s="88"/>
      <c r="Q17" s="96"/>
      <c r="R17" s="96"/>
      <c r="S17" s="96"/>
      <c r="T17" s="98"/>
      <c r="U17" s="98"/>
      <c r="V17" s="88"/>
      <c r="W17" s="99"/>
      <c r="X17" s="91"/>
      <c r="Y17" s="92"/>
      <c r="Z17" s="92"/>
    </row>
    <row r="18" ht="14.25" customHeight="1" collapsed="1">
      <c r="A18" s="100"/>
      <c r="B18" s="101" t="s">
        <v>58</v>
      </c>
      <c r="C18" s="102" t="s">
        <v>59</v>
      </c>
      <c r="D18" s="103"/>
      <c r="E18" s="35"/>
      <c r="F18" s="101"/>
      <c r="G18" s="104"/>
      <c r="H18" s="104"/>
      <c r="I18" s="103"/>
      <c r="J18" s="88"/>
      <c r="K18" s="105"/>
      <c r="L18" s="106"/>
      <c r="M18" s="106"/>
      <c r="N18" s="106"/>
      <c r="O18" s="107"/>
      <c r="P18" s="88"/>
      <c r="Q18" s="108"/>
      <c r="R18" s="108"/>
      <c r="S18" s="108"/>
      <c r="T18" s="108">
        <f t="shared" ref="T18:U18" si="2">T19+T23+T40+T61+T67+T72+T80+T87+T105+T108+T117+T125+T138+T165+T188+T197+T211+T225+T261+T282+T304+T313+T317+T335+T352</f>
        <v>19243.56067</v>
      </c>
      <c r="U18" s="108">
        <f t="shared" si="2"/>
        <v>19243.56067</v>
      </c>
      <c r="V18" s="109"/>
      <c r="W18" s="110"/>
      <c r="X18" s="2"/>
      <c r="Y18" s="111"/>
      <c r="Z18" s="3"/>
    </row>
    <row r="19" ht="14.25" hidden="1" customHeight="1" outlineLevel="1">
      <c r="A19" s="112"/>
      <c r="B19" s="113" t="s">
        <v>60</v>
      </c>
      <c r="C19" s="114" t="s">
        <v>61</v>
      </c>
      <c r="D19" s="115"/>
      <c r="E19" s="35"/>
      <c r="F19" s="113"/>
      <c r="G19" s="116"/>
      <c r="H19" s="116"/>
      <c r="I19" s="115"/>
      <c r="J19" s="88"/>
      <c r="K19" s="117"/>
      <c r="L19" s="118"/>
      <c r="M19" s="118"/>
      <c r="N19" s="118"/>
      <c r="O19" s="119"/>
      <c r="P19" s="88"/>
      <c r="Q19" s="120"/>
      <c r="R19" s="120"/>
      <c r="S19" s="120"/>
      <c r="T19" s="120">
        <f>SUM(T20:T22)</f>
        <v>0</v>
      </c>
      <c r="U19" s="121">
        <f t="shared" ref="U19:U355" si="3">IFERROR(T19*(1-$H$12),"")</f>
        <v>0</v>
      </c>
      <c r="V19" s="122"/>
      <c r="W19" s="123"/>
      <c r="X19" s="2"/>
      <c r="Y19" s="111"/>
      <c r="Z19" s="3"/>
    </row>
    <row r="20" ht="14.25" hidden="1" customHeight="1" outlineLevel="2">
      <c r="A20" s="124"/>
      <c r="B20" s="125" t="s">
        <v>62</v>
      </c>
      <c r="C20" s="126" t="s">
        <v>63</v>
      </c>
      <c r="D20" s="127" t="s">
        <v>64</v>
      </c>
      <c r="E20" s="35"/>
      <c r="F20" s="128"/>
      <c r="G20" s="128"/>
      <c r="H20" s="128"/>
      <c r="I20" s="127">
        <f t="shared" ref="I20:I22" si="4">F20+G20+H20</f>
        <v>0</v>
      </c>
      <c r="J20" s="88"/>
      <c r="K20" s="129">
        <f t="shared" ref="K20:K22" si="5">L20*O20</f>
        <v>0</v>
      </c>
      <c r="L20" s="130">
        <v>0.0</v>
      </c>
      <c r="M20" s="129">
        <f t="shared" ref="M20:M22" si="6">N20*O20</f>
        <v>2100</v>
      </c>
      <c r="N20" s="130">
        <f t="shared" ref="N20:N22" si="7">100%-L20</f>
        <v>1</v>
      </c>
      <c r="O20" s="131">
        <f t="array" ref="O20">INDEX('LPU Regionalizada'!$B$3:$N$785,MATCH($B20,'LPU Regionalizada'!$B$3:$B$785,0),MATCH(INDEX(CTRL!$F$3:$F$29,CTRL!$E$1),'LPU Regionalizada'!$B$3:$N$3,0))</f>
        <v>2100</v>
      </c>
      <c r="P20" s="88"/>
      <c r="Q20" s="132">
        <f t="shared" ref="Q20:Q22" si="8">F20*O20</f>
        <v>0</v>
      </c>
      <c r="R20" s="132">
        <f t="shared" ref="R20:R22" si="9">G20*O20</f>
        <v>0</v>
      </c>
      <c r="S20" s="132">
        <f t="shared" ref="S20:S22" si="10">H20*O20</f>
        <v>0</v>
      </c>
      <c r="T20" s="133">
        <f t="shared" ref="T20:T22" si="11">SUM(Q20:S20)</f>
        <v>0</v>
      </c>
      <c r="U20" s="134">
        <f t="shared" si="3"/>
        <v>0</v>
      </c>
      <c r="V20" s="135"/>
      <c r="W20" s="136"/>
      <c r="X20" s="2"/>
      <c r="Y20" s="111"/>
      <c r="Z20" s="3"/>
    </row>
    <row r="21" ht="14.25" hidden="1" customHeight="1" outlineLevel="2">
      <c r="A21" s="124"/>
      <c r="B21" s="125" t="s">
        <v>65</v>
      </c>
      <c r="C21" s="126" t="s">
        <v>66</v>
      </c>
      <c r="D21" s="127" t="s">
        <v>64</v>
      </c>
      <c r="E21" s="35"/>
      <c r="F21" s="128"/>
      <c r="G21" s="128"/>
      <c r="H21" s="128"/>
      <c r="I21" s="127">
        <f t="shared" si="4"/>
        <v>0</v>
      </c>
      <c r="J21" s="88"/>
      <c r="K21" s="129">
        <f t="shared" si="5"/>
        <v>0</v>
      </c>
      <c r="L21" s="130">
        <v>0.0</v>
      </c>
      <c r="M21" s="129">
        <f t="shared" si="6"/>
        <v>2886.57358</v>
      </c>
      <c r="N21" s="130">
        <f t="shared" si="7"/>
        <v>1</v>
      </c>
      <c r="O21" s="131">
        <f t="array" ref="O21">INDEX('LPU Regionalizada'!$B$3:$N$785,MATCH($B21,'LPU Regionalizada'!$B$3:$B$785,0),MATCH(INDEX(CTRL!$F$3:$F$29,CTRL!$E$1),'LPU Regionalizada'!$B$3:$N$3,0))</f>
        <v>2886.57358</v>
      </c>
      <c r="P21" s="88"/>
      <c r="Q21" s="132">
        <f t="shared" si="8"/>
        <v>0</v>
      </c>
      <c r="R21" s="132">
        <f t="shared" si="9"/>
        <v>0</v>
      </c>
      <c r="S21" s="132">
        <f t="shared" si="10"/>
        <v>0</v>
      </c>
      <c r="T21" s="133">
        <f t="shared" si="11"/>
        <v>0</v>
      </c>
      <c r="U21" s="134">
        <f t="shared" si="3"/>
        <v>0</v>
      </c>
      <c r="V21" s="135"/>
      <c r="W21" s="136"/>
      <c r="X21" s="2"/>
      <c r="Y21" s="111"/>
      <c r="Z21" s="3"/>
    </row>
    <row r="22" ht="14.25" hidden="1" customHeight="1" outlineLevel="2">
      <c r="A22" s="124"/>
      <c r="B22" s="125" t="s">
        <v>67</v>
      </c>
      <c r="C22" s="126" t="s">
        <v>68</v>
      </c>
      <c r="D22" s="127" t="s">
        <v>64</v>
      </c>
      <c r="E22" s="35"/>
      <c r="F22" s="128"/>
      <c r="G22" s="128"/>
      <c r="H22" s="128">
        <v>0.0</v>
      </c>
      <c r="I22" s="127">
        <f t="shared" si="4"/>
        <v>0</v>
      </c>
      <c r="J22" s="88"/>
      <c r="K22" s="129">
        <f t="shared" si="5"/>
        <v>0</v>
      </c>
      <c r="L22" s="130">
        <v>0.0</v>
      </c>
      <c r="M22" s="129">
        <f t="shared" si="6"/>
        <v>2770</v>
      </c>
      <c r="N22" s="130">
        <f t="shared" si="7"/>
        <v>1</v>
      </c>
      <c r="O22" s="131">
        <f t="array" ref="O22">INDEX('LPU Regionalizada'!$B$3:$N$785,MATCH($B22,'LPU Regionalizada'!$B$3:$B$785,0),MATCH(INDEX(CTRL!$F$3:$F$29,CTRL!$E$1),'LPU Regionalizada'!$B$3:$N$3,0))</f>
        <v>2770</v>
      </c>
      <c r="P22" s="88"/>
      <c r="Q22" s="132">
        <f t="shared" si="8"/>
        <v>0</v>
      </c>
      <c r="R22" s="132">
        <f t="shared" si="9"/>
        <v>0</v>
      </c>
      <c r="S22" s="132">
        <f t="shared" si="10"/>
        <v>0</v>
      </c>
      <c r="T22" s="133">
        <f t="shared" si="11"/>
        <v>0</v>
      </c>
      <c r="U22" s="134">
        <f t="shared" si="3"/>
        <v>0</v>
      </c>
      <c r="V22" s="135"/>
      <c r="W22" s="136"/>
      <c r="X22" s="2"/>
      <c r="Y22" s="111"/>
      <c r="Z22" s="3"/>
    </row>
    <row r="23" ht="14.25" hidden="1" customHeight="1" outlineLevel="1">
      <c r="A23" s="112"/>
      <c r="B23" s="113" t="s">
        <v>69</v>
      </c>
      <c r="C23" s="114" t="s">
        <v>70</v>
      </c>
      <c r="D23" s="115"/>
      <c r="E23" s="35"/>
      <c r="F23" s="113"/>
      <c r="G23" s="116"/>
      <c r="H23" s="116"/>
      <c r="I23" s="115"/>
      <c r="J23" s="88"/>
      <c r="K23" s="117"/>
      <c r="L23" s="118"/>
      <c r="M23" s="118"/>
      <c r="N23" s="118"/>
      <c r="O23" s="119"/>
      <c r="P23" s="88"/>
      <c r="Q23" s="120"/>
      <c r="R23" s="120"/>
      <c r="S23" s="120"/>
      <c r="T23" s="120">
        <f>SUM(T24:T39)</f>
        <v>0</v>
      </c>
      <c r="U23" s="121">
        <f t="shared" si="3"/>
        <v>0</v>
      </c>
      <c r="V23" s="122"/>
      <c r="W23" s="123"/>
      <c r="X23" s="2"/>
      <c r="Y23" s="111"/>
      <c r="Z23" s="3"/>
    </row>
    <row r="24" ht="14.25" hidden="1" customHeight="1" outlineLevel="2">
      <c r="A24" s="124"/>
      <c r="B24" s="125" t="s">
        <v>71</v>
      </c>
      <c r="C24" s="126" t="s">
        <v>72</v>
      </c>
      <c r="D24" s="127" t="s">
        <v>73</v>
      </c>
      <c r="E24" s="35"/>
      <c r="F24" s="128"/>
      <c r="G24" s="128"/>
      <c r="H24" s="128"/>
      <c r="I24" s="127">
        <f t="shared" ref="I24:I39" si="12">F24+G24+H24</f>
        <v>0</v>
      </c>
      <c r="J24" s="88"/>
      <c r="K24" s="129">
        <f t="shared" ref="K24:K39" si="13">L24*O24</f>
        <v>1255.327445</v>
      </c>
      <c r="L24" s="130">
        <v>0.9</v>
      </c>
      <c r="M24" s="129">
        <f t="shared" ref="M24:M39" si="14">N24*O24</f>
        <v>139.4808272</v>
      </c>
      <c r="N24" s="130">
        <f t="shared" ref="N24:N39" si="15">100%-L24</f>
        <v>0.1</v>
      </c>
      <c r="O24" s="131">
        <f t="array" ref="O24">INDEX('LPU Regionalizada'!$B$3:$N$785,MATCH($B24,'LPU Regionalizada'!$B$3:$B$785,0),MATCH(INDEX(CTRL!$F$3:$F$29,CTRL!$E$1),'LPU Regionalizada'!$B$3:$N$3,0))</f>
        <v>1394.808272</v>
      </c>
      <c r="P24" s="88"/>
      <c r="Q24" s="132">
        <f t="shared" ref="Q24:Q39" si="16">F24*O24</f>
        <v>0</v>
      </c>
      <c r="R24" s="132">
        <f t="shared" ref="R24:R39" si="17">G24*O24</f>
        <v>0</v>
      </c>
      <c r="S24" s="132">
        <f t="shared" ref="S24:S39" si="18">H24*O24</f>
        <v>0</v>
      </c>
      <c r="T24" s="133">
        <f t="shared" ref="T24:T39" si="19">SUM(Q24:S24)</f>
        <v>0</v>
      </c>
      <c r="U24" s="134">
        <f t="shared" si="3"/>
        <v>0</v>
      </c>
      <c r="V24" s="135"/>
      <c r="W24" s="136"/>
      <c r="X24" s="2"/>
      <c r="Y24" s="111"/>
      <c r="Z24" s="3"/>
    </row>
    <row r="25" ht="14.25" hidden="1" customHeight="1" outlineLevel="2">
      <c r="A25" s="124"/>
      <c r="B25" s="125" t="s">
        <v>74</v>
      </c>
      <c r="C25" s="126" t="s">
        <v>75</v>
      </c>
      <c r="D25" s="127" t="s">
        <v>76</v>
      </c>
      <c r="E25" s="35"/>
      <c r="F25" s="128"/>
      <c r="G25" s="128"/>
      <c r="H25" s="128"/>
      <c r="I25" s="127">
        <f t="shared" si="12"/>
        <v>0</v>
      </c>
      <c r="J25" s="88"/>
      <c r="K25" s="129">
        <f t="shared" si="13"/>
        <v>153.7609263</v>
      </c>
      <c r="L25" s="130">
        <v>0.6</v>
      </c>
      <c r="M25" s="129">
        <f t="shared" si="14"/>
        <v>102.5072842</v>
      </c>
      <c r="N25" s="130">
        <f t="shared" si="15"/>
        <v>0.4</v>
      </c>
      <c r="O25" s="131">
        <f t="array" ref="O25">INDEX('LPU Regionalizada'!$B$3:$N$785,MATCH($B25,'LPU Regionalizada'!$B$3:$B$785,0),MATCH(INDEX(CTRL!$F$3:$F$29,CTRL!$E$1),'LPU Regionalizada'!$B$3:$N$3,0))</f>
        <v>256.2682105</v>
      </c>
      <c r="P25" s="88"/>
      <c r="Q25" s="132">
        <f t="shared" si="16"/>
        <v>0</v>
      </c>
      <c r="R25" s="132">
        <f t="shared" si="17"/>
        <v>0</v>
      </c>
      <c r="S25" s="132">
        <f t="shared" si="18"/>
        <v>0</v>
      </c>
      <c r="T25" s="133">
        <f t="shared" si="19"/>
        <v>0</v>
      </c>
      <c r="U25" s="134">
        <f t="shared" si="3"/>
        <v>0</v>
      </c>
      <c r="V25" s="135"/>
      <c r="W25" s="136"/>
      <c r="X25" s="2"/>
      <c r="Y25" s="111"/>
      <c r="Z25" s="3"/>
    </row>
    <row r="26" ht="14.25" hidden="1" customHeight="1" outlineLevel="2">
      <c r="A26" s="124"/>
      <c r="B26" s="125" t="s">
        <v>77</v>
      </c>
      <c r="C26" s="126" t="s">
        <v>78</v>
      </c>
      <c r="D26" s="127" t="s">
        <v>76</v>
      </c>
      <c r="E26" s="35"/>
      <c r="F26" s="128"/>
      <c r="G26" s="128"/>
      <c r="H26" s="128"/>
      <c r="I26" s="127">
        <f t="shared" si="12"/>
        <v>0</v>
      </c>
      <c r="J26" s="88"/>
      <c r="K26" s="129">
        <f t="shared" si="13"/>
        <v>17.262</v>
      </c>
      <c r="L26" s="130">
        <v>0.6</v>
      </c>
      <c r="M26" s="129">
        <f t="shared" si="14"/>
        <v>11.508</v>
      </c>
      <c r="N26" s="130">
        <f t="shared" si="15"/>
        <v>0.4</v>
      </c>
      <c r="O26" s="131">
        <f t="array" ref="O26">INDEX('LPU Regionalizada'!$B$3:$N$785,MATCH($B26,'LPU Regionalizada'!$B$3:$B$785,0),MATCH(INDEX(CTRL!$F$3:$F$29,CTRL!$E$1),'LPU Regionalizada'!$B$3:$N$3,0))</f>
        <v>28.77</v>
      </c>
      <c r="P26" s="88"/>
      <c r="Q26" s="132">
        <f t="shared" si="16"/>
        <v>0</v>
      </c>
      <c r="R26" s="132">
        <f t="shared" si="17"/>
        <v>0</v>
      </c>
      <c r="S26" s="132">
        <f t="shared" si="18"/>
        <v>0</v>
      </c>
      <c r="T26" s="133">
        <f t="shared" si="19"/>
        <v>0</v>
      </c>
      <c r="U26" s="134">
        <f t="shared" si="3"/>
        <v>0</v>
      </c>
      <c r="V26" s="135"/>
      <c r="W26" s="136"/>
      <c r="X26" s="2"/>
      <c r="Y26" s="111"/>
      <c r="Z26" s="3"/>
    </row>
    <row r="27" ht="14.25" hidden="1" customHeight="1" outlineLevel="2">
      <c r="A27" s="124"/>
      <c r="B27" s="125" t="s">
        <v>79</v>
      </c>
      <c r="C27" s="126" t="s">
        <v>80</v>
      </c>
      <c r="D27" s="127" t="s">
        <v>73</v>
      </c>
      <c r="E27" s="35"/>
      <c r="F27" s="128"/>
      <c r="G27" s="128"/>
      <c r="H27" s="128"/>
      <c r="I27" s="127">
        <f t="shared" si="12"/>
        <v>0</v>
      </c>
      <c r="J27" s="88"/>
      <c r="K27" s="129">
        <f t="shared" si="13"/>
        <v>2066.521472</v>
      </c>
      <c r="L27" s="130">
        <v>0.6</v>
      </c>
      <c r="M27" s="129">
        <f t="shared" si="14"/>
        <v>1377.680982</v>
      </c>
      <c r="N27" s="130">
        <f t="shared" si="15"/>
        <v>0.4</v>
      </c>
      <c r="O27" s="131">
        <f t="array" ref="O27">INDEX('LPU Regionalizada'!$B$3:$N$785,MATCH($B27,'LPU Regionalizada'!$B$3:$B$785,0),MATCH(INDEX(CTRL!$F$3:$F$29,CTRL!$E$1),'LPU Regionalizada'!$B$3:$N$3,0))</f>
        <v>3444.202454</v>
      </c>
      <c r="P27" s="88"/>
      <c r="Q27" s="132">
        <f t="shared" si="16"/>
        <v>0</v>
      </c>
      <c r="R27" s="132">
        <f t="shared" si="17"/>
        <v>0</v>
      </c>
      <c r="S27" s="132">
        <f t="shared" si="18"/>
        <v>0</v>
      </c>
      <c r="T27" s="133">
        <f t="shared" si="19"/>
        <v>0</v>
      </c>
      <c r="U27" s="134">
        <f t="shared" si="3"/>
        <v>0</v>
      </c>
      <c r="V27" s="135"/>
      <c r="W27" s="136"/>
      <c r="X27" s="2"/>
      <c r="Y27" s="111"/>
      <c r="Z27" s="3"/>
    </row>
    <row r="28" ht="14.25" hidden="1" customHeight="1" outlineLevel="2">
      <c r="A28" s="124"/>
      <c r="B28" s="125" t="s">
        <v>81</v>
      </c>
      <c r="C28" s="126" t="s">
        <v>82</v>
      </c>
      <c r="D28" s="127" t="s">
        <v>73</v>
      </c>
      <c r="E28" s="35"/>
      <c r="F28" s="128"/>
      <c r="G28" s="128"/>
      <c r="H28" s="128"/>
      <c r="I28" s="127">
        <f t="shared" si="12"/>
        <v>0</v>
      </c>
      <c r="J28" s="88"/>
      <c r="K28" s="129">
        <f t="shared" si="13"/>
        <v>2629.06644</v>
      </c>
      <c r="L28" s="130">
        <v>0.6</v>
      </c>
      <c r="M28" s="129">
        <f t="shared" si="14"/>
        <v>1752.71096</v>
      </c>
      <c r="N28" s="130">
        <f t="shared" si="15"/>
        <v>0.4</v>
      </c>
      <c r="O28" s="131">
        <f t="array" ref="O28">INDEX('LPU Regionalizada'!$B$3:$N$785,MATCH($B28,'LPU Regionalizada'!$B$3:$B$785,0),MATCH(INDEX(CTRL!$F$3:$F$29,CTRL!$E$1),'LPU Regionalizada'!$B$3:$N$3,0))</f>
        <v>4381.7774</v>
      </c>
      <c r="P28" s="88"/>
      <c r="Q28" s="132">
        <f t="shared" si="16"/>
        <v>0</v>
      </c>
      <c r="R28" s="132">
        <f t="shared" si="17"/>
        <v>0</v>
      </c>
      <c r="S28" s="132">
        <f t="shared" si="18"/>
        <v>0</v>
      </c>
      <c r="T28" s="133">
        <f t="shared" si="19"/>
        <v>0</v>
      </c>
      <c r="U28" s="134">
        <f t="shared" si="3"/>
        <v>0</v>
      </c>
      <c r="V28" s="135"/>
      <c r="W28" s="136"/>
      <c r="X28" s="2"/>
      <c r="Y28" s="111"/>
      <c r="Z28" s="3"/>
    </row>
    <row r="29" ht="14.25" hidden="1" customHeight="1" outlineLevel="2">
      <c r="A29" s="124"/>
      <c r="B29" s="125" t="s">
        <v>83</v>
      </c>
      <c r="C29" s="126" t="s">
        <v>84</v>
      </c>
      <c r="D29" s="127" t="s">
        <v>73</v>
      </c>
      <c r="E29" s="35"/>
      <c r="F29" s="128"/>
      <c r="G29" s="128"/>
      <c r="H29" s="128"/>
      <c r="I29" s="127">
        <f t="shared" si="12"/>
        <v>0</v>
      </c>
      <c r="J29" s="88"/>
      <c r="K29" s="129">
        <f t="shared" si="13"/>
        <v>3047.7132</v>
      </c>
      <c r="L29" s="130">
        <v>0.6</v>
      </c>
      <c r="M29" s="129">
        <f t="shared" si="14"/>
        <v>2031.8088</v>
      </c>
      <c r="N29" s="130">
        <f t="shared" si="15"/>
        <v>0.4</v>
      </c>
      <c r="O29" s="131">
        <f t="array" ref="O29">INDEX('LPU Regionalizada'!$B$3:$N$785,MATCH($B29,'LPU Regionalizada'!$B$3:$B$785,0),MATCH(INDEX(CTRL!$F$3:$F$29,CTRL!$E$1),'LPU Regionalizada'!$B$3:$N$3,0))</f>
        <v>5079.522</v>
      </c>
      <c r="P29" s="88"/>
      <c r="Q29" s="132">
        <f t="shared" si="16"/>
        <v>0</v>
      </c>
      <c r="R29" s="132">
        <f t="shared" si="17"/>
        <v>0</v>
      </c>
      <c r="S29" s="132">
        <f t="shared" si="18"/>
        <v>0</v>
      </c>
      <c r="T29" s="133">
        <f t="shared" si="19"/>
        <v>0</v>
      </c>
      <c r="U29" s="134">
        <f t="shared" si="3"/>
        <v>0</v>
      </c>
      <c r="V29" s="135"/>
      <c r="W29" s="136"/>
      <c r="X29" s="2"/>
      <c r="Y29" s="111"/>
      <c r="Z29" s="3"/>
    </row>
    <row r="30" ht="14.25" hidden="1" customHeight="1" outlineLevel="2">
      <c r="A30" s="124"/>
      <c r="B30" s="125" t="s">
        <v>85</v>
      </c>
      <c r="C30" s="126" t="s">
        <v>86</v>
      </c>
      <c r="D30" s="127" t="s">
        <v>76</v>
      </c>
      <c r="E30" s="35"/>
      <c r="F30" s="128"/>
      <c r="G30" s="128"/>
      <c r="H30" s="128"/>
      <c r="I30" s="127">
        <f t="shared" si="12"/>
        <v>0</v>
      </c>
      <c r="J30" s="88"/>
      <c r="K30" s="129">
        <f t="shared" si="13"/>
        <v>0</v>
      </c>
      <c r="L30" s="130">
        <v>0.0</v>
      </c>
      <c r="M30" s="129">
        <f t="shared" si="14"/>
        <v>6.145962</v>
      </c>
      <c r="N30" s="130">
        <f t="shared" si="15"/>
        <v>1</v>
      </c>
      <c r="O30" s="131">
        <f t="array" ref="O30">INDEX('LPU Regionalizada'!$B$3:$N$785,MATCH($B30,'LPU Regionalizada'!$B$3:$B$785,0),MATCH(INDEX(CTRL!$F$3:$F$29,CTRL!$E$1),'LPU Regionalizada'!$B$3:$N$3,0))</f>
        <v>6.145962</v>
      </c>
      <c r="P30" s="88"/>
      <c r="Q30" s="132">
        <f t="shared" si="16"/>
        <v>0</v>
      </c>
      <c r="R30" s="132">
        <f t="shared" si="17"/>
        <v>0</v>
      </c>
      <c r="S30" s="132">
        <f t="shared" si="18"/>
        <v>0</v>
      </c>
      <c r="T30" s="133">
        <f t="shared" si="19"/>
        <v>0</v>
      </c>
      <c r="U30" s="134">
        <f t="shared" si="3"/>
        <v>0</v>
      </c>
      <c r="V30" s="135"/>
      <c r="W30" s="136"/>
      <c r="X30" s="2"/>
      <c r="Y30" s="111"/>
      <c r="Z30" s="3"/>
    </row>
    <row r="31" ht="14.25" hidden="1" customHeight="1" outlineLevel="2">
      <c r="A31" s="124"/>
      <c r="B31" s="125" t="s">
        <v>87</v>
      </c>
      <c r="C31" s="126" t="s">
        <v>88</v>
      </c>
      <c r="D31" s="127" t="s">
        <v>76</v>
      </c>
      <c r="E31" s="35"/>
      <c r="F31" s="128"/>
      <c r="G31" s="128"/>
      <c r="H31" s="128"/>
      <c r="I31" s="127">
        <f t="shared" si="12"/>
        <v>0</v>
      </c>
      <c r="J31" s="88"/>
      <c r="K31" s="129">
        <f t="shared" si="13"/>
        <v>0</v>
      </c>
      <c r="L31" s="130">
        <v>0.0</v>
      </c>
      <c r="M31" s="129">
        <f t="shared" si="14"/>
        <v>11.93333333</v>
      </c>
      <c r="N31" s="130">
        <f t="shared" si="15"/>
        <v>1</v>
      </c>
      <c r="O31" s="131">
        <f t="array" ref="O31">INDEX('LPU Regionalizada'!$B$3:$N$785,MATCH($B31,'LPU Regionalizada'!$B$3:$B$785,0),MATCH(INDEX(CTRL!$F$3:$F$29,CTRL!$E$1),'LPU Regionalizada'!$B$3:$N$3,0))</f>
        <v>11.93333333</v>
      </c>
      <c r="P31" s="88"/>
      <c r="Q31" s="132">
        <f t="shared" si="16"/>
        <v>0</v>
      </c>
      <c r="R31" s="132">
        <f t="shared" si="17"/>
        <v>0</v>
      </c>
      <c r="S31" s="132">
        <f t="shared" si="18"/>
        <v>0</v>
      </c>
      <c r="T31" s="133">
        <f t="shared" si="19"/>
        <v>0</v>
      </c>
      <c r="U31" s="134">
        <f t="shared" si="3"/>
        <v>0</v>
      </c>
      <c r="V31" s="135"/>
      <c r="W31" s="136"/>
      <c r="X31" s="2"/>
      <c r="Y31" s="111"/>
      <c r="Z31" s="3"/>
    </row>
    <row r="32" ht="14.25" hidden="1" customHeight="1" outlineLevel="2">
      <c r="A32" s="124"/>
      <c r="B32" s="125" t="s">
        <v>89</v>
      </c>
      <c r="C32" s="126" t="s">
        <v>90</v>
      </c>
      <c r="D32" s="127" t="s">
        <v>76</v>
      </c>
      <c r="E32" s="35"/>
      <c r="F32" s="128"/>
      <c r="G32" s="128"/>
      <c r="H32" s="128"/>
      <c r="I32" s="127">
        <f t="shared" si="12"/>
        <v>0</v>
      </c>
      <c r="J32" s="88"/>
      <c r="K32" s="129">
        <f t="shared" si="13"/>
        <v>53.58</v>
      </c>
      <c r="L32" s="130">
        <v>0.6</v>
      </c>
      <c r="M32" s="129">
        <f t="shared" si="14"/>
        <v>35.72</v>
      </c>
      <c r="N32" s="130">
        <f t="shared" si="15"/>
        <v>0.4</v>
      </c>
      <c r="O32" s="131">
        <f t="array" ref="O32">INDEX('LPU Regionalizada'!$B$3:$N$785,MATCH($B32,'LPU Regionalizada'!$B$3:$B$785,0),MATCH(INDEX(CTRL!$F$3:$F$29,CTRL!$E$1),'LPU Regionalizada'!$B$3:$N$3,0))</f>
        <v>89.3</v>
      </c>
      <c r="P32" s="88"/>
      <c r="Q32" s="132">
        <f t="shared" si="16"/>
        <v>0</v>
      </c>
      <c r="R32" s="132">
        <f t="shared" si="17"/>
        <v>0</v>
      </c>
      <c r="S32" s="132">
        <f t="shared" si="18"/>
        <v>0</v>
      </c>
      <c r="T32" s="133">
        <f t="shared" si="19"/>
        <v>0</v>
      </c>
      <c r="U32" s="134">
        <f t="shared" si="3"/>
        <v>0</v>
      </c>
      <c r="V32" s="135"/>
      <c r="W32" s="136"/>
      <c r="X32" s="2"/>
      <c r="Y32" s="111"/>
      <c r="Z32" s="3"/>
    </row>
    <row r="33" ht="14.25" hidden="1" customHeight="1" outlineLevel="2">
      <c r="A33" s="124"/>
      <c r="B33" s="125" t="s">
        <v>91</v>
      </c>
      <c r="C33" s="126" t="s">
        <v>92</v>
      </c>
      <c r="D33" s="127" t="s">
        <v>76</v>
      </c>
      <c r="E33" s="35"/>
      <c r="F33" s="128"/>
      <c r="G33" s="128"/>
      <c r="H33" s="128"/>
      <c r="I33" s="127">
        <f t="shared" si="12"/>
        <v>0</v>
      </c>
      <c r="J33" s="88"/>
      <c r="K33" s="129">
        <f t="shared" si="13"/>
        <v>32.41554</v>
      </c>
      <c r="L33" s="130">
        <v>0.6</v>
      </c>
      <c r="M33" s="129">
        <f t="shared" si="14"/>
        <v>21.61036</v>
      </c>
      <c r="N33" s="130">
        <f t="shared" si="15"/>
        <v>0.4</v>
      </c>
      <c r="O33" s="131">
        <f t="array" ref="O33">INDEX('LPU Regionalizada'!$B$3:$N$785,MATCH($B33,'LPU Regionalizada'!$B$3:$B$785,0),MATCH(INDEX(CTRL!$F$3:$F$29,CTRL!$E$1),'LPU Regionalizada'!$B$3:$N$3,0))</f>
        <v>54.0259</v>
      </c>
      <c r="P33" s="88"/>
      <c r="Q33" s="132">
        <f t="shared" si="16"/>
        <v>0</v>
      </c>
      <c r="R33" s="132">
        <f t="shared" si="17"/>
        <v>0</v>
      </c>
      <c r="S33" s="132">
        <f t="shared" si="18"/>
        <v>0</v>
      </c>
      <c r="T33" s="133">
        <f t="shared" si="19"/>
        <v>0</v>
      </c>
      <c r="U33" s="134">
        <f t="shared" si="3"/>
        <v>0</v>
      </c>
      <c r="V33" s="135"/>
      <c r="W33" s="136"/>
      <c r="X33" s="2"/>
      <c r="Y33" s="111"/>
      <c r="Z33" s="3"/>
    </row>
    <row r="34" ht="14.25" hidden="1" customHeight="1" outlineLevel="2">
      <c r="A34" s="124"/>
      <c r="B34" s="125" t="s">
        <v>93</v>
      </c>
      <c r="C34" s="126" t="s">
        <v>94</v>
      </c>
      <c r="D34" s="127" t="s">
        <v>76</v>
      </c>
      <c r="E34" s="35"/>
      <c r="F34" s="128"/>
      <c r="G34" s="128"/>
      <c r="H34" s="128"/>
      <c r="I34" s="127">
        <f t="shared" si="12"/>
        <v>0</v>
      </c>
      <c r="J34" s="88"/>
      <c r="K34" s="129">
        <f t="shared" si="13"/>
        <v>60.978</v>
      </c>
      <c r="L34" s="130">
        <v>0.6</v>
      </c>
      <c r="M34" s="129">
        <f t="shared" si="14"/>
        <v>40.652</v>
      </c>
      <c r="N34" s="130">
        <f t="shared" si="15"/>
        <v>0.4</v>
      </c>
      <c r="O34" s="131">
        <f t="array" ref="O34">INDEX('LPU Regionalizada'!$B$3:$N$785,MATCH($B34,'LPU Regionalizada'!$B$3:$B$785,0),MATCH(INDEX(CTRL!$F$3:$F$29,CTRL!$E$1),'LPU Regionalizada'!$B$3:$N$3,0))</f>
        <v>101.63</v>
      </c>
      <c r="P34" s="88"/>
      <c r="Q34" s="132">
        <f t="shared" si="16"/>
        <v>0</v>
      </c>
      <c r="R34" s="132">
        <f t="shared" si="17"/>
        <v>0</v>
      </c>
      <c r="S34" s="132">
        <f t="shared" si="18"/>
        <v>0</v>
      </c>
      <c r="T34" s="133">
        <f t="shared" si="19"/>
        <v>0</v>
      </c>
      <c r="U34" s="134">
        <f t="shared" si="3"/>
        <v>0</v>
      </c>
      <c r="V34" s="135"/>
      <c r="W34" s="136"/>
      <c r="X34" s="2"/>
      <c r="Y34" s="111"/>
      <c r="Z34" s="3"/>
    </row>
    <row r="35" ht="14.25" hidden="1" customHeight="1" outlineLevel="2">
      <c r="A35" s="124"/>
      <c r="B35" s="125" t="s">
        <v>95</v>
      </c>
      <c r="C35" s="126" t="s">
        <v>96</v>
      </c>
      <c r="D35" s="127" t="s">
        <v>76</v>
      </c>
      <c r="E35" s="35"/>
      <c r="F35" s="128"/>
      <c r="G35" s="128"/>
      <c r="H35" s="128"/>
      <c r="I35" s="127">
        <f t="shared" si="12"/>
        <v>0</v>
      </c>
      <c r="J35" s="88"/>
      <c r="K35" s="129">
        <f t="shared" si="13"/>
        <v>49.04400801</v>
      </c>
      <c r="L35" s="130">
        <v>0.6</v>
      </c>
      <c r="M35" s="129">
        <f t="shared" si="14"/>
        <v>32.69600534</v>
      </c>
      <c r="N35" s="130">
        <f t="shared" si="15"/>
        <v>0.4</v>
      </c>
      <c r="O35" s="131">
        <f t="array" ref="O35">INDEX('LPU Regionalizada'!$B$3:$N$785,MATCH($B35,'LPU Regionalizada'!$B$3:$B$785,0),MATCH(INDEX(CTRL!$F$3:$F$29,CTRL!$E$1),'LPU Regionalizada'!$B$3:$N$3,0))</f>
        <v>81.74001335</v>
      </c>
      <c r="P35" s="88"/>
      <c r="Q35" s="132">
        <f t="shared" si="16"/>
        <v>0</v>
      </c>
      <c r="R35" s="132">
        <f t="shared" si="17"/>
        <v>0</v>
      </c>
      <c r="S35" s="132">
        <f t="shared" si="18"/>
        <v>0</v>
      </c>
      <c r="T35" s="133">
        <f t="shared" si="19"/>
        <v>0</v>
      </c>
      <c r="U35" s="134">
        <f t="shared" si="3"/>
        <v>0</v>
      </c>
      <c r="V35" s="135"/>
      <c r="W35" s="136"/>
      <c r="X35" s="2"/>
      <c r="Y35" s="111"/>
      <c r="Z35" s="3"/>
    </row>
    <row r="36" ht="14.25" hidden="1" customHeight="1" outlineLevel="2">
      <c r="A36" s="124"/>
      <c r="B36" s="125" t="s">
        <v>97</v>
      </c>
      <c r="C36" s="126" t="s">
        <v>98</v>
      </c>
      <c r="D36" s="127" t="s">
        <v>76</v>
      </c>
      <c r="E36" s="35"/>
      <c r="F36" s="128"/>
      <c r="G36" s="128"/>
      <c r="H36" s="128"/>
      <c r="I36" s="127">
        <f t="shared" si="12"/>
        <v>0</v>
      </c>
      <c r="J36" s="88"/>
      <c r="K36" s="129">
        <f t="shared" si="13"/>
        <v>73.38896332</v>
      </c>
      <c r="L36" s="130">
        <v>0.6</v>
      </c>
      <c r="M36" s="129">
        <f t="shared" si="14"/>
        <v>48.92597554</v>
      </c>
      <c r="N36" s="130">
        <f t="shared" si="15"/>
        <v>0.4</v>
      </c>
      <c r="O36" s="131">
        <f t="array" ref="O36">INDEX('LPU Regionalizada'!$B$3:$N$785,MATCH($B36,'LPU Regionalizada'!$B$3:$B$785,0),MATCH(INDEX(CTRL!$F$3:$F$29,CTRL!$E$1),'LPU Regionalizada'!$B$3:$N$3,0))</f>
        <v>122.3149389</v>
      </c>
      <c r="P36" s="88"/>
      <c r="Q36" s="132">
        <f t="shared" si="16"/>
        <v>0</v>
      </c>
      <c r="R36" s="132">
        <f t="shared" si="17"/>
        <v>0</v>
      </c>
      <c r="S36" s="132">
        <f t="shared" si="18"/>
        <v>0</v>
      </c>
      <c r="T36" s="133">
        <f t="shared" si="19"/>
        <v>0</v>
      </c>
      <c r="U36" s="134">
        <f t="shared" si="3"/>
        <v>0</v>
      </c>
      <c r="V36" s="135"/>
      <c r="W36" s="136"/>
      <c r="X36" s="2"/>
      <c r="Y36" s="111"/>
      <c r="Z36" s="3"/>
    </row>
    <row r="37" ht="14.25" hidden="1" customHeight="1" outlineLevel="2">
      <c r="A37" s="124"/>
      <c r="B37" s="125" t="s">
        <v>99</v>
      </c>
      <c r="C37" s="126" t="s">
        <v>100</v>
      </c>
      <c r="D37" s="127" t="s">
        <v>76</v>
      </c>
      <c r="E37" s="35"/>
      <c r="F37" s="128"/>
      <c r="G37" s="128"/>
      <c r="H37" s="128"/>
      <c r="I37" s="127">
        <f t="shared" si="12"/>
        <v>0</v>
      </c>
      <c r="J37" s="88"/>
      <c r="K37" s="129">
        <f t="shared" si="13"/>
        <v>15.31005829</v>
      </c>
      <c r="L37" s="130">
        <v>0.6</v>
      </c>
      <c r="M37" s="129">
        <f t="shared" si="14"/>
        <v>10.20670553</v>
      </c>
      <c r="N37" s="130">
        <f t="shared" si="15"/>
        <v>0.4</v>
      </c>
      <c r="O37" s="131">
        <f t="array" ref="O37">INDEX('LPU Regionalizada'!$B$3:$N$785,MATCH($B37,'LPU Regionalizada'!$B$3:$B$785,0),MATCH(INDEX(CTRL!$F$3:$F$29,CTRL!$E$1),'LPU Regionalizada'!$B$3:$N$3,0))</f>
        <v>25.51676381</v>
      </c>
      <c r="P37" s="88"/>
      <c r="Q37" s="132">
        <f t="shared" si="16"/>
        <v>0</v>
      </c>
      <c r="R37" s="132">
        <f t="shared" si="17"/>
        <v>0</v>
      </c>
      <c r="S37" s="132">
        <f t="shared" si="18"/>
        <v>0</v>
      </c>
      <c r="T37" s="133">
        <f t="shared" si="19"/>
        <v>0</v>
      </c>
      <c r="U37" s="134">
        <f t="shared" si="3"/>
        <v>0</v>
      </c>
      <c r="V37" s="135"/>
      <c r="W37" s="136"/>
      <c r="X37" s="2"/>
      <c r="Y37" s="111"/>
      <c r="Z37" s="3"/>
    </row>
    <row r="38" ht="14.25" hidden="1" customHeight="1" outlineLevel="2">
      <c r="A38" s="124"/>
      <c r="B38" s="125" t="s">
        <v>101</v>
      </c>
      <c r="C38" s="126" t="s">
        <v>102</v>
      </c>
      <c r="D38" s="127" t="s">
        <v>76</v>
      </c>
      <c r="E38" s="35"/>
      <c r="F38" s="128"/>
      <c r="G38" s="128"/>
      <c r="H38" s="128"/>
      <c r="I38" s="127">
        <f t="shared" si="12"/>
        <v>0</v>
      </c>
      <c r="J38" s="88"/>
      <c r="K38" s="129">
        <f t="shared" si="13"/>
        <v>15.01177122</v>
      </c>
      <c r="L38" s="130">
        <v>0.6</v>
      </c>
      <c r="M38" s="129">
        <f t="shared" si="14"/>
        <v>10.00784748</v>
      </c>
      <c r="N38" s="130">
        <f t="shared" si="15"/>
        <v>0.4</v>
      </c>
      <c r="O38" s="131">
        <f t="array" ref="O38">INDEX('LPU Regionalizada'!$B$3:$N$785,MATCH($B38,'LPU Regionalizada'!$B$3:$B$785,0),MATCH(INDEX(CTRL!$F$3:$F$29,CTRL!$E$1),'LPU Regionalizada'!$B$3:$N$3,0))</f>
        <v>25.0196187</v>
      </c>
      <c r="P38" s="88"/>
      <c r="Q38" s="132">
        <f t="shared" si="16"/>
        <v>0</v>
      </c>
      <c r="R38" s="132">
        <f t="shared" si="17"/>
        <v>0</v>
      </c>
      <c r="S38" s="132">
        <f t="shared" si="18"/>
        <v>0</v>
      </c>
      <c r="T38" s="133">
        <f t="shared" si="19"/>
        <v>0</v>
      </c>
      <c r="U38" s="134">
        <f t="shared" si="3"/>
        <v>0</v>
      </c>
      <c r="V38" s="135"/>
      <c r="W38" s="136"/>
      <c r="X38" s="2"/>
      <c r="Y38" s="111"/>
      <c r="Z38" s="3"/>
    </row>
    <row r="39" ht="14.25" hidden="1" customHeight="1" outlineLevel="2">
      <c r="A39" s="124"/>
      <c r="B39" s="125" t="s">
        <v>103</v>
      </c>
      <c r="C39" s="126" t="s">
        <v>104</v>
      </c>
      <c r="D39" s="127" t="s">
        <v>105</v>
      </c>
      <c r="E39" s="35"/>
      <c r="F39" s="128"/>
      <c r="G39" s="128"/>
      <c r="H39" s="128"/>
      <c r="I39" s="127">
        <f t="shared" si="12"/>
        <v>0</v>
      </c>
      <c r="J39" s="88"/>
      <c r="K39" s="129">
        <f t="shared" si="13"/>
        <v>4.095</v>
      </c>
      <c r="L39" s="130">
        <v>0.6</v>
      </c>
      <c r="M39" s="129">
        <f t="shared" si="14"/>
        <v>2.73</v>
      </c>
      <c r="N39" s="130">
        <f t="shared" si="15"/>
        <v>0.4</v>
      </c>
      <c r="O39" s="131">
        <f t="array" ref="O39">INDEX('LPU Regionalizada'!$B$3:$N$785,MATCH($B39,'LPU Regionalizada'!$B$3:$B$785,0),MATCH(INDEX(CTRL!$F$3:$F$29,CTRL!$E$1),'LPU Regionalizada'!$B$3:$N$3,0))</f>
        <v>6.825</v>
      </c>
      <c r="P39" s="88"/>
      <c r="Q39" s="132">
        <f t="shared" si="16"/>
        <v>0</v>
      </c>
      <c r="R39" s="132">
        <f t="shared" si="17"/>
        <v>0</v>
      </c>
      <c r="S39" s="132">
        <f t="shared" si="18"/>
        <v>0</v>
      </c>
      <c r="T39" s="133">
        <f t="shared" si="19"/>
        <v>0</v>
      </c>
      <c r="U39" s="134">
        <f t="shared" si="3"/>
        <v>0</v>
      </c>
      <c r="V39" s="135"/>
      <c r="W39" s="136"/>
      <c r="X39" s="2"/>
      <c r="Y39" s="111"/>
      <c r="Z39" s="3"/>
    </row>
    <row r="40" ht="14.25" hidden="1" customHeight="1" outlineLevel="1">
      <c r="A40" s="112"/>
      <c r="B40" s="113" t="s">
        <v>106</v>
      </c>
      <c r="C40" s="114" t="s">
        <v>107</v>
      </c>
      <c r="D40" s="115"/>
      <c r="E40" s="35"/>
      <c r="F40" s="113"/>
      <c r="G40" s="116"/>
      <c r="H40" s="116"/>
      <c r="I40" s="115"/>
      <c r="J40" s="88"/>
      <c r="K40" s="117"/>
      <c r="L40" s="118"/>
      <c r="M40" s="118"/>
      <c r="N40" s="118"/>
      <c r="O40" s="119"/>
      <c r="P40" s="88"/>
      <c r="Q40" s="120"/>
      <c r="R40" s="120"/>
      <c r="S40" s="120"/>
      <c r="T40" s="120">
        <f>SUM(T41:T60)</f>
        <v>0</v>
      </c>
      <c r="U40" s="121">
        <f t="shared" si="3"/>
        <v>0</v>
      </c>
      <c r="V40" s="122"/>
      <c r="W40" s="123"/>
      <c r="X40" s="2"/>
      <c r="Y40" s="111"/>
      <c r="Z40" s="3"/>
    </row>
    <row r="41" ht="14.25" hidden="1" customHeight="1" outlineLevel="2">
      <c r="A41" s="124"/>
      <c r="B41" s="125" t="s">
        <v>108</v>
      </c>
      <c r="C41" s="126" t="s">
        <v>109</v>
      </c>
      <c r="D41" s="127" t="s">
        <v>76</v>
      </c>
      <c r="E41" s="35"/>
      <c r="F41" s="128"/>
      <c r="G41" s="128"/>
      <c r="H41" s="128"/>
      <c r="I41" s="127">
        <f t="shared" ref="I41:I60" si="20">F41+G41+H41</f>
        <v>0</v>
      </c>
      <c r="J41" s="88"/>
      <c r="K41" s="129">
        <f t="shared" ref="K41:K60" si="21">L41*O41</f>
        <v>11.48574151</v>
      </c>
      <c r="L41" s="130">
        <v>0.6</v>
      </c>
      <c r="M41" s="129">
        <f t="shared" ref="M41:M60" si="22">N41*O41</f>
        <v>7.657161006</v>
      </c>
      <c r="N41" s="130">
        <f t="shared" ref="N41:N60" si="23">100%-L41</f>
        <v>0.4</v>
      </c>
      <c r="O41" s="131">
        <f t="array" ref="O41">INDEX('LPU Regionalizada'!$B$3:$N$785,MATCH($B41,'LPU Regionalizada'!$B$3:$B$785,0),MATCH(INDEX(CTRL!$F$3:$F$29,CTRL!$E$1),'LPU Regionalizada'!$B$3:$N$3,0))</f>
        <v>19.14290252</v>
      </c>
      <c r="P41" s="88"/>
      <c r="Q41" s="132">
        <f t="shared" ref="Q41:Q60" si="24">F41*O41</f>
        <v>0</v>
      </c>
      <c r="R41" s="132">
        <f t="shared" ref="R41:R60" si="25">G41*O41</f>
        <v>0</v>
      </c>
      <c r="S41" s="132">
        <f t="shared" ref="S41:S60" si="26">H41*O41</f>
        <v>0</v>
      </c>
      <c r="T41" s="133">
        <f t="shared" ref="T41:T60" si="27">SUM(Q41:S41)</f>
        <v>0</v>
      </c>
      <c r="U41" s="134">
        <f t="shared" si="3"/>
        <v>0</v>
      </c>
      <c r="V41" s="135"/>
      <c r="W41" s="136"/>
      <c r="X41" s="2"/>
      <c r="Y41" s="111"/>
      <c r="Z41" s="3"/>
    </row>
    <row r="42" ht="14.25" hidden="1" customHeight="1" outlineLevel="2">
      <c r="A42" s="124"/>
      <c r="B42" s="125" t="s">
        <v>110</v>
      </c>
      <c r="C42" s="126" t="s">
        <v>111</v>
      </c>
      <c r="D42" s="127" t="s">
        <v>76</v>
      </c>
      <c r="E42" s="35"/>
      <c r="F42" s="128"/>
      <c r="G42" s="128"/>
      <c r="H42" s="128"/>
      <c r="I42" s="127">
        <f t="shared" si="20"/>
        <v>0</v>
      </c>
      <c r="J42" s="88"/>
      <c r="K42" s="129">
        <f t="shared" si="21"/>
        <v>8.078288028</v>
      </c>
      <c r="L42" s="130">
        <v>0.6</v>
      </c>
      <c r="M42" s="129">
        <f t="shared" si="22"/>
        <v>5.385525352</v>
      </c>
      <c r="N42" s="130">
        <f t="shared" si="23"/>
        <v>0.4</v>
      </c>
      <c r="O42" s="131">
        <f t="array" ref="O42">INDEX('LPU Regionalizada'!$B$3:$N$785,MATCH($B42,'LPU Regionalizada'!$B$3:$B$785,0),MATCH(INDEX(CTRL!$F$3:$F$29,CTRL!$E$1),'LPU Regionalizada'!$B$3:$N$3,0))</f>
        <v>13.46381338</v>
      </c>
      <c r="P42" s="88"/>
      <c r="Q42" s="132">
        <f t="shared" si="24"/>
        <v>0</v>
      </c>
      <c r="R42" s="132">
        <f t="shared" si="25"/>
        <v>0</v>
      </c>
      <c r="S42" s="132">
        <f t="shared" si="26"/>
        <v>0</v>
      </c>
      <c r="T42" s="133">
        <f t="shared" si="27"/>
        <v>0</v>
      </c>
      <c r="U42" s="134">
        <f t="shared" si="3"/>
        <v>0</v>
      </c>
      <c r="V42" s="135"/>
      <c r="W42" s="136"/>
      <c r="X42" s="2"/>
      <c r="Y42" s="111"/>
      <c r="Z42" s="3"/>
    </row>
    <row r="43" ht="14.25" hidden="1" customHeight="1" outlineLevel="2">
      <c r="A43" s="124"/>
      <c r="B43" s="125" t="s">
        <v>112</v>
      </c>
      <c r="C43" s="126" t="s">
        <v>113</v>
      </c>
      <c r="D43" s="127" t="s">
        <v>76</v>
      </c>
      <c r="E43" s="35"/>
      <c r="F43" s="128"/>
      <c r="G43" s="128"/>
      <c r="H43" s="128"/>
      <c r="I43" s="127">
        <f t="shared" si="20"/>
        <v>0</v>
      </c>
      <c r="J43" s="88"/>
      <c r="K43" s="129">
        <f t="shared" si="21"/>
        <v>11.724</v>
      </c>
      <c r="L43" s="130">
        <v>0.6</v>
      </c>
      <c r="M43" s="129">
        <f t="shared" si="22"/>
        <v>7.816</v>
      </c>
      <c r="N43" s="130">
        <f t="shared" si="23"/>
        <v>0.4</v>
      </c>
      <c r="O43" s="131">
        <f t="array" ref="O43">INDEX('LPU Regionalizada'!$B$3:$N$785,MATCH($B43,'LPU Regionalizada'!$B$3:$B$785,0),MATCH(INDEX(CTRL!$F$3:$F$29,CTRL!$E$1),'LPU Regionalizada'!$B$3:$N$3,0))</f>
        <v>19.54</v>
      </c>
      <c r="P43" s="88"/>
      <c r="Q43" s="132">
        <f t="shared" si="24"/>
        <v>0</v>
      </c>
      <c r="R43" s="132">
        <f t="shared" si="25"/>
        <v>0</v>
      </c>
      <c r="S43" s="132">
        <f t="shared" si="26"/>
        <v>0</v>
      </c>
      <c r="T43" s="133">
        <f t="shared" si="27"/>
        <v>0</v>
      </c>
      <c r="U43" s="134">
        <f t="shared" si="3"/>
        <v>0</v>
      </c>
      <c r="V43" s="135"/>
      <c r="W43" s="136"/>
      <c r="X43" s="2"/>
      <c r="Y43" s="111"/>
      <c r="Z43" s="3"/>
    </row>
    <row r="44" ht="14.25" hidden="1" customHeight="1" outlineLevel="2">
      <c r="A44" s="124"/>
      <c r="B44" s="125" t="s">
        <v>114</v>
      </c>
      <c r="C44" s="126" t="s">
        <v>115</v>
      </c>
      <c r="D44" s="127" t="s">
        <v>76</v>
      </c>
      <c r="E44" s="35"/>
      <c r="F44" s="128"/>
      <c r="G44" s="128"/>
      <c r="H44" s="128"/>
      <c r="I44" s="127">
        <f t="shared" si="20"/>
        <v>0</v>
      </c>
      <c r="J44" s="88"/>
      <c r="K44" s="129">
        <f t="shared" si="21"/>
        <v>15</v>
      </c>
      <c r="L44" s="130">
        <v>0.6</v>
      </c>
      <c r="M44" s="129">
        <f t="shared" si="22"/>
        <v>10</v>
      </c>
      <c r="N44" s="130">
        <f t="shared" si="23"/>
        <v>0.4</v>
      </c>
      <c r="O44" s="131">
        <f t="array" ref="O44">INDEX('LPU Regionalizada'!$B$3:$N$785,MATCH($B44,'LPU Regionalizada'!$B$3:$B$785,0),MATCH(INDEX(CTRL!$F$3:$F$29,CTRL!$E$1),'LPU Regionalizada'!$B$3:$N$3,0))</f>
        <v>25</v>
      </c>
      <c r="P44" s="88"/>
      <c r="Q44" s="132">
        <f t="shared" si="24"/>
        <v>0</v>
      </c>
      <c r="R44" s="132">
        <f t="shared" si="25"/>
        <v>0</v>
      </c>
      <c r="S44" s="132">
        <f t="shared" si="26"/>
        <v>0</v>
      </c>
      <c r="T44" s="133">
        <f t="shared" si="27"/>
        <v>0</v>
      </c>
      <c r="U44" s="134">
        <f t="shared" si="3"/>
        <v>0</v>
      </c>
      <c r="V44" s="135"/>
      <c r="W44" s="136"/>
      <c r="X44" s="2"/>
      <c r="Y44" s="111"/>
      <c r="Z44" s="3"/>
    </row>
    <row r="45" ht="14.25" hidden="1" customHeight="1" outlineLevel="2">
      <c r="A45" s="124"/>
      <c r="B45" s="125" t="s">
        <v>116</v>
      </c>
      <c r="C45" s="126" t="s">
        <v>117</v>
      </c>
      <c r="D45" s="127" t="s">
        <v>76</v>
      </c>
      <c r="E45" s="35"/>
      <c r="F45" s="128"/>
      <c r="G45" s="128"/>
      <c r="H45" s="128"/>
      <c r="I45" s="127">
        <f t="shared" si="20"/>
        <v>0</v>
      </c>
      <c r="J45" s="88"/>
      <c r="K45" s="129">
        <f t="shared" si="21"/>
        <v>18.52737632</v>
      </c>
      <c r="L45" s="130">
        <v>0.6</v>
      </c>
      <c r="M45" s="129">
        <f t="shared" si="22"/>
        <v>12.35158421</v>
      </c>
      <c r="N45" s="130">
        <f t="shared" si="23"/>
        <v>0.4</v>
      </c>
      <c r="O45" s="131">
        <f t="array" ref="O45">INDEX('LPU Regionalizada'!$B$3:$N$785,MATCH($B45,'LPU Regionalizada'!$B$3:$B$785,0),MATCH(INDEX(CTRL!$F$3:$F$29,CTRL!$E$1),'LPU Regionalizada'!$B$3:$N$3,0))</f>
        <v>30.87896054</v>
      </c>
      <c r="P45" s="88"/>
      <c r="Q45" s="132">
        <f t="shared" si="24"/>
        <v>0</v>
      </c>
      <c r="R45" s="132">
        <f t="shared" si="25"/>
        <v>0</v>
      </c>
      <c r="S45" s="132">
        <f t="shared" si="26"/>
        <v>0</v>
      </c>
      <c r="T45" s="133">
        <f t="shared" si="27"/>
        <v>0</v>
      </c>
      <c r="U45" s="134">
        <f t="shared" si="3"/>
        <v>0</v>
      </c>
      <c r="V45" s="135"/>
      <c r="W45" s="136"/>
      <c r="X45" s="2"/>
      <c r="Y45" s="111"/>
      <c r="Z45" s="3"/>
    </row>
    <row r="46" ht="14.25" hidden="1" customHeight="1" outlineLevel="2">
      <c r="A46" s="124"/>
      <c r="B46" s="125" t="s">
        <v>118</v>
      </c>
      <c r="C46" s="126" t="s">
        <v>119</v>
      </c>
      <c r="D46" s="127" t="s">
        <v>120</v>
      </c>
      <c r="E46" s="35"/>
      <c r="F46" s="128"/>
      <c r="G46" s="128"/>
      <c r="H46" s="128"/>
      <c r="I46" s="127">
        <f t="shared" si="20"/>
        <v>0</v>
      </c>
      <c r="J46" s="88"/>
      <c r="K46" s="129">
        <f t="shared" si="21"/>
        <v>81.38546799</v>
      </c>
      <c r="L46" s="130">
        <v>0.6</v>
      </c>
      <c r="M46" s="129">
        <f t="shared" si="22"/>
        <v>54.25697866</v>
      </c>
      <c r="N46" s="130">
        <f t="shared" si="23"/>
        <v>0.4</v>
      </c>
      <c r="O46" s="131">
        <f t="array" ref="O46">INDEX('LPU Regionalizada'!$B$3:$N$785,MATCH($B46,'LPU Regionalizada'!$B$3:$B$785,0),MATCH(INDEX(CTRL!$F$3:$F$29,CTRL!$E$1),'LPU Regionalizada'!$B$3:$N$3,0))</f>
        <v>135.6424466</v>
      </c>
      <c r="P46" s="88"/>
      <c r="Q46" s="132">
        <f t="shared" si="24"/>
        <v>0</v>
      </c>
      <c r="R46" s="132">
        <f t="shared" si="25"/>
        <v>0</v>
      </c>
      <c r="S46" s="132">
        <f t="shared" si="26"/>
        <v>0</v>
      </c>
      <c r="T46" s="133">
        <f t="shared" si="27"/>
        <v>0</v>
      </c>
      <c r="U46" s="134">
        <f t="shared" si="3"/>
        <v>0</v>
      </c>
      <c r="V46" s="135"/>
      <c r="W46" s="136"/>
      <c r="X46" s="2"/>
      <c r="Y46" s="111"/>
      <c r="Z46" s="3"/>
    </row>
    <row r="47" ht="14.25" hidden="1" customHeight="1" outlineLevel="2">
      <c r="A47" s="124"/>
      <c r="B47" s="125" t="s">
        <v>121</v>
      </c>
      <c r="C47" s="126" t="s">
        <v>122</v>
      </c>
      <c r="D47" s="127" t="s">
        <v>76</v>
      </c>
      <c r="E47" s="35"/>
      <c r="F47" s="128">
        <v>0.0</v>
      </c>
      <c r="G47" s="128">
        <v>0.0</v>
      </c>
      <c r="H47" s="128"/>
      <c r="I47" s="127">
        <f t="shared" si="20"/>
        <v>0</v>
      </c>
      <c r="J47" s="88"/>
      <c r="K47" s="129">
        <f t="shared" si="21"/>
        <v>10.75366978</v>
      </c>
      <c r="L47" s="130">
        <v>0.6</v>
      </c>
      <c r="M47" s="129">
        <f t="shared" si="22"/>
        <v>7.169113188</v>
      </c>
      <c r="N47" s="130">
        <f t="shared" si="23"/>
        <v>0.4</v>
      </c>
      <c r="O47" s="131">
        <f t="array" ref="O47">INDEX('LPU Regionalizada'!$B$3:$N$785,MATCH($B47,'LPU Regionalizada'!$B$3:$B$785,0),MATCH(INDEX(CTRL!$F$3:$F$29,CTRL!$E$1),'LPU Regionalizada'!$B$3:$N$3,0))</f>
        <v>17.92278297</v>
      </c>
      <c r="P47" s="88"/>
      <c r="Q47" s="132">
        <f t="shared" si="24"/>
        <v>0</v>
      </c>
      <c r="R47" s="132">
        <f t="shared" si="25"/>
        <v>0</v>
      </c>
      <c r="S47" s="132">
        <f t="shared" si="26"/>
        <v>0</v>
      </c>
      <c r="T47" s="133">
        <f t="shared" si="27"/>
        <v>0</v>
      </c>
      <c r="U47" s="134">
        <f t="shared" si="3"/>
        <v>0</v>
      </c>
      <c r="V47" s="135"/>
      <c r="W47" s="136"/>
      <c r="X47" s="2"/>
      <c r="Y47" s="111"/>
      <c r="Z47" s="3"/>
    </row>
    <row r="48" ht="14.25" hidden="1" customHeight="1" outlineLevel="2">
      <c r="A48" s="124"/>
      <c r="B48" s="125" t="s">
        <v>123</v>
      </c>
      <c r="C48" s="126" t="s">
        <v>124</v>
      </c>
      <c r="D48" s="127" t="s">
        <v>76</v>
      </c>
      <c r="E48" s="35"/>
      <c r="F48" s="128"/>
      <c r="G48" s="128"/>
      <c r="H48" s="128"/>
      <c r="I48" s="127">
        <f t="shared" si="20"/>
        <v>0</v>
      </c>
      <c r="J48" s="88"/>
      <c r="K48" s="129">
        <f t="shared" si="21"/>
        <v>13.77945598</v>
      </c>
      <c r="L48" s="130">
        <v>0.6</v>
      </c>
      <c r="M48" s="129">
        <f t="shared" si="22"/>
        <v>9.186303989</v>
      </c>
      <c r="N48" s="130">
        <f t="shared" si="23"/>
        <v>0.4</v>
      </c>
      <c r="O48" s="131">
        <f t="array" ref="O48">INDEX('LPU Regionalizada'!$B$3:$N$785,MATCH($B48,'LPU Regionalizada'!$B$3:$B$785,0),MATCH(INDEX(CTRL!$F$3:$F$29,CTRL!$E$1),'LPU Regionalizada'!$B$3:$N$3,0))</f>
        <v>22.96575997</v>
      </c>
      <c r="P48" s="88"/>
      <c r="Q48" s="132">
        <f t="shared" si="24"/>
        <v>0</v>
      </c>
      <c r="R48" s="132">
        <f t="shared" si="25"/>
        <v>0</v>
      </c>
      <c r="S48" s="132">
        <f t="shared" si="26"/>
        <v>0</v>
      </c>
      <c r="T48" s="133">
        <f t="shared" si="27"/>
        <v>0</v>
      </c>
      <c r="U48" s="134">
        <f t="shared" si="3"/>
        <v>0</v>
      </c>
      <c r="V48" s="135"/>
      <c r="W48" s="136"/>
      <c r="X48" s="2"/>
      <c r="Y48" s="111"/>
      <c r="Z48" s="3"/>
    </row>
    <row r="49" ht="14.25" hidden="1" customHeight="1" outlineLevel="2">
      <c r="A49" s="124"/>
      <c r="B49" s="125" t="s">
        <v>125</v>
      </c>
      <c r="C49" s="126" t="s">
        <v>126</v>
      </c>
      <c r="D49" s="127" t="s">
        <v>76</v>
      </c>
      <c r="E49" s="35"/>
      <c r="F49" s="128"/>
      <c r="G49" s="128"/>
      <c r="H49" s="128"/>
      <c r="I49" s="127">
        <f t="shared" si="20"/>
        <v>0</v>
      </c>
      <c r="J49" s="88"/>
      <c r="K49" s="129">
        <f t="shared" si="21"/>
        <v>63.31296441</v>
      </c>
      <c r="L49" s="130">
        <v>0.6</v>
      </c>
      <c r="M49" s="129">
        <f t="shared" si="22"/>
        <v>42.20864294</v>
      </c>
      <c r="N49" s="130">
        <f t="shared" si="23"/>
        <v>0.4</v>
      </c>
      <c r="O49" s="131">
        <f t="array" ref="O49">INDEX('LPU Regionalizada'!$B$3:$N$785,MATCH($B49,'LPU Regionalizada'!$B$3:$B$785,0),MATCH(INDEX(CTRL!$F$3:$F$29,CTRL!$E$1),'LPU Regionalizada'!$B$3:$N$3,0))</f>
        <v>105.5216074</v>
      </c>
      <c r="P49" s="88"/>
      <c r="Q49" s="132">
        <f t="shared" si="24"/>
        <v>0</v>
      </c>
      <c r="R49" s="132">
        <f t="shared" si="25"/>
        <v>0</v>
      </c>
      <c r="S49" s="132">
        <f t="shared" si="26"/>
        <v>0</v>
      </c>
      <c r="T49" s="133">
        <f t="shared" si="27"/>
        <v>0</v>
      </c>
      <c r="U49" s="134">
        <f t="shared" si="3"/>
        <v>0</v>
      </c>
      <c r="V49" s="135"/>
      <c r="W49" s="136"/>
      <c r="X49" s="2"/>
      <c r="Y49" s="111"/>
      <c r="Z49" s="3"/>
    </row>
    <row r="50" ht="14.25" hidden="1" customHeight="1" outlineLevel="2">
      <c r="A50" s="124"/>
      <c r="B50" s="125" t="s">
        <v>127</v>
      </c>
      <c r="C50" s="126" t="s">
        <v>128</v>
      </c>
      <c r="D50" s="127" t="s">
        <v>76</v>
      </c>
      <c r="E50" s="35"/>
      <c r="F50" s="128"/>
      <c r="G50" s="128"/>
      <c r="H50" s="128"/>
      <c r="I50" s="127">
        <f t="shared" si="20"/>
        <v>0</v>
      </c>
      <c r="J50" s="88"/>
      <c r="K50" s="129">
        <f t="shared" si="21"/>
        <v>2.107342205</v>
      </c>
      <c r="L50" s="130">
        <v>0.1</v>
      </c>
      <c r="M50" s="129">
        <f t="shared" si="22"/>
        <v>18.96607984</v>
      </c>
      <c r="N50" s="130">
        <f t="shared" si="23"/>
        <v>0.9</v>
      </c>
      <c r="O50" s="131">
        <f t="array" ref="O50">INDEX('LPU Regionalizada'!$B$3:$N$785,MATCH($B50,'LPU Regionalizada'!$B$3:$B$785,0),MATCH(INDEX(CTRL!$F$3:$F$29,CTRL!$E$1),'LPU Regionalizada'!$B$3:$N$3,0))</f>
        <v>21.07342205</v>
      </c>
      <c r="P50" s="88"/>
      <c r="Q50" s="132">
        <f t="shared" si="24"/>
        <v>0</v>
      </c>
      <c r="R50" s="132">
        <f t="shared" si="25"/>
        <v>0</v>
      </c>
      <c r="S50" s="132">
        <f t="shared" si="26"/>
        <v>0</v>
      </c>
      <c r="T50" s="133">
        <f t="shared" si="27"/>
        <v>0</v>
      </c>
      <c r="U50" s="134">
        <f t="shared" si="3"/>
        <v>0</v>
      </c>
      <c r="V50" s="135"/>
      <c r="W50" s="136"/>
      <c r="X50" s="2"/>
      <c r="Y50" s="111"/>
      <c r="Z50" s="3"/>
    </row>
    <row r="51" ht="14.25" hidden="1" customHeight="1" outlineLevel="2">
      <c r="A51" s="124"/>
      <c r="B51" s="125" t="s">
        <v>129</v>
      </c>
      <c r="C51" s="126" t="s">
        <v>130</v>
      </c>
      <c r="D51" s="127" t="s">
        <v>76</v>
      </c>
      <c r="E51" s="35"/>
      <c r="F51" s="128"/>
      <c r="G51" s="128"/>
      <c r="H51" s="128"/>
      <c r="I51" s="127">
        <f t="shared" si="20"/>
        <v>0</v>
      </c>
      <c r="J51" s="88"/>
      <c r="K51" s="129">
        <f t="shared" si="21"/>
        <v>1.514070909</v>
      </c>
      <c r="L51" s="130">
        <v>0.1</v>
      </c>
      <c r="M51" s="129">
        <f t="shared" si="22"/>
        <v>13.62663818</v>
      </c>
      <c r="N51" s="130">
        <f t="shared" si="23"/>
        <v>0.9</v>
      </c>
      <c r="O51" s="131">
        <f t="array" ref="O51">INDEX('LPU Regionalizada'!$B$3:$N$785,MATCH($B51,'LPU Regionalizada'!$B$3:$B$785,0),MATCH(INDEX(CTRL!$F$3:$F$29,CTRL!$E$1),'LPU Regionalizada'!$B$3:$N$3,0))</f>
        <v>15.14070909</v>
      </c>
      <c r="P51" s="88"/>
      <c r="Q51" s="132">
        <f t="shared" si="24"/>
        <v>0</v>
      </c>
      <c r="R51" s="132">
        <f t="shared" si="25"/>
        <v>0</v>
      </c>
      <c r="S51" s="132">
        <f t="shared" si="26"/>
        <v>0</v>
      </c>
      <c r="T51" s="133">
        <f t="shared" si="27"/>
        <v>0</v>
      </c>
      <c r="U51" s="134">
        <f t="shared" si="3"/>
        <v>0</v>
      </c>
      <c r="V51" s="135"/>
      <c r="W51" s="136"/>
      <c r="X51" s="2"/>
      <c r="Y51" s="111"/>
      <c r="Z51" s="3"/>
    </row>
    <row r="52" ht="14.25" hidden="1" customHeight="1" outlineLevel="2">
      <c r="A52" s="124"/>
      <c r="B52" s="125" t="s">
        <v>131</v>
      </c>
      <c r="C52" s="126" t="s">
        <v>132</v>
      </c>
      <c r="D52" s="127" t="s">
        <v>76</v>
      </c>
      <c r="E52" s="35"/>
      <c r="F52" s="128"/>
      <c r="G52" s="128"/>
      <c r="H52" s="128"/>
      <c r="I52" s="127">
        <f t="shared" si="20"/>
        <v>0</v>
      </c>
      <c r="J52" s="88"/>
      <c r="K52" s="129">
        <f t="shared" si="21"/>
        <v>2.218386597</v>
      </c>
      <c r="L52" s="130">
        <v>0.1</v>
      </c>
      <c r="M52" s="129">
        <f t="shared" si="22"/>
        <v>19.96547937</v>
      </c>
      <c r="N52" s="130">
        <f t="shared" si="23"/>
        <v>0.9</v>
      </c>
      <c r="O52" s="131">
        <f t="array" ref="O52">INDEX('LPU Regionalizada'!$B$3:$N$785,MATCH($B52,'LPU Regionalizada'!$B$3:$B$785,0),MATCH(INDEX(CTRL!$F$3:$F$29,CTRL!$E$1),'LPU Regionalizada'!$B$3:$N$3,0))</f>
        <v>22.18386597</v>
      </c>
      <c r="P52" s="88"/>
      <c r="Q52" s="132">
        <f t="shared" si="24"/>
        <v>0</v>
      </c>
      <c r="R52" s="132">
        <f t="shared" si="25"/>
        <v>0</v>
      </c>
      <c r="S52" s="132">
        <f t="shared" si="26"/>
        <v>0</v>
      </c>
      <c r="T52" s="133">
        <f t="shared" si="27"/>
        <v>0</v>
      </c>
      <c r="U52" s="134">
        <f t="shared" si="3"/>
        <v>0</v>
      </c>
      <c r="V52" s="135"/>
      <c r="W52" s="136"/>
      <c r="X52" s="2"/>
      <c r="Y52" s="111"/>
      <c r="Z52" s="3"/>
    </row>
    <row r="53" ht="14.25" hidden="1" customHeight="1" outlineLevel="2">
      <c r="A53" s="124"/>
      <c r="B53" s="125" t="s">
        <v>133</v>
      </c>
      <c r="C53" s="126" t="s">
        <v>134</v>
      </c>
      <c r="D53" s="127" t="s">
        <v>135</v>
      </c>
      <c r="E53" s="35"/>
      <c r="F53" s="128"/>
      <c r="G53" s="128"/>
      <c r="H53" s="128"/>
      <c r="I53" s="127">
        <f t="shared" si="20"/>
        <v>0</v>
      </c>
      <c r="J53" s="88"/>
      <c r="K53" s="129">
        <f t="shared" si="21"/>
        <v>0.37338</v>
      </c>
      <c r="L53" s="130">
        <v>0.1</v>
      </c>
      <c r="M53" s="129">
        <f t="shared" si="22"/>
        <v>3.36042</v>
      </c>
      <c r="N53" s="130">
        <f t="shared" si="23"/>
        <v>0.9</v>
      </c>
      <c r="O53" s="131">
        <f t="array" ref="O53">INDEX('LPU Regionalizada'!$B$3:$N$785,MATCH($B53,'LPU Regionalizada'!$B$3:$B$785,0),MATCH(INDEX(CTRL!$F$3:$F$29,CTRL!$E$1),'LPU Regionalizada'!$B$3:$N$3,0))</f>
        <v>3.7338</v>
      </c>
      <c r="P53" s="88"/>
      <c r="Q53" s="132">
        <f t="shared" si="24"/>
        <v>0</v>
      </c>
      <c r="R53" s="132">
        <f t="shared" si="25"/>
        <v>0</v>
      </c>
      <c r="S53" s="132">
        <f t="shared" si="26"/>
        <v>0</v>
      </c>
      <c r="T53" s="133">
        <f t="shared" si="27"/>
        <v>0</v>
      </c>
      <c r="U53" s="134">
        <f t="shared" si="3"/>
        <v>0</v>
      </c>
      <c r="V53" s="135"/>
      <c r="W53" s="136"/>
      <c r="X53" s="2"/>
      <c r="Y53" s="111"/>
      <c r="Z53" s="3"/>
    </row>
    <row r="54" ht="14.25" hidden="1" customHeight="1" outlineLevel="2">
      <c r="A54" s="124"/>
      <c r="B54" s="125" t="s">
        <v>136</v>
      </c>
      <c r="C54" s="126" t="s">
        <v>137</v>
      </c>
      <c r="D54" s="127" t="s">
        <v>76</v>
      </c>
      <c r="E54" s="35"/>
      <c r="F54" s="128"/>
      <c r="G54" s="128"/>
      <c r="H54" s="128"/>
      <c r="I54" s="127">
        <f t="shared" si="20"/>
        <v>0</v>
      </c>
      <c r="J54" s="88"/>
      <c r="K54" s="129">
        <f t="shared" si="21"/>
        <v>0.4441201142</v>
      </c>
      <c r="L54" s="130">
        <v>0.1</v>
      </c>
      <c r="M54" s="129">
        <f t="shared" si="22"/>
        <v>3.997081028</v>
      </c>
      <c r="N54" s="130">
        <f t="shared" si="23"/>
        <v>0.9</v>
      </c>
      <c r="O54" s="131">
        <f t="array" ref="O54">INDEX('LPU Regionalizada'!$B$3:$N$785,MATCH($B54,'LPU Regionalizada'!$B$3:$B$785,0),MATCH(INDEX(CTRL!$F$3:$F$29,CTRL!$E$1),'LPU Regionalizada'!$B$3:$N$3,0))</f>
        <v>4.441201142</v>
      </c>
      <c r="P54" s="88"/>
      <c r="Q54" s="132">
        <f t="shared" si="24"/>
        <v>0</v>
      </c>
      <c r="R54" s="132">
        <f t="shared" si="25"/>
        <v>0</v>
      </c>
      <c r="S54" s="132">
        <f t="shared" si="26"/>
        <v>0</v>
      </c>
      <c r="T54" s="133">
        <f t="shared" si="27"/>
        <v>0</v>
      </c>
      <c r="U54" s="134">
        <f t="shared" si="3"/>
        <v>0</v>
      </c>
      <c r="V54" s="135"/>
      <c r="W54" s="136"/>
      <c r="X54" s="2"/>
      <c r="Y54" s="111"/>
      <c r="Z54" s="3"/>
    </row>
    <row r="55" ht="14.25" hidden="1" customHeight="1" outlineLevel="2">
      <c r="A55" s="124"/>
      <c r="B55" s="125" t="s">
        <v>138</v>
      </c>
      <c r="C55" s="126" t="s">
        <v>139</v>
      </c>
      <c r="D55" s="127" t="s">
        <v>76</v>
      </c>
      <c r="E55" s="35"/>
      <c r="F55" s="128"/>
      <c r="G55" s="128"/>
      <c r="H55" s="128"/>
      <c r="I55" s="127">
        <f t="shared" si="20"/>
        <v>0</v>
      </c>
      <c r="J55" s="88"/>
      <c r="K55" s="129">
        <f t="shared" si="21"/>
        <v>1.867299077</v>
      </c>
      <c r="L55" s="130">
        <v>0.1</v>
      </c>
      <c r="M55" s="129">
        <f t="shared" si="22"/>
        <v>16.80569169</v>
      </c>
      <c r="N55" s="130">
        <f t="shared" si="23"/>
        <v>0.9</v>
      </c>
      <c r="O55" s="131">
        <f t="array" ref="O55">INDEX('LPU Regionalizada'!$B$3:$N$785,MATCH($B55,'LPU Regionalizada'!$B$3:$B$785,0),MATCH(INDEX(CTRL!$F$3:$F$29,CTRL!$E$1),'LPU Regionalizada'!$B$3:$N$3,0))</f>
        <v>18.67299077</v>
      </c>
      <c r="P55" s="88"/>
      <c r="Q55" s="132">
        <f t="shared" si="24"/>
        <v>0</v>
      </c>
      <c r="R55" s="132">
        <f t="shared" si="25"/>
        <v>0</v>
      </c>
      <c r="S55" s="132">
        <f t="shared" si="26"/>
        <v>0</v>
      </c>
      <c r="T55" s="133">
        <f t="shared" si="27"/>
        <v>0</v>
      </c>
      <c r="U55" s="134">
        <f t="shared" si="3"/>
        <v>0</v>
      </c>
      <c r="V55" s="135"/>
      <c r="W55" s="136"/>
      <c r="X55" s="2"/>
      <c r="Y55" s="111"/>
      <c r="Z55" s="3"/>
    </row>
    <row r="56" ht="14.25" hidden="1" customHeight="1" outlineLevel="2">
      <c r="A56" s="124"/>
      <c r="B56" s="125" t="s">
        <v>140</v>
      </c>
      <c r="C56" s="126" t="s">
        <v>141</v>
      </c>
      <c r="D56" s="127" t="s">
        <v>142</v>
      </c>
      <c r="E56" s="35"/>
      <c r="F56" s="128"/>
      <c r="G56" s="128"/>
      <c r="H56" s="128"/>
      <c r="I56" s="127">
        <f t="shared" si="20"/>
        <v>0</v>
      </c>
      <c r="J56" s="88"/>
      <c r="K56" s="129">
        <f t="shared" si="21"/>
        <v>2.897917366</v>
      </c>
      <c r="L56" s="130">
        <v>0.1</v>
      </c>
      <c r="M56" s="129">
        <f t="shared" si="22"/>
        <v>26.0812563</v>
      </c>
      <c r="N56" s="130">
        <f t="shared" si="23"/>
        <v>0.9</v>
      </c>
      <c r="O56" s="131">
        <f t="array" ref="O56">INDEX('LPU Regionalizada'!$B$3:$N$785,MATCH($B56,'LPU Regionalizada'!$B$3:$B$785,0),MATCH(INDEX(CTRL!$F$3:$F$29,CTRL!$E$1),'LPU Regionalizada'!$B$3:$N$3,0))</f>
        <v>28.97917366</v>
      </c>
      <c r="P56" s="88"/>
      <c r="Q56" s="132">
        <f t="shared" si="24"/>
        <v>0</v>
      </c>
      <c r="R56" s="132">
        <f t="shared" si="25"/>
        <v>0</v>
      </c>
      <c r="S56" s="132">
        <f t="shared" si="26"/>
        <v>0</v>
      </c>
      <c r="T56" s="133">
        <f t="shared" si="27"/>
        <v>0</v>
      </c>
      <c r="U56" s="134">
        <f t="shared" si="3"/>
        <v>0</v>
      </c>
      <c r="V56" s="135"/>
      <c r="W56" s="136"/>
      <c r="X56" s="2"/>
      <c r="Y56" s="111"/>
      <c r="Z56" s="3"/>
    </row>
    <row r="57" ht="14.25" hidden="1" customHeight="1" outlineLevel="2">
      <c r="A57" s="124"/>
      <c r="B57" s="125" t="s">
        <v>143</v>
      </c>
      <c r="C57" s="126" t="s">
        <v>144</v>
      </c>
      <c r="D57" s="127" t="s">
        <v>76</v>
      </c>
      <c r="E57" s="35"/>
      <c r="F57" s="128"/>
      <c r="G57" s="128"/>
      <c r="H57" s="128"/>
      <c r="I57" s="127">
        <f t="shared" si="20"/>
        <v>0</v>
      </c>
      <c r="J57" s="88"/>
      <c r="K57" s="129">
        <f t="shared" si="21"/>
        <v>1.613999201</v>
      </c>
      <c r="L57" s="130">
        <v>0.1</v>
      </c>
      <c r="M57" s="129">
        <f t="shared" si="22"/>
        <v>14.52599281</v>
      </c>
      <c r="N57" s="130">
        <f t="shared" si="23"/>
        <v>0.9</v>
      </c>
      <c r="O57" s="131">
        <f t="array" ref="O57">INDEX('LPU Regionalizada'!$B$3:$N$785,MATCH($B57,'LPU Regionalizada'!$B$3:$B$785,0),MATCH(INDEX(CTRL!$F$3:$F$29,CTRL!$E$1),'LPU Regionalizada'!$B$3:$N$3,0))</f>
        <v>16.13999201</v>
      </c>
      <c r="P57" s="88"/>
      <c r="Q57" s="132">
        <f t="shared" si="24"/>
        <v>0</v>
      </c>
      <c r="R57" s="132">
        <f t="shared" si="25"/>
        <v>0</v>
      </c>
      <c r="S57" s="132">
        <f t="shared" si="26"/>
        <v>0</v>
      </c>
      <c r="T57" s="133">
        <f t="shared" si="27"/>
        <v>0</v>
      </c>
      <c r="U57" s="134">
        <f t="shared" si="3"/>
        <v>0</v>
      </c>
      <c r="V57" s="135"/>
      <c r="W57" s="136"/>
      <c r="X57" s="2"/>
      <c r="Y57" s="111"/>
      <c r="Z57" s="3"/>
    </row>
    <row r="58" ht="14.25" hidden="1" customHeight="1" outlineLevel="2">
      <c r="A58" s="124"/>
      <c r="B58" s="125" t="s">
        <v>145</v>
      </c>
      <c r="C58" s="126" t="s">
        <v>146</v>
      </c>
      <c r="D58" s="127" t="s">
        <v>76</v>
      </c>
      <c r="E58" s="35"/>
      <c r="F58" s="128"/>
      <c r="G58" s="128"/>
      <c r="H58" s="128"/>
      <c r="I58" s="127">
        <f t="shared" si="20"/>
        <v>0</v>
      </c>
      <c r="J58" s="88"/>
      <c r="K58" s="129">
        <f t="shared" si="21"/>
        <v>1.92503034</v>
      </c>
      <c r="L58" s="130">
        <v>0.1</v>
      </c>
      <c r="M58" s="129">
        <f t="shared" si="22"/>
        <v>17.32527306</v>
      </c>
      <c r="N58" s="130">
        <f t="shared" si="23"/>
        <v>0.9</v>
      </c>
      <c r="O58" s="131">
        <f t="array" ref="O58">INDEX('LPU Regionalizada'!$B$3:$N$785,MATCH($B58,'LPU Regionalizada'!$B$3:$B$785,0),MATCH(INDEX(CTRL!$F$3:$F$29,CTRL!$E$1),'LPU Regionalizada'!$B$3:$N$3,0))</f>
        <v>19.2503034</v>
      </c>
      <c r="P58" s="88"/>
      <c r="Q58" s="132">
        <f t="shared" si="24"/>
        <v>0</v>
      </c>
      <c r="R58" s="132">
        <f t="shared" si="25"/>
        <v>0</v>
      </c>
      <c r="S58" s="132">
        <f t="shared" si="26"/>
        <v>0</v>
      </c>
      <c r="T58" s="133">
        <f t="shared" si="27"/>
        <v>0</v>
      </c>
      <c r="U58" s="134">
        <f t="shared" si="3"/>
        <v>0</v>
      </c>
      <c r="V58" s="135"/>
      <c r="W58" s="136"/>
      <c r="X58" s="2"/>
      <c r="Y58" s="111"/>
      <c r="Z58" s="3"/>
    </row>
    <row r="59" ht="14.25" hidden="1" customHeight="1" outlineLevel="2">
      <c r="A59" s="124"/>
      <c r="B59" s="125" t="s">
        <v>147</v>
      </c>
      <c r="C59" s="126" t="s">
        <v>148</v>
      </c>
      <c r="D59" s="127" t="s">
        <v>64</v>
      </c>
      <c r="E59" s="35"/>
      <c r="F59" s="128"/>
      <c r="G59" s="128"/>
      <c r="H59" s="128"/>
      <c r="I59" s="127">
        <f t="shared" si="20"/>
        <v>0</v>
      </c>
      <c r="J59" s="88"/>
      <c r="K59" s="129">
        <f t="shared" si="21"/>
        <v>651.015</v>
      </c>
      <c r="L59" s="130">
        <v>0.6</v>
      </c>
      <c r="M59" s="129">
        <f t="shared" si="22"/>
        <v>434.01</v>
      </c>
      <c r="N59" s="130">
        <f t="shared" si="23"/>
        <v>0.4</v>
      </c>
      <c r="O59" s="131">
        <f t="array" ref="O59">INDEX('LPU Regionalizada'!$B$3:$N$785,MATCH($B59,'LPU Regionalizada'!$B$3:$B$785,0),MATCH(INDEX(CTRL!$F$3:$F$29,CTRL!$E$1),'LPU Regionalizada'!$B$3:$N$3,0))</f>
        <v>1085.025</v>
      </c>
      <c r="P59" s="88"/>
      <c r="Q59" s="132">
        <f t="shared" si="24"/>
        <v>0</v>
      </c>
      <c r="R59" s="132">
        <f t="shared" si="25"/>
        <v>0</v>
      </c>
      <c r="S59" s="132">
        <f t="shared" si="26"/>
        <v>0</v>
      </c>
      <c r="T59" s="133">
        <f t="shared" si="27"/>
        <v>0</v>
      </c>
      <c r="U59" s="134">
        <f t="shared" si="3"/>
        <v>0</v>
      </c>
      <c r="V59" s="135"/>
      <c r="W59" s="136"/>
      <c r="X59" s="2"/>
      <c r="Y59" s="111"/>
      <c r="Z59" s="3"/>
    </row>
    <row r="60" ht="14.25" hidden="1" customHeight="1" outlineLevel="2">
      <c r="A60" s="124"/>
      <c r="B60" s="125" t="s">
        <v>149</v>
      </c>
      <c r="C60" s="126" t="s">
        <v>150</v>
      </c>
      <c r="D60" s="127" t="s">
        <v>64</v>
      </c>
      <c r="E60" s="35"/>
      <c r="F60" s="128"/>
      <c r="G60" s="128"/>
      <c r="H60" s="128"/>
      <c r="I60" s="127">
        <f t="shared" si="20"/>
        <v>0</v>
      </c>
      <c r="J60" s="88"/>
      <c r="K60" s="129">
        <f t="shared" si="21"/>
        <v>402.6525</v>
      </c>
      <c r="L60" s="130">
        <v>0.6</v>
      </c>
      <c r="M60" s="129">
        <f t="shared" si="22"/>
        <v>268.435</v>
      </c>
      <c r="N60" s="130">
        <f t="shared" si="23"/>
        <v>0.4</v>
      </c>
      <c r="O60" s="131">
        <f t="array" ref="O60">INDEX('LPU Regionalizada'!$B$3:$N$785,MATCH($B60,'LPU Regionalizada'!$B$3:$B$785,0),MATCH(INDEX(CTRL!$F$3:$F$29,CTRL!$E$1),'LPU Regionalizada'!$B$3:$N$3,0))</f>
        <v>671.0875</v>
      </c>
      <c r="P60" s="88"/>
      <c r="Q60" s="132">
        <f t="shared" si="24"/>
        <v>0</v>
      </c>
      <c r="R60" s="132">
        <f t="shared" si="25"/>
        <v>0</v>
      </c>
      <c r="S60" s="132">
        <f t="shared" si="26"/>
        <v>0</v>
      </c>
      <c r="T60" s="133">
        <f t="shared" si="27"/>
        <v>0</v>
      </c>
      <c r="U60" s="134">
        <f t="shared" si="3"/>
        <v>0</v>
      </c>
      <c r="V60" s="135"/>
      <c r="W60" s="136"/>
      <c r="X60" s="2"/>
      <c r="Y60" s="111"/>
      <c r="Z60" s="3"/>
    </row>
    <row r="61" ht="14.25" hidden="1" customHeight="1" outlineLevel="1">
      <c r="A61" s="112"/>
      <c r="B61" s="113" t="s">
        <v>151</v>
      </c>
      <c r="C61" s="114" t="s">
        <v>152</v>
      </c>
      <c r="D61" s="115"/>
      <c r="E61" s="35"/>
      <c r="F61" s="113"/>
      <c r="G61" s="116"/>
      <c r="H61" s="116"/>
      <c r="I61" s="115"/>
      <c r="J61" s="88"/>
      <c r="K61" s="117"/>
      <c r="L61" s="118"/>
      <c r="M61" s="118"/>
      <c r="N61" s="118"/>
      <c r="O61" s="119"/>
      <c r="P61" s="88"/>
      <c r="Q61" s="120"/>
      <c r="R61" s="120"/>
      <c r="S61" s="120"/>
      <c r="T61" s="120">
        <f>SUM(T62:T66)</f>
        <v>0</v>
      </c>
      <c r="U61" s="121">
        <f t="shared" si="3"/>
        <v>0</v>
      </c>
      <c r="V61" s="122"/>
      <c r="W61" s="123"/>
      <c r="X61" s="2"/>
      <c r="Y61" s="111"/>
      <c r="Z61" s="3"/>
    </row>
    <row r="62" ht="14.25" hidden="1" customHeight="1" outlineLevel="2">
      <c r="A62" s="124"/>
      <c r="B62" s="125" t="s">
        <v>153</v>
      </c>
      <c r="C62" s="126" t="s">
        <v>154</v>
      </c>
      <c r="D62" s="127" t="s">
        <v>120</v>
      </c>
      <c r="E62" s="35"/>
      <c r="F62" s="128"/>
      <c r="G62" s="128"/>
      <c r="H62" s="128"/>
      <c r="I62" s="127">
        <f t="shared" ref="I62:I66" si="28">F62+G62+H62</f>
        <v>0</v>
      </c>
      <c r="J62" s="88"/>
      <c r="K62" s="129">
        <f t="shared" ref="K62:K66" si="29">L62*O62</f>
        <v>35.03644444</v>
      </c>
      <c r="L62" s="130">
        <v>0.6</v>
      </c>
      <c r="M62" s="129">
        <f t="shared" ref="M62:M66" si="30">N62*O62</f>
        <v>23.35762963</v>
      </c>
      <c r="N62" s="130">
        <f t="shared" ref="N62:N66" si="31">100%-L62</f>
        <v>0.4</v>
      </c>
      <c r="O62" s="131">
        <f t="array" ref="O62">INDEX('LPU Regionalizada'!$B$3:$N$785,MATCH($B62,'LPU Regionalizada'!$B$3:$B$785,0),MATCH(INDEX(CTRL!$F$3:$F$29,CTRL!$E$1),'LPU Regionalizada'!$B$3:$N$3,0))</f>
        <v>58.39407407</v>
      </c>
      <c r="P62" s="88"/>
      <c r="Q62" s="132">
        <f t="shared" ref="Q62:Q66" si="32">F62*O62</f>
        <v>0</v>
      </c>
      <c r="R62" s="132">
        <f t="shared" ref="R62:R66" si="33">G62*O62</f>
        <v>0</v>
      </c>
      <c r="S62" s="132">
        <f t="shared" ref="S62:S66" si="34">H62*O62</f>
        <v>0</v>
      </c>
      <c r="T62" s="133">
        <f t="shared" ref="T62:T66" si="35">SUM(Q62:S62)</f>
        <v>0</v>
      </c>
      <c r="U62" s="134">
        <f t="shared" si="3"/>
        <v>0</v>
      </c>
      <c r="V62" s="135"/>
      <c r="W62" s="136"/>
      <c r="X62" s="2"/>
      <c r="Y62" s="111"/>
      <c r="Z62" s="3"/>
    </row>
    <row r="63" ht="14.25" hidden="1" customHeight="1" outlineLevel="2">
      <c r="A63" s="124"/>
      <c r="B63" s="125" t="s">
        <v>155</v>
      </c>
      <c r="C63" s="126" t="s">
        <v>156</v>
      </c>
      <c r="D63" s="127" t="s">
        <v>120</v>
      </c>
      <c r="E63" s="35"/>
      <c r="F63" s="128"/>
      <c r="G63" s="128"/>
      <c r="H63" s="128"/>
      <c r="I63" s="127">
        <f t="shared" si="28"/>
        <v>0</v>
      </c>
      <c r="J63" s="88"/>
      <c r="K63" s="129">
        <f t="shared" si="29"/>
        <v>24.53924012</v>
      </c>
      <c r="L63" s="130">
        <v>0.6</v>
      </c>
      <c r="M63" s="129">
        <f t="shared" si="30"/>
        <v>16.35949341</v>
      </c>
      <c r="N63" s="130">
        <f t="shared" si="31"/>
        <v>0.4</v>
      </c>
      <c r="O63" s="131">
        <f t="array" ref="O63">INDEX('LPU Regionalizada'!$B$3:$N$785,MATCH($B63,'LPU Regionalizada'!$B$3:$B$785,0),MATCH(INDEX(CTRL!$F$3:$F$29,CTRL!$E$1),'LPU Regionalizada'!$B$3:$N$3,0))</f>
        <v>40.89873354</v>
      </c>
      <c r="P63" s="88"/>
      <c r="Q63" s="132">
        <f t="shared" si="32"/>
        <v>0</v>
      </c>
      <c r="R63" s="132">
        <f t="shared" si="33"/>
        <v>0</v>
      </c>
      <c r="S63" s="132">
        <f t="shared" si="34"/>
        <v>0</v>
      </c>
      <c r="T63" s="133">
        <f t="shared" si="35"/>
        <v>0</v>
      </c>
      <c r="U63" s="134">
        <f t="shared" si="3"/>
        <v>0</v>
      </c>
      <c r="V63" s="135"/>
      <c r="W63" s="136"/>
      <c r="X63" s="2"/>
      <c r="Y63" s="111"/>
      <c r="Z63" s="3"/>
    </row>
    <row r="64" ht="14.25" hidden="1" customHeight="1" outlineLevel="2">
      <c r="A64" s="124"/>
      <c r="B64" s="125" t="s">
        <v>157</v>
      </c>
      <c r="C64" s="126" t="s">
        <v>158</v>
      </c>
      <c r="D64" s="127" t="s">
        <v>120</v>
      </c>
      <c r="E64" s="35"/>
      <c r="F64" s="128"/>
      <c r="G64" s="128"/>
      <c r="H64" s="128"/>
      <c r="I64" s="127">
        <f t="shared" si="28"/>
        <v>0</v>
      </c>
      <c r="J64" s="88"/>
      <c r="K64" s="129">
        <f t="shared" si="29"/>
        <v>12.7620256</v>
      </c>
      <c r="L64" s="130">
        <v>0.6</v>
      </c>
      <c r="M64" s="129">
        <f t="shared" si="30"/>
        <v>8.50801707</v>
      </c>
      <c r="N64" s="130">
        <f t="shared" si="31"/>
        <v>0.4</v>
      </c>
      <c r="O64" s="131">
        <f t="array" ref="O64">INDEX('LPU Regionalizada'!$B$3:$N$785,MATCH($B64,'LPU Regionalizada'!$B$3:$B$785,0),MATCH(INDEX(CTRL!$F$3:$F$29,CTRL!$E$1),'LPU Regionalizada'!$B$3:$N$3,0))</f>
        <v>21.27004267</v>
      </c>
      <c r="P64" s="88"/>
      <c r="Q64" s="132">
        <f t="shared" si="32"/>
        <v>0</v>
      </c>
      <c r="R64" s="132">
        <f t="shared" si="33"/>
        <v>0</v>
      </c>
      <c r="S64" s="132">
        <f t="shared" si="34"/>
        <v>0</v>
      </c>
      <c r="T64" s="133">
        <f t="shared" si="35"/>
        <v>0</v>
      </c>
      <c r="U64" s="134">
        <f t="shared" si="3"/>
        <v>0</v>
      </c>
      <c r="V64" s="135"/>
      <c r="W64" s="136"/>
      <c r="X64" s="2"/>
      <c r="Y64" s="111"/>
      <c r="Z64" s="3"/>
    </row>
    <row r="65" ht="14.25" hidden="1" customHeight="1" outlineLevel="2">
      <c r="A65" s="124"/>
      <c r="B65" s="125" t="s">
        <v>159</v>
      </c>
      <c r="C65" s="126" t="s">
        <v>160</v>
      </c>
      <c r="D65" s="127" t="s">
        <v>76</v>
      </c>
      <c r="E65" s="35"/>
      <c r="F65" s="128"/>
      <c r="G65" s="128"/>
      <c r="H65" s="128"/>
      <c r="I65" s="127">
        <f t="shared" si="28"/>
        <v>0</v>
      </c>
      <c r="J65" s="88"/>
      <c r="K65" s="129">
        <f t="shared" si="29"/>
        <v>2.54254</v>
      </c>
      <c r="L65" s="130">
        <v>0.6</v>
      </c>
      <c r="M65" s="129">
        <f t="shared" si="30"/>
        <v>1.695026667</v>
      </c>
      <c r="N65" s="130">
        <f t="shared" si="31"/>
        <v>0.4</v>
      </c>
      <c r="O65" s="131">
        <f t="array" ref="O65">INDEX('LPU Regionalizada'!$B$3:$N$785,MATCH($B65,'LPU Regionalizada'!$B$3:$B$785,0),MATCH(INDEX(CTRL!$F$3:$F$29,CTRL!$E$1),'LPU Regionalizada'!$B$3:$N$3,0))</f>
        <v>4.237566667</v>
      </c>
      <c r="P65" s="88"/>
      <c r="Q65" s="132">
        <f t="shared" si="32"/>
        <v>0</v>
      </c>
      <c r="R65" s="132">
        <f t="shared" si="33"/>
        <v>0</v>
      </c>
      <c r="S65" s="132">
        <f t="shared" si="34"/>
        <v>0</v>
      </c>
      <c r="T65" s="133">
        <f t="shared" si="35"/>
        <v>0</v>
      </c>
      <c r="U65" s="134">
        <f t="shared" si="3"/>
        <v>0</v>
      </c>
      <c r="V65" s="135"/>
      <c r="W65" s="136"/>
      <c r="X65" s="2"/>
      <c r="Y65" s="111"/>
      <c r="Z65" s="3"/>
    </row>
    <row r="66" ht="14.25" hidden="1" customHeight="1" outlineLevel="2">
      <c r="A66" s="124"/>
      <c r="B66" s="125" t="s">
        <v>161</v>
      </c>
      <c r="C66" s="126" t="s">
        <v>162</v>
      </c>
      <c r="D66" s="127" t="s">
        <v>76</v>
      </c>
      <c r="E66" s="35"/>
      <c r="F66" s="128"/>
      <c r="G66" s="128"/>
      <c r="H66" s="128"/>
      <c r="I66" s="127">
        <f t="shared" si="28"/>
        <v>0</v>
      </c>
      <c r="J66" s="88"/>
      <c r="K66" s="129">
        <f t="shared" si="29"/>
        <v>9.848664</v>
      </c>
      <c r="L66" s="130">
        <v>0.6</v>
      </c>
      <c r="M66" s="129">
        <f t="shared" si="30"/>
        <v>6.565776</v>
      </c>
      <c r="N66" s="130">
        <f t="shared" si="31"/>
        <v>0.4</v>
      </c>
      <c r="O66" s="131">
        <f t="array" ref="O66">INDEX('LPU Regionalizada'!$B$3:$N$785,MATCH($B66,'LPU Regionalizada'!$B$3:$B$785,0),MATCH(INDEX(CTRL!$F$3:$F$29,CTRL!$E$1),'LPU Regionalizada'!$B$3:$N$3,0))</f>
        <v>16.41444</v>
      </c>
      <c r="P66" s="88"/>
      <c r="Q66" s="132">
        <f t="shared" si="32"/>
        <v>0</v>
      </c>
      <c r="R66" s="132">
        <f t="shared" si="33"/>
        <v>0</v>
      </c>
      <c r="S66" s="132">
        <f t="shared" si="34"/>
        <v>0</v>
      </c>
      <c r="T66" s="133">
        <f t="shared" si="35"/>
        <v>0</v>
      </c>
      <c r="U66" s="134">
        <f t="shared" si="3"/>
        <v>0</v>
      </c>
      <c r="V66" s="135"/>
      <c r="W66" s="136"/>
      <c r="X66" s="2"/>
      <c r="Y66" s="111"/>
      <c r="Z66" s="3"/>
    </row>
    <row r="67" ht="14.25" hidden="1" customHeight="1" outlineLevel="1">
      <c r="A67" s="112"/>
      <c r="B67" s="113" t="s">
        <v>163</v>
      </c>
      <c r="C67" s="114" t="s">
        <v>164</v>
      </c>
      <c r="D67" s="115"/>
      <c r="E67" s="35"/>
      <c r="F67" s="113"/>
      <c r="G67" s="116"/>
      <c r="H67" s="116"/>
      <c r="I67" s="115"/>
      <c r="J67" s="88"/>
      <c r="K67" s="117"/>
      <c r="L67" s="118"/>
      <c r="M67" s="118"/>
      <c r="N67" s="118"/>
      <c r="O67" s="119"/>
      <c r="P67" s="88"/>
      <c r="Q67" s="120"/>
      <c r="R67" s="120"/>
      <c r="S67" s="120"/>
      <c r="T67" s="120">
        <f>SUM(T68:T71)</f>
        <v>0</v>
      </c>
      <c r="U67" s="121">
        <f t="shared" si="3"/>
        <v>0</v>
      </c>
      <c r="V67" s="122"/>
      <c r="W67" s="123"/>
      <c r="X67" s="2"/>
      <c r="Y67" s="111"/>
      <c r="Z67" s="3"/>
    </row>
    <row r="68" ht="14.25" hidden="1" customHeight="1" outlineLevel="2">
      <c r="A68" s="124"/>
      <c r="B68" s="125" t="s">
        <v>165</v>
      </c>
      <c r="C68" s="126" t="s">
        <v>166</v>
      </c>
      <c r="D68" s="127" t="s">
        <v>167</v>
      </c>
      <c r="E68" s="35"/>
      <c r="F68" s="128"/>
      <c r="G68" s="128"/>
      <c r="H68" s="128"/>
      <c r="I68" s="127">
        <f t="shared" ref="I68:I71" si="36">F68+G68+H68</f>
        <v>0</v>
      </c>
      <c r="J68" s="88"/>
      <c r="K68" s="129">
        <f t="shared" ref="K68:K71" si="37">L68*O68</f>
        <v>782.5463966</v>
      </c>
      <c r="L68" s="130">
        <v>0.6</v>
      </c>
      <c r="M68" s="129">
        <f t="shared" ref="M68:M71" si="38">N68*O68</f>
        <v>521.6975978</v>
      </c>
      <c r="N68" s="130">
        <f t="shared" ref="N68:N71" si="39">100%-L68</f>
        <v>0.4</v>
      </c>
      <c r="O68" s="131">
        <f t="array" ref="O68">INDEX('LPU Regionalizada'!$B$3:$N$785,MATCH($B68,'LPU Regionalizada'!$B$3:$B$785,0),MATCH(INDEX(CTRL!$F$3:$F$29,CTRL!$E$1),'LPU Regionalizada'!$B$3:$N$3,0))</f>
        <v>1304.243994</v>
      </c>
      <c r="P68" s="88"/>
      <c r="Q68" s="132">
        <f t="shared" ref="Q68:Q71" si="40">F68*O68</f>
        <v>0</v>
      </c>
      <c r="R68" s="132">
        <f t="shared" ref="R68:R71" si="41">G68*O68</f>
        <v>0</v>
      </c>
      <c r="S68" s="132">
        <f t="shared" ref="S68:S71" si="42">H68*O68</f>
        <v>0</v>
      </c>
      <c r="T68" s="133">
        <f t="shared" ref="T68:T71" si="43">SUM(Q68:S68)</f>
        <v>0</v>
      </c>
      <c r="U68" s="134">
        <f t="shared" si="3"/>
        <v>0</v>
      </c>
      <c r="V68" s="135"/>
      <c r="W68" s="136"/>
      <c r="X68" s="2"/>
      <c r="Y68" s="111"/>
      <c r="Z68" s="3"/>
    </row>
    <row r="69" ht="14.25" hidden="1" customHeight="1" outlineLevel="2">
      <c r="A69" s="124"/>
      <c r="B69" s="125" t="s">
        <v>168</v>
      </c>
      <c r="C69" s="126" t="s">
        <v>169</v>
      </c>
      <c r="D69" s="127" t="s">
        <v>167</v>
      </c>
      <c r="E69" s="35"/>
      <c r="F69" s="128"/>
      <c r="G69" s="128"/>
      <c r="H69" s="128"/>
      <c r="I69" s="127">
        <f t="shared" si="36"/>
        <v>0</v>
      </c>
      <c r="J69" s="88"/>
      <c r="K69" s="129">
        <f t="shared" si="37"/>
        <v>767.2931538</v>
      </c>
      <c r="L69" s="130">
        <v>0.6</v>
      </c>
      <c r="M69" s="129">
        <f t="shared" si="38"/>
        <v>511.5287692</v>
      </c>
      <c r="N69" s="130">
        <f t="shared" si="39"/>
        <v>0.4</v>
      </c>
      <c r="O69" s="131">
        <f t="array" ref="O69">INDEX('LPU Regionalizada'!$B$3:$N$785,MATCH($B69,'LPU Regionalizada'!$B$3:$B$785,0),MATCH(INDEX(CTRL!$F$3:$F$29,CTRL!$E$1),'LPU Regionalizada'!$B$3:$N$3,0))</f>
        <v>1278.821923</v>
      </c>
      <c r="P69" s="88"/>
      <c r="Q69" s="132">
        <f t="shared" si="40"/>
        <v>0</v>
      </c>
      <c r="R69" s="132">
        <f t="shared" si="41"/>
        <v>0</v>
      </c>
      <c r="S69" s="132">
        <f t="shared" si="42"/>
        <v>0</v>
      </c>
      <c r="T69" s="133">
        <f t="shared" si="43"/>
        <v>0</v>
      </c>
      <c r="U69" s="134">
        <f t="shared" si="3"/>
        <v>0</v>
      </c>
      <c r="V69" s="135"/>
      <c r="W69" s="136"/>
      <c r="X69" s="2"/>
      <c r="Y69" s="111"/>
      <c r="Z69" s="3"/>
    </row>
    <row r="70" ht="14.25" hidden="1" customHeight="1" outlineLevel="2">
      <c r="A70" s="124"/>
      <c r="B70" s="125" t="s">
        <v>170</v>
      </c>
      <c r="C70" s="126" t="s">
        <v>171</v>
      </c>
      <c r="D70" s="127" t="s">
        <v>167</v>
      </c>
      <c r="E70" s="35"/>
      <c r="F70" s="128"/>
      <c r="G70" s="128"/>
      <c r="H70" s="128"/>
      <c r="I70" s="127">
        <f t="shared" si="36"/>
        <v>0</v>
      </c>
      <c r="J70" s="88"/>
      <c r="K70" s="129">
        <f t="shared" si="37"/>
        <v>459.8773632</v>
      </c>
      <c r="L70" s="130">
        <v>0.6</v>
      </c>
      <c r="M70" s="129">
        <f t="shared" si="38"/>
        <v>306.5849088</v>
      </c>
      <c r="N70" s="130">
        <f t="shared" si="39"/>
        <v>0.4</v>
      </c>
      <c r="O70" s="131">
        <f t="array" ref="O70">INDEX('LPU Regionalizada'!$B$3:$N$785,MATCH($B70,'LPU Regionalizada'!$B$3:$B$785,0),MATCH(INDEX(CTRL!$F$3:$F$29,CTRL!$E$1),'LPU Regionalizada'!$B$3:$N$3,0))</f>
        <v>766.462272</v>
      </c>
      <c r="P70" s="88"/>
      <c r="Q70" s="132">
        <f t="shared" si="40"/>
        <v>0</v>
      </c>
      <c r="R70" s="132">
        <f t="shared" si="41"/>
        <v>0</v>
      </c>
      <c r="S70" s="132">
        <f t="shared" si="42"/>
        <v>0</v>
      </c>
      <c r="T70" s="133">
        <f t="shared" si="43"/>
        <v>0</v>
      </c>
      <c r="U70" s="134">
        <f t="shared" si="3"/>
        <v>0</v>
      </c>
      <c r="V70" s="135"/>
      <c r="W70" s="136"/>
      <c r="X70" s="2"/>
      <c r="Y70" s="111"/>
      <c r="Z70" s="3"/>
    </row>
    <row r="71" ht="14.25" hidden="1" customHeight="1" outlineLevel="2">
      <c r="A71" s="124"/>
      <c r="B71" s="125" t="s">
        <v>172</v>
      </c>
      <c r="C71" s="126" t="s">
        <v>173</v>
      </c>
      <c r="D71" s="127" t="s">
        <v>142</v>
      </c>
      <c r="E71" s="35"/>
      <c r="F71" s="128"/>
      <c r="G71" s="128"/>
      <c r="H71" s="128"/>
      <c r="I71" s="127">
        <f t="shared" si="36"/>
        <v>0</v>
      </c>
      <c r="J71" s="88"/>
      <c r="K71" s="129">
        <f t="shared" si="37"/>
        <v>209.9353152</v>
      </c>
      <c r="L71" s="130">
        <v>0.6</v>
      </c>
      <c r="M71" s="129">
        <f t="shared" si="38"/>
        <v>139.9568768</v>
      </c>
      <c r="N71" s="130">
        <f t="shared" si="39"/>
        <v>0.4</v>
      </c>
      <c r="O71" s="131">
        <f t="array" ref="O71">INDEX('LPU Regionalizada'!$B$3:$N$785,MATCH($B71,'LPU Regionalizada'!$B$3:$B$785,0),MATCH(INDEX(CTRL!$F$3:$F$29,CTRL!$E$1),'LPU Regionalizada'!$B$3:$N$3,0))</f>
        <v>349.892192</v>
      </c>
      <c r="P71" s="88"/>
      <c r="Q71" s="132">
        <f t="shared" si="40"/>
        <v>0</v>
      </c>
      <c r="R71" s="132">
        <f t="shared" si="41"/>
        <v>0</v>
      </c>
      <c r="S71" s="132">
        <f t="shared" si="42"/>
        <v>0</v>
      </c>
      <c r="T71" s="133">
        <f t="shared" si="43"/>
        <v>0</v>
      </c>
      <c r="U71" s="134">
        <f t="shared" si="3"/>
        <v>0</v>
      </c>
      <c r="V71" s="135"/>
      <c r="W71" s="136"/>
      <c r="X71" s="2"/>
      <c r="Y71" s="111"/>
      <c r="Z71" s="3"/>
    </row>
    <row r="72" ht="14.25" hidden="1" customHeight="1" outlineLevel="1">
      <c r="A72" s="112"/>
      <c r="B72" s="113" t="s">
        <v>174</v>
      </c>
      <c r="C72" s="114" t="s">
        <v>175</v>
      </c>
      <c r="D72" s="115"/>
      <c r="E72" s="35"/>
      <c r="F72" s="113"/>
      <c r="G72" s="116"/>
      <c r="H72" s="116"/>
      <c r="I72" s="115"/>
      <c r="J72" s="88"/>
      <c r="K72" s="117"/>
      <c r="L72" s="118"/>
      <c r="M72" s="118"/>
      <c r="N72" s="118"/>
      <c r="O72" s="119"/>
      <c r="P72" s="88"/>
      <c r="Q72" s="120"/>
      <c r="R72" s="120"/>
      <c r="S72" s="120"/>
      <c r="T72" s="120">
        <f>SUM(T73:T79)</f>
        <v>0</v>
      </c>
      <c r="U72" s="121">
        <f t="shared" si="3"/>
        <v>0</v>
      </c>
      <c r="V72" s="122"/>
      <c r="W72" s="123"/>
      <c r="X72" s="2"/>
      <c r="Y72" s="111"/>
      <c r="Z72" s="3"/>
    </row>
    <row r="73" ht="14.25" hidden="1" customHeight="1" outlineLevel="2">
      <c r="A73" s="124"/>
      <c r="B73" s="125" t="s">
        <v>176</v>
      </c>
      <c r="C73" s="126" t="s">
        <v>177</v>
      </c>
      <c r="D73" s="127" t="s">
        <v>142</v>
      </c>
      <c r="E73" s="35"/>
      <c r="F73" s="128"/>
      <c r="G73" s="128"/>
      <c r="H73" s="128"/>
      <c r="I73" s="127">
        <f t="shared" ref="I73:I79" si="44">F73+G73+H73</f>
        <v>0</v>
      </c>
      <c r="J73" s="88"/>
      <c r="K73" s="129">
        <f t="shared" ref="K73:K79" si="45">L73*O73</f>
        <v>20.63142469</v>
      </c>
      <c r="L73" s="130">
        <v>0.6</v>
      </c>
      <c r="M73" s="129">
        <f t="shared" ref="M73:M79" si="46">N73*O73</f>
        <v>13.75428312</v>
      </c>
      <c r="N73" s="130">
        <f t="shared" ref="N73:N79" si="47">100%-L73</f>
        <v>0.4</v>
      </c>
      <c r="O73" s="131">
        <f t="array" ref="O73">INDEX('LPU Regionalizada'!$B$3:$N$785,MATCH($B73,'LPU Regionalizada'!$B$3:$B$785,0),MATCH(INDEX(CTRL!$F$3:$F$29,CTRL!$E$1),'LPU Regionalizada'!$B$3:$N$3,0))</f>
        <v>34.38570781</v>
      </c>
      <c r="P73" s="88"/>
      <c r="Q73" s="132">
        <f t="shared" ref="Q73:Q79" si="48">F73*O73</f>
        <v>0</v>
      </c>
      <c r="R73" s="132">
        <f t="shared" ref="R73:R79" si="49">G73*O73</f>
        <v>0</v>
      </c>
      <c r="S73" s="132">
        <f t="shared" ref="S73:S79" si="50">H73*O73</f>
        <v>0</v>
      </c>
      <c r="T73" s="133">
        <f t="shared" ref="T73:T79" si="51">SUM(Q73:S73)</f>
        <v>0</v>
      </c>
      <c r="U73" s="134">
        <f t="shared" si="3"/>
        <v>0</v>
      </c>
      <c r="V73" s="135"/>
      <c r="W73" s="136"/>
      <c r="X73" s="2"/>
      <c r="Y73" s="111"/>
      <c r="Z73" s="3"/>
    </row>
    <row r="74" ht="14.25" hidden="1" customHeight="1" outlineLevel="2">
      <c r="A74" s="124"/>
      <c r="B74" s="125" t="s">
        <v>178</v>
      </c>
      <c r="C74" s="126" t="s">
        <v>179</v>
      </c>
      <c r="D74" s="127" t="s">
        <v>180</v>
      </c>
      <c r="E74" s="35"/>
      <c r="F74" s="128"/>
      <c r="G74" s="128"/>
      <c r="H74" s="128"/>
      <c r="I74" s="127">
        <f t="shared" si="44"/>
        <v>0</v>
      </c>
      <c r="J74" s="88"/>
      <c r="K74" s="129">
        <f t="shared" si="45"/>
        <v>42.56552365</v>
      </c>
      <c r="L74" s="130">
        <v>0.6</v>
      </c>
      <c r="M74" s="129">
        <f t="shared" si="46"/>
        <v>28.37701577</v>
      </c>
      <c r="N74" s="130">
        <f t="shared" si="47"/>
        <v>0.4</v>
      </c>
      <c r="O74" s="131">
        <f t="array" ref="O74">INDEX('LPU Regionalizada'!$B$3:$N$785,MATCH($B74,'LPU Regionalizada'!$B$3:$B$785,0),MATCH(INDEX(CTRL!$F$3:$F$29,CTRL!$E$1),'LPU Regionalizada'!$B$3:$N$3,0))</f>
        <v>70.94253941</v>
      </c>
      <c r="P74" s="88"/>
      <c r="Q74" s="132">
        <f t="shared" si="48"/>
        <v>0</v>
      </c>
      <c r="R74" s="132">
        <f t="shared" si="49"/>
        <v>0</v>
      </c>
      <c r="S74" s="132">
        <f t="shared" si="50"/>
        <v>0</v>
      </c>
      <c r="T74" s="133">
        <f t="shared" si="51"/>
        <v>0</v>
      </c>
      <c r="U74" s="134">
        <f t="shared" si="3"/>
        <v>0</v>
      </c>
      <c r="V74" s="135"/>
      <c r="W74" s="136"/>
      <c r="X74" s="2"/>
      <c r="Y74" s="111"/>
      <c r="Z74" s="3"/>
    </row>
    <row r="75" ht="14.25" hidden="1" customHeight="1" outlineLevel="2">
      <c r="A75" s="124"/>
      <c r="B75" s="125" t="s">
        <v>181</v>
      </c>
      <c r="C75" s="126" t="s">
        <v>182</v>
      </c>
      <c r="D75" s="127" t="s">
        <v>180</v>
      </c>
      <c r="E75" s="35"/>
      <c r="F75" s="128"/>
      <c r="G75" s="128"/>
      <c r="H75" s="128"/>
      <c r="I75" s="127">
        <f t="shared" si="44"/>
        <v>0</v>
      </c>
      <c r="J75" s="88"/>
      <c r="K75" s="129">
        <f t="shared" si="45"/>
        <v>55.5961662</v>
      </c>
      <c r="L75" s="130">
        <v>0.6</v>
      </c>
      <c r="M75" s="129">
        <f t="shared" si="46"/>
        <v>37.0641108</v>
      </c>
      <c r="N75" s="130">
        <f t="shared" si="47"/>
        <v>0.4</v>
      </c>
      <c r="O75" s="131">
        <f t="array" ref="O75">INDEX('LPU Regionalizada'!$B$3:$N$785,MATCH($B75,'LPU Regionalizada'!$B$3:$B$785,0),MATCH(INDEX(CTRL!$F$3:$F$29,CTRL!$E$1),'LPU Regionalizada'!$B$3:$N$3,0))</f>
        <v>92.660277</v>
      </c>
      <c r="P75" s="88"/>
      <c r="Q75" s="132">
        <f t="shared" si="48"/>
        <v>0</v>
      </c>
      <c r="R75" s="132">
        <f t="shared" si="49"/>
        <v>0</v>
      </c>
      <c r="S75" s="132">
        <f t="shared" si="50"/>
        <v>0</v>
      </c>
      <c r="T75" s="133">
        <f t="shared" si="51"/>
        <v>0</v>
      </c>
      <c r="U75" s="134">
        <f t="shared" si="3"/>
        <v>0</v>
      </c>
      <c r="V75" s="135"/>
      <c r="W75" s="136"/>
      <c r="X75" s="2"/>
      <c r="Y75" s="111"/>
      <c r="Z75" s="3"/>
    </row>
    <row r="76" ht="14.25" hidden="1" customHeight="1" outlineLevel="2">
      <c r="A76" s="124"/>
      <c r="B76" s="125" t="s">
        <v>183</v>
      </c>
      <c r="C76" s="126" t="s">
        <v>184</v>
      </c>
      <c r="D76" s="127" t="s">
        <v>180</v>
      </c>
      <c r="E76" s="35"/>
      <c r="F76" s="128"/>
      <c r="G76" s="128"/>
      <c r="H76" s="128"/>
      <c r="I76" s="127">
        <f t="shared" si="44"/>
        <v>0</v>
      </c>
      <c r="J76" s="88"/>
      <c r="K76" s="129">
        <f t="shared" si="45"/>
        <v>219.2571</v>
      </c>
      <c r="L76" s="130">
        <v>0.6</v>
      </c>
      <c r="M76" s="129">
        <f t="shared" si="46"/>
        <v>146.1714</v>
      </c>
      <c r="N76" s="130">
        <f t="shared" si="47"/>
        <v>0.4</v>
      </c>
      <c r="O76" s="131">
        <f t="array" ref="O76">INDEX('LPU Regionalizada'!$B$3:$N$785,MATCH($B76,'LPU Regionalizada'!$B$3:$B$785,0),MATCH(INDEX(CTRL!$F$3:$F$29,CTRL!$E$1),'LPU Regionalizada'!$B$3:$N$3,0))</f>
        <v>365.4285</v>
      </c>
      <c r="P76" s="88"/>
      <c r="Q76" s="132">
        <f t="shared" si="48"/>
        <v>0</v>
      </c>
      <c r="R76" s="132">
        <f t="shared" si="49"/>
        <v>0</v>
      </c>
      <c r="S76" s="132">
        <f t="shared" si="50"/>
        <v>0</v>
      </c>
      <c r="T76" s="133">
        <f t="shared" si="51"/>
        <v>0</v>
      </c>
      <c r="U76" s="134">
        <f t="shared" si="3"/>
        <v>0</v>
      </c>
      <c r="V76" s="135"/>
      <c r="W76" s="136"/>
      <c r="X76" s="2"/>
      <c r="Y76" s="111"/>
      <c r="Z76" s="3"/>
    </row>
    <row r="77" ht="14.25" hidden="1" customHeight="1" outlineLevel="2">
      <c r="A77" s="124"/>
      <c r="B77" s="125" t="s">
        <v>185</v>
      </c>
      <c r="C77" s="126" t="s">
        <v>186</v>
      </c>
      <c r="D77" s="127" t="s">
        <v>180</v>
      </c>
      <c r="E77" s="35"/>
      <c r="F77" s="128"/>
      <c r="G77" s="128"/>
      <c r="H77" s="128"/>
      <c r="I77" s="127">
        <f t="shared" si="44"/>
        <v>0</v>
      </c>
      <c r="J77" s="88"/>
      <c r="K77" s="129">
        <f t="shared" si="45"/>
        <v>281.1612</v>
      </c>
      <c r="L77" s="130">
        <v>0.6</v>
      </c>
      <c r="M77" s="129">
        <f t="shared" si="46"/>
        <v>187.4408</v>
      </c>
      <c r="N77" s="130">
        <f t="shared" si="47"/>
        <v>0.4</v>
      </c>
      <c r="O77" s="131">
        <f t="array" ref="O77">INDEX('LPU Regionalizada'!$B$3:$N$785,MATCH($B77,'LPU Regionalizada'!$B$3:$B$785,0),MATCH(INDEX(CTRL!$F$3:$F$29,CTRL!$E$1),'LPU Regionalizada'!$B$3:$N$3,0))</f>
        <v>468.602</v>
      </c>
      <c r="P77" s="88"/>
      <c r="Q77" s="132">
        <f t="shared" si="48"/>
        <v>0</v>
      </c>
      <c r="R77" s="132">
        <f t="shared" si="49"/>
        <v>0</v>
      </c>
      <c r="S77" s="132">
        <f t="shared" si="50"/>
        <v>0</v>
      </c>
      <c r="T77" s="133">
        <f t="shared" si="51"/>
        <v>0</v>
      </c>
      <c r="U77" s="134">
        <f t="shared" si="3"/>
        <v>0</v>
      </c>
      <c r="V77" s="135"/>
      <c r="W77" s="136"/>
      <c r="X77" s="2"/>
      <c r="Y77" s="111"/>
      <c r="Z77" s="3"/>
    </row>
    <row r="78" ht="14.25" hidden="1" customHeight="1" outlineLevel="2">
      <c r="A78" s="124"/>
      <c r="B78" s="125" t="s">
        <v>187</v>
      </c>
      <c r="C78" s="126" t="s">
        <v>188</v>
      </c>
      <c r="D78" s="127" t="s">
        <v>180</v>
      </c>
      <c r="E78" s="35"/>
      <c r="F78" s="128"/>
      <c r="G78" s="128"/>
      <c r="H78" s="128"/>
      <c r="I78" s="127">
        <f t="shared" si="44"/>
        <v>0</v>
      </c>
      <c r="J78" s="88"/>
      <c r="K78" s="129">
        <f t="shared" si="45"/>
        <v>61.71447257</v>
      </c>
      <c r="L78" s="130">
        <v>0.6</v>
      </c>
      <c r="M78" s="129">
        <f t="shared" si="46"/>
        <v>41.14298171</v>
      </c>
      <c r="N78" s="130">
        <f t="shared" si="47"/>
        <v>0.4</v>
      </c>
      <c r="O78" s="131">
        <f t="array" ref="O78">INDEX('LPU Regionalizada'!$B$3:$N$785,MATCH($B78,'LPU Regionalizada'!$B$3:$B$785,0),MATCH(INDEX(CTRL!$F$3:$F$29,CTRL!$E$1),'LPU Regionalizada'!$B$3:$N$3,0))</f>
        <v>102.8574543</v>
      </c>
      <c r="P78" s="88"/>
      <c r="Q78" s="132">
        <f t="shared" si="48"/>
        <v>0</v>
      </c>
      <c r="R78" s="132">
        <f t="shared" si="49"/>
        <v>0</v>
      </c>
      <c r="S78" s="132">
        <f t="shared" si="50"/>
        <v>0</v>
      </c>
      <c r="T78" s="133">
        <f t="shared" si="51"/>
        <v>0</v>
      </c>
      <c r="U78" s="134">
        <f t="shared" si="3"/>
        <v>0</v>
      </c>
      <c r="V78" s="135"/>
      <c r="W78" s="136"/>
      <c r="X78" s="2"/>
      <c r="Y78" s="111"/>
      <c r="Z78" s="3"/>
    </row>
    <row r="79" ht="14.25" hidden="1" customHeight="1" outlineLevel="2">
      <c r="A79" s="124"/>
      <c r="B79" s="125" t="s">
        <v>189</v>
      </c>
      <c r="C79" s="126" t="s">
        <v>190</v>
      </c>
      <c r="D79" s="127" t="s">
        <v>180</v>
      </c>
      <c r="E79" s="35"/>
      <c r="F79" s="128"/>
      <c r="G79" s="128"/>
      <c r="H79" s="128"/>
      <c r="I79" s="127">
        <f t="shared" si="44"/>
        <v>0</v>
      </c>
      <c r="J79" s="88"/>
      <c r="K79" s="129">
        <f t="shared" si="45"/>
        <v>83.20270925</v>
      </c>
      <c r="L79" s="130">
        <v>0.6</v>
      </c>
      <c r="M79" s="129">
        <f t="shared" si="46"/>
        <v>55.46847283</v>
      </c>
      <c r="N79" s="130">
        <f t="shared" si="47"/>
        <v>0.4</v>
      </c>
      <c r="O79" s="131">
        <f t="array" ref="O79">INDEX('LPU Regionalizada'!$B$3:$N$785,MATCH($B79,'LPU Regionalizada'!$B$3:$B$785,0),MATCH(INDEX(CTRL!$F$3:$F$29,CTRL!$E$1),'LPU Regionalizada'!$B$3:$N$3,0))</f>
        <v>138.6711821</v>
      </c>
      <c r="P79" s="88"/>
      <c r="Q79" s="132">
        <f t="shared" si="48"/>
        <v>0</v>
      </c>
      <c r="R79" s="132">
        <f t="shared" si="49"/>
        <v>0</v>
      </c>
      <c r="S79" s="132">
        <f t="shared" si="50"/>
        <v>0</v>
      </c>
      <c r="T79" s="133">
        <f t="shared" si="51"/>
        <v>0</v>
      </c>
      <c r="U79" s="134">
        <f t="shared" si="3"/>
        <v>0</v>
      </c>
      <c r="V79" s="135"/>
      <c r="W79" s="136"/>
      <c r="X79" s="2"/>
      <c r="Y79" s="111"/>
      <c r="Z79" s="3"/>
    </row>
    <row r="80" ht="14.25" hidden="1" customHeight="1" outlineLevel="1">
      <c r="A80" s="112"/>
      <c r="B80" s="113" t="s">
        <v>191</v>
      </c>
      <c r="C80" s="114" t="s">
        <v>192</v>
      </c>
      <c r="D80" s="115"/>
      <c r="E80" s="35"/>
      <c r="F80" s="113"/>
      <c r="G80" s="116"/>
      <c r="H80" s="116"/>
      <c r="I80" s="115"/>
      <c r="J80" s="88"/>
      <c r="K80" s="117"/>
      <c r="L80" s="118"/>
      <c r="M80" s="118"/>
      <c r="N80" s="118"/>
      <c r="O80" s="119"/>
      <c r="P80" s="88"/>
      <c r="Q80" s="120"/>
      <c r="R80" s="120"/>
      <c r="S80" s="120"/>
      <c r="T80" s="120">
        <f>SUM(T81:T86)</f>
        <v>0</v>
      </c>
      <c r="U80" s="121">
        <f t="shared" si="3"/>
        <v>0</v>
      </c>
      <c r="V80" s="122"/>
      <c r="W80" s="123"/>
      <c r="X80" s="2"/>
      <c r="Y80" s="111"/>
      <c r="Z80" s="3"/>
    </row>
    <row r="81" ht="14.25" hidden="1" customHeight="1" outlineLevel="2">
      <c r="A81" s="124"/>
      <c r="B81" s="125" t="s">
        <v>193</v>
      </c>
      <c r="C81" s="126" t="s">
        <v>194</v>
      </c>
      <c r="D81" s="127" t="s">
        <v>120</v>
      </c>
      <c r="E81" s="35"/>
      <c r="F81" s="128"/>
      <c r="G81" s="128"/>
      <c r="H81" s="128"/>
      <c r="I81" s="127">
        <f t="shared" ref="I81:I86" si="52">F81+G81+H81</f>
        <v>0</v>
      </c>
      <c r="J81" s="88"/>
      <c r="K81" s="129">
        <f t="shared" ref="K81:K86" si="53">L81*O81</f>
        <v>227.0698991</v>
      </c>
      <c r="L81" s="130">
        <v>0.6</v>
      </c>
      <c r="M81" s="129">
        <f t="shared" ref="M81:M86" si="54">N81*O81</f>
        <v>151.3799327</v>
      </c>
      <c r="N81" s="130">
        <f t="shared" ref="N81:N86" si="55">100%-L81</f>
        <v>0.4</v>
      </c>
      <c r="O81" s="131">
        <f t="array" ref="O81">INDEX('LPU Regionalizada'!$B$3:$N$785,MATCH($B81,'LPU Regionalizada'!$B$3:$B$785,0),MATCH(INDEX(CTRL!$F$3:$F$29,CTRL!$E$1),'LPU Regionalizada'!$B$3:$N$3,0))</f>
        <v>378.4498318</v>
      </c>
      <c r="P81" s="88"/>
      <c r="Q81" s="132">
        <f t="shared" ref="Q81:Q86" si="56">F81*O81</f>
        <v>0</v>
      </c>
      <c r="R81" s="132">
        <f t="shared" ref="R81:R86" si="57">G81*O81</f>
        <v>0</v>
      </c>
      <c r="S81" s="132">
        <f t="shared" ref="S81:S86" si="58">H81*O81</f>
        <v>0</v>
      </c>
      <c r="T81" s="133">
        <f t="shared" ref="T81:T86" si="59">SUM(Q81:S81)</f>
        <v>0</v>
      </c>
      <c r="U81" s="134">
        <f t="shared" si="3"/>
        <v>0</v>
      </c>
      <c r="V81" s="135"/>
      <c r="W81" s="136"/>
      <c r="X81" s="2"/>
      <c r="Y81" s="111"/>
      <c r="Z81" s="3"/>
    </row>
    <row r="82" ht="14.25" hidden="1" customHeight="1" outlineLevel="2">
      <c r="A82" s="124"/>
      <c r="B82" s="125" t="s">
        <v>195</v>
      </c>
      <c r="C82" s="126" t="s">
        <v>196</v>
      </c>
      <c r="D82" s="127" t="s">
        <v>120</v>
      </c>
      <c r="E82" s="35"/>
      <c r="F82" s="128"/>
      <c r="G82" s="128"/>
      <c r="H82" s="128"/>
      <c r="I82" s="127">
        <f t="shared" si="52"/>
        <v>0</v>
      </c>
      <c r="J82" s="88"/>
      <c r="K82" s="129">
        <f t="shared" si="53"/>
        <v>26.84072388</v>
      </c>
      <c r="L82" s="130">
        <v>0.6</v>
      </c>
      <c r="M82" s="129">
        <f t="shared" si="54"/>
        <v>17.89381592</v>
      </c>
      <c r="N82" s="130">
        <f t="shared" si="55"/>
        <v>0.4</v>
      </c>
      <c r="O82" s="131">
        <f t="array" ref="O82">INDEX('LPU Regionalizada'!$B$3:$N$785,MATCH($B82,'LPU Regionalizada'!$B$3:$B$785,0),MATCH(INDEX(CTRL!$F$3:$F$29,CTRL!$E$1),'LPU Regionalizada'!$B$3:$N$3,0))</f>
        <v>44.73453979</v>
      </c>
      <c r="P82" s="88"/>
      <c r="Q82" s="132">
        <f t="shared" si="56"/>
        <v>0</v>
      </c>
      <c r="R82" s="132">
        <f t="shared" si="57"/>
        <v>0</v>
      </c>
      <c r="S82" s="132">
        <f t="shared" si="58"/>
        <v>0</v>
      </c>
      <c r="T82" s="133">
        <f t="shared" si="59"/>
        <v>0</v>
      </c>
      <c r="U82" s="134">
        <f t="shared" si="3"/>
        <v>0</v>
      </c>
      <c r="V82" s="135"/>
      <c r="W82" s="136"/>
      <c r="X82" s="2"/>
      <c r="Y82" s="111"/>
      <c r="Z82" s="3"/>
    </row>
    <row r="83" ht="14.25" hidden="1" customHeight="1" outlineLevel="2">
      <c r="A83" s="124"/>
      <c r="B83" s="125" t="s">
        <v>197</v>
      </c>
      <c r="C83" s="126" t="s">
        <v>198</v>
      </c>
      <c r="D83" s="127" t="s">
        <v>76</v>
      </c>
      <c r="E83" s="35"/>
      <c r="F83" s="128"/>
      <c r="G83" s="128"/>
      <c r="H83" s="128"/>
      <c r="I83" s="127">
        <f t="shared" si="52"/>
        <v>0</v>
      </c>
      <c r="J83" s="88"/>
      <c r="K83" s="129">
        <f t="shared" si="53"/>
        <v>41.70597894</v>
      </c>
      <c r="L83" s="130">
        <v>0.6</v>
      </c>
      <c r="M83" s="129">
        <f t="shared" si="54"/>
        <v>27.80398596</v>
      </c>
      <c r="N83" s="130">
        <f t="shared" si="55"/>
        <v>0.4</v>
      </c>
      <c r="O83" s="131">
        <f t="array" ref="O83">INDEX('LPU Regionalizada'!$B$3:$N$785,MATCH($B83,'LPU Regionalizada'!$B$3:$B$785,0),MATCH(INDEX(CTRL!$F$3:$F$29,CTRL!$E$1),'LPU Regionalizada'!$B$3:$N$3,0))</f>
        <v>69.5099649</v>
      </c>
      <c r="P83" s="88"/>
      <c r="Q83" s="132">
        <f t="shared" si="56"/>
        <v>0</v>
      </c>
      <c r="R83" s="132">
        <f t="shared" si="57"/>
        <v>0</v>
      </c>
      <c r="S83" s="132">
        <f t="shared" si="58"/>
        <v>0</v>
      </c>
      <c r="T83" s="133">
        <f t="shared" si="59"/>
        <v>0</v>
      </c>
      <c r="U83" s="134">
        <f t="shared" si="3"/>
        <v>0</v>
      </c>
      <c r="V83" s="135"/>
      <c r="W83" s="136"/>
      <c r="X83" s="2"/>
      <c r="Y83" s="111"/>
      <c r="Z83" s="3"/>
    </row>
    <row r="84" ht="14.25" hidden="1" customHeight="1" outlineLevel="2">
      <c r="A84" s="124"/>
      <c r="B84" s="125" t="s">
        <v>199</v>
      </c>
      <c r="C84" s="126" t="s">
        <v>200</v>
      </c>
      <c r="D84" s="127" t="s">
        <v>120</v>
      </c>
      <c r="E84" s="35"/>
      <c r="F84" s="128"/>
      <c r="G84" s="128"/>
      <c r="H84" s="128"/>
      <c r="I84" s="127">
        <f t="shared" si="52"/>
        <v>0</v>
      </c>
      <c r="J84" s="88"/>
      <c r="K84" s="129">
        <f t="shared" si="53"/>
        <v>228.3584266</v>
      </c>
      <c r="L84" s="130">
        <v>0.6</v>
      </c>
      <c r="M84" s="129">
        <f t="shared" si="54"/>
        <v>152.2389511</v>
      </c>
      <c r="N84" s="130">
        <f t="shared" si="55"/>
        <v>0.4</v>
      </c>
      <c r="O84" s="131">
        <f t="array" ref="O84">INDEX('LPU Regionalizada'!$B$3:$N$785,MATCH($B84,'LPU Regionalizada'!$B$3:$B$785,0),MATCH(INDEX(CTRL!$F$3:$F$29,CTRL!$E$1),'LPU Regionalizada'!$B$3:$N$3,0))</f>
        <v>380.5973776</v>
      </c>
      <c r="P84" s="88"/>
      <c r="Q84" s="132">
        <f t="shared" si="56"/>
        <v>0</v>
      </c>
      <c r="R84" s="132">
        <f t="shared" si="57"/>
        <v>0</v>
      </c>
      <c r="S84" s="132">
        <f t="shared" si="58"/>
        <v>0</v>
      </c>
      <c r="T84" s="133">
        <f t="shared" si="59"/>
        <v>0</v>
      </c>
      <c r="U84" s="134">
        <f t="shared" si="3"/>
        <v>0</v>
      </c>
      <c r="V84" s="135"/>
      <c r="W84" s="136"/>
      <c r="X84" s="2"/>
      <c r="Y84" s="111"/>
      <c r="Z84" s="3"/>
    </row>
    <row r="85" ht="14.25" hidden="1" customHeight="1" outlineLevel="2">
      <c r="A85" s="124"/>
      <c r="B85" s="125" t="s">
        <v>201</v>
      </c>
      <c r="C85" s="126" t="s">
        <v>202</v>
      </c>
      <c r="D85" s="127" t="s">
        <v>120</v>
      </c>
      <c r="E85" s="35"/>
      <c r="F85" s="128"/>
      <c r="G85" s="128"/>
      <c r="H85" s="128"/>
      <c r="I85" s="127">
        <f t="shared" si="52"/>
        <v>0</v>
      </c>
      <c r="J85" s="88"/>
      <c r="K85" s="129">
        <f t="shared" si="53"/>
        <v>28.04213728</v>
      </c>
      <c r="L85" s="130">
        <v>0.6</v>
      </c>
      <c r="M85" s="129">
        <f t="shared" si="54"/>
        <v>18.69475819</v>
      </c>
      <c r="N85" s="130">
        <f t="shared" si="55"/>
        <v>0.4</v>
      </c>
      <c r="O85" s="131">
        <f t="array" ref="O85">INDEX('LPU Regionalizada'!$B$3:$N$785,MATCH($B85,'LPU Regionalizada'!$B$3:$B$785,0),MATCH(INDEX(CTRL!$F$3:$F$29,CTRL!$E$1),'LPU Regionalizada'!$B$3:$N$3,0))</f>
        <v>46.73689547</v>
      </c>
      <c r="P85" s="88"/>
      <c r="Q85" s="132">
        <f t="shared" si="56"/>
        <v>0</v>
      </c>
      <c r="R85" s="132">
        <f t="shared" si="57"/>
        <v>0</v>
      </c>
      <c r="S85" s="132">
        <f t="shared" si="58"/>
        <v>0</v>
      </c>
      <c r="T85" s="133">
        <f t="shared" si="59"/>
        <v>0</v>
      </c>
      <c r="U85" s="134">
        <f t="shared" si="3"/>
        <v>0</v>
      </c>
      <c r="V85" s="135"/>
      <c r="W85" s="136"/>
      <c r="X85" s="2"/>
      <c r="Y85" s="111"/>
      <c r="Z85" s="3"/>
    </row>
    <row r="86" ht="14.25" hidden="1" customHeight="1" outlineLevel="2">
      <c r="A86" s="124"/>
      <c r="B86" s="125" t="s">
        <v>203</v>
      </c>
      <c r="C86" s="126" t="s">
        <v>204</v>
      </c>
      <c r="D86" s="127" t="s">
        <v>120</v>
      </c>
      <c r="E86" s="35"/>
      <c r="F86" s="128"/>
      <c r="G86" s="128"/>
      <c r="H86" s="128"/>
      <c r="I86" s="127">
        <f t="shared" si="52"/>
        <v>0</v>
      </c>
      <c r="J86" s="88"/>
      <c r="K86" s="129">
        <f t="shared" si="53"/>
        <v>30.75368014</v>
      </c>
      <c r="L86" s="130">
        <v>0.6</v>
      </c>
      <c r="M86" s="129">
        <f t="shared" si="54"/>
        <v>20.50245343</v>
      </c>
      <c r="N86" s="130">
        <f t="shared" si="55"/>
        <v>0.4</v>
      </c>
      <c r="O86" s="131">
        <f t="array" ref="O86">INDEX('LPU Regionalizada'!$B$3:$N$785,MATCH($B86,'LPU Regionalizada'!$B$3:$B$785,0),MATCH(INDEX(CTRL!$F$3:$F$29,CTRL!$E$1),'LPU Regionalizada'!$B$3:$N$3,0))</f>
        <v>51.25613357</v>
      </c>
      <c r="P86" s="88"/>
      <c r="Q86" s="132">
        <f t="shared" si="56"/>
        <v>0</v>
      </c>
      <c r="R86" s="132">
        <f t="shared" si="57"/>
        <v>0</v>
      </c>
      <c r="S86" s="132">
        <f t="shared" si="58"/>
        <v>0</v>
      </c>
      <c r="T86" s="133">
        <f t="shared" si="59"/>
        <v>0</v>
      </c>
      <c r="U86" s="134">
        <f t="shared" si="3"/>
        <v>0</v>
      </c>
      <c r="V86" s="135"/>
      <c r="W86" s="136"/>
      <c r="X86" s="2"/>
      <c r="Y86" s="111"/>
      <c r="Z86" s="3"/>
    </row>
    <row r="87" ht="14.25" hidden="1" customHeight="1" outlineLevel="1">
      <c r="A87" s="112"/>
      <c r="B87" s="113" t="s">
        <v>205</v>
      </c>
      <c r="C87" s="114" t="s">
        <v>206</v>
      </c>
      <c r="D87" s="115"/>
      <c r="E87" s="35"/>
      <c r="F87" s="113"/>
      <c r="G87" s="116"/>
      <c r="H87" s="116"/>
      <c r="I87" s="115"/>
      <c r="J87" s="88"/>
      <c r="K87" s="117"/>
      <c r="L87" s="118"/>
      <c r="M87" s="118"/>
      <c r="N87" s="118"/>
      <c r="O87" s="119"/>
      <c r="P87" s="88"/>
      <c r="Q87" s="120"/>
      <c r="R87" s="120"/>
      <c r="S87" s="120"/>
      <c r="T87" s="120">
        <f>SUM(T88:T104)</f>
        <v>0</v>
      </c>
      <c r="U87" s="121">
        <f t="shared" si="3"/>
        <v>0</v>
      </c>
      <c r="V87" s="122"/>
      <c r="W87" s="123"/>
      <c r="X87" s="2"/>
      <c r="Y87" s="111"/>
      <c r="Z87" s="3"/>
    </row>
    <row r="88" ht="14.25" hidden="1" customHeight="1" outlineLevel="2">
      <c r="A88" s="124"/>
      <c r="B88" s="125" t="s">
        <v>207</v>
      </c>
      <c r="C88" s="126" t="s">
        <v>208</v>
      </c>
      <c r="D88" s="127" t="s">
        <v>135</v>
      </c>
      <c r="E88" s="35"/>
      <c r="F88" s="128"/>
      <c r="G88" s="128"/>
      <c r="H88" s="128"/>
      <c r="I88" s="127">
        <f t="shared" ref="I88:I104" si="60">F88+G88+H88</f>
        <v>0</v>
      </c>
      <c r="J88" s="88"/>
      <c r="K88" s="129">
        <f t="shared" ref="K88:K104" si="61">L88*O88</f>
        <v>7.630679396</v>
      </c>
      <c r="L88" s="130">
        <v>0.6</v>
      </c>
      <c r="M88" s="129">
        <f t="shared" ref="M88:M104" si="62">N88*O88</f>
        <v>5.087119598</v>
      </c>
      <c r="N88" s="130">
        <f t="shared" ref="N88:N104" si="63">100%-L88</f>
        <v>0.4</v>
      </c>
      <c r="O88" s="131">
        <f t="array" ref="O88">INDEX('LPU Regionalizada'!$B$3:$N$785,MATCH($B88,'LPU Regionalizada'!$B$3:$B$785,0),MATCH(INDEX(CTRL!$F$3:$F$29,CTRL!$E$1),'LPU Regionalizada'!$B$3:$N$3,0))</f>
        <v>12.71779899</v>
      </c>
      <c r="P88" s="88"/>
      <c r="Q88" s="132">
        <f t="shared" ref="Q88:Q104" si="64">F88*O88</f>
        <v>0</v>
      </c>
      <c r="R88" s="132">
        <f t="shared" ref="R88:R104" si="65">G88*O88</f>
        <v>0</v>
      </c>
      <c r="S88" s="132">
        <f t="shared" ref="S88:S104" si="66">H88*O88</f>
        <v>0</v>
      </c>
      <c r="T88" s="133">
        <f t="shared" ref="T88:T104" si="67">SUM(Q88:S88)</f>
        <v>0</v>
      </c>
      <c r="U88" s="134">
        <f t="shared" si="3"/>
        <v>0</v>
      </c>
      <c r="V88" s="135"/>
      <c r="W88" s="136"/>
      <c r="X88" s="2"/>
      <c r="Y88" s="111"/>
      <c r="Z88" s="3"/>
    </row>
    <row r="89" ht="14.25" hidden="1" customHeight="1" outlineLevel="2">
      <c r="A89" s="124"/>
      <c r="B89" s="125" t="s">
        <v>209</v>
      </c>
      <c r="C89" s="126" t="s">
        <v>210</v>
      </c>
      <c r="D89" s="127" t="s">
        <v>135</v>
      </c>
      <c r="E89" s="35"/>
      <c r="F89" s="128"/>
      <c r="G89" s="128"/>
      <c r="H89" s="128"/>
      <c r="I89" s="127">
        <f t="shared" si="60"/>
        <v>0</v>
      </c>
      <c r="J89" s="88"/>
      <c r="K89" s="129">
        <f t="shared" si="61"/>
        <v>7.865996148</v>
      </c>
      <c r="L89" s="130">
        <v>0.6</v>
      </c>
      <c r="M89" s="129">
        <f t="shared" si="62"/>
        <v>5.243997432</v>
      </c>
      <c r="N89" s="130">
        <f t="shared" si="63"/>
        <v>0.4</v>
      </c>
      <c r="O89" s="131">
        <f t="array" ref="O89">INDEX('LPU Regionalizada'!$B$3:$N$785,MATCH($B89,'LPU Regionalizada'!$B$3:$B$785,0),MATCH(INDEX(CTRL!$F$3:$F$29,CTRL!$E$1),'LPU Regionalizada'!$B$3:$N$3,0))</f>
        <v>13.10999358</v>
      </c>
      <c r="P89" s="88"/>
      <c r="Q89" s="132">
        <f t="shared" si="64"/>
        <v>0</v>
      </c>
      <c r="R89" s="132">
        <f t="shared" si="65"/>
        <v>0</v>
      </c>
      <c r="S89" s="132">
        <f t="shared" si="66"/>
        <v>0</v>
      </c>
      <c r="T89" s="133">
        <f t="shared" si="67"/>
        <v>0</v>
      </c>
      <c r="U89" s="134">
        <f t="shared" si="3"/>
        <v>0</v>
      </c>
      <c r="V89" s="135"/>
      <c r="W89" s="136"/>
      <c r="X89" s="2"/>
      <c r="Y89" s="111"/>
      <c r="Z89" s="3"/>
    </row>
    <row r="90" ht="14.25" hidden="1" customHeight="1" outlineLevel="2">
      <c r="A90" s="124"/>
      <c r="B90" s="125" t="s">
        <v>211</v>
      </c>
      <c r="C90" s="126" t="s">
        <v>212</v>
      </c>
      <c r="D90" s="127" t="s">
        <v>76</v>
      </c>
      <c r="E90" s="35"/>
      <c r="F90" s="128"/>
      <c r="G90" s="128"/>
      <c r="H90" s="128"/>
      <c r="I90" s="127">
        <f t="shared" si="60"/>
        <v>0</v>
      </c>
      <c r="J90" s="88"/>
      <c r="K90" s="129">
        <f t="shared" si="61"/>
        <v>28.21361685</v>
      </c>
      <c r="L90" s="130">
        <v>0.6</v>
      </c>
      <c r="M90" s="129">
        <f t="shared" si="62"/>
        <v>18.8090779</v>
      </c>
      <c r="N90" s="130">
        <f t="shared" si="63"/>
        <v>0.4</v>
      </c>
      <c r="O90" s="131">
        <f t="array" ref="O90">INDEX('LPU Regionalizada'!$B$3:$N$785,MATCH($B90,'LPU Regionalizada'!$B$3:$B$785,0),MATCH(INDEX(CTRL!$F$3:$F$29,CTRL!$E$1),'LPU Regionalizada'!$B$3:$N$3,0))</f>
        <v>47.02269476</v>
      </c>
      <c r="P90" s="88"/>
      <c r="Q90" s="132">
        <f t="shared" si="64"/>
        <v>0</v>
      </c>
      <c r="R90" s="132">
        <f t="shared" si="65"/>
        <v>0</v>
      </c>
      <c r="S90" s="132">
        <f t="shared" si="66"/>
        <v>0</v>
      </c>
      <c r="T90" s="133">
        <f t="shared" si="67"/>
        <v>0</v>
      </c>
      <c r="U90" s="134">
        <f t="shared" si="3"/>
        <v>0</v>
      </c>
      <c r="V90" s="135"/>
      <c r="W90" s="136"/>
      <c r="X90" s="2"/>
      <c r="Y90" s="111"/>
      <c r="Z90" s="3"/>
    </row>
    <row r="91" ht="14.25" hidden="1" customHeight="1" outlineLevel="2">
      <c r="A91" s="124"/>
      <c r="B91" s="125" t="s">
        <v>213</v>
      </c>
      <c r="C91" s="126" t="s">
        <v>214</v>
      </c>
      <c r="D91" s="127" t="s">
        <v>142</v>
      </c>
      <c r="E91" s="35"/>
      <c r="F91" s="128"/>
      <c r="G91" s="128"/>
      <c r="H91" s="128"/>
      <c r="I91" s="127">
        <f t="shared" si="60"/>
        <v>0</v>
      </c>
      <c r="J91" s="88"/>
      <c r="K91" s="129">
        <f t="shared" si="61"/>
        <v>22.32298896</v>
      </c>
      <c r="L91" s="130">
        <v>0.6</v>
      </c>
      <c r="M91" s="129">
        <f t="shared" si="62"/>
        <v>14.88199264</v>
      </c>
      <c r="N91" s="130">
        <f t="shared" si="63"/>
        <v>0.4</v>
      </c>
      <c r="O91" s="131">
        <f t="array" ref="O91">INDEX('LPU Regionalizada'!$B$3:$N$785,MATCH($B91,'LPU Regionalizada'!$B$3:$B$785,0),MATCH(INDEX(CTRL!$F$3:$F$29,CTRL!$E$1),'LPU Regionalizada'!$B$3:$N$3,0))</f>
        <v>37.2049816</v>
      </c>
      <c r="P91" s="88"/>
      <c r="Q91" s="132">
        <f t="shared" si="64"/>
        <v>0</v>
      </c>
      <c r="R91" s="132">
        <f t="shared" si="65"/>
        <v>0</v>
      </c>
      <c r="S91" s="132">
        <f t="shared" si="66"/>
        <v>0</v>
      </c>
      <c r="T91" s="133">
        <f t="shared" si="67"/>
        <v>0</v>
      </c>
      <c r="U91" s="134">
        <f t="shared" si="3"/>
        <v>0</v>
      </c>
      <c r="V91" s="135"/>
      <c r="W91" s="136"/>
      <c r="X91" s="2"/>
      <c r="Y91" s="111"/>
      <c r="Z91" s="3"/>
    </row>
    <row r="92" ht="14.25" hidden="1" customHeight="1" outlineLevel="2">
      <c r="A92" s="124"/>
      <c r="B92" s="125" t="s">
        <v>215</v>
      </c>
      <c r="C92" s="126" t="s">
        <v>216</v>
      </c>
      <c r="D92" s="127" t="s">
        <v>76</v>
      </c>
      <c r="E92" s="35"/>
      <c r="F92" s="128"/>
      <c r="G92" s="128"/>
      <c r="H92" s="128"/>
      <c r="I92" s="127">
        <f t="shared" si="60"/>
        <v>0</v>
      </c>
      <c r="J92" s="88"/>
      <c r="K92" s="129">
        <f t="shared" si="61"/>
        <v>40.22097977</v>
      </c>
      <c r="L92" s="130">
        <v>0.6</v>
      </c>
      <c r="M92" s="129">
        <f t="shared" si="62"/>
        <v>26.81398651</v>
      </c>
      <c r="N92" s="130">
        <f t="shared" si="63"/>
        <v>0.4</v>
      </c>
      <c r="O92" s="131">
        <f t="array" ref="O92">INDEX('LPU Regionalizada'!$B$3:$N$785,MATCH($B92,'LPU Regionalizada'!$B$3:$B$785,0),MATCH(INDEX(CTRL!$F$3:$F$29,CTRL!$E$1),'LPU Regionalizada'!$B$3:$N$3,0))</f>
        <v>67.03496629</v>
      </c>
      <c r="P92" s="88"/>
      <c r="Q92" s="132">
        <f t="shared" si="64"/>
        <v>0</v>
      </c>
      <c r="R92" s="132">
        <f t="shared" si="65"/>
        <v>0</v>
      </c>
      <c r="S92" s="132">
        <f t="shared" si="66"/>
        <v>0</v>
      </c>
      <c r="T92" s="133">
        <f t="shared" si="67"/>
        <v>0</v>
      </c>
      <c r="U92" s="134">
        <f t="shared" si="3"/>
        <v>0</v>
      </c>
      <c r="V92" s="135"/>
      <c r="W92" s="136"/>
      <c r="X92" s="2"/>
      <c r="Y92" s="111"/>
      <c r="Z92" s="3"/>
    </row>
    <row r="93" ht="14.25" hidden="1" customHeight="1" outlineLevel="2">
      <c r="A93" s="124"/>
      <c r="B93" s="125" t="s">
        <v>217</v>
      </c>
      <c r="C93" s="126" t="s">
        <v>218</v>
      </c>
      <c r="D93" s="127" t="s">
        <v>76</v>
      </c>
      <c r="E93" s="35"/>
      <c r="F93" s="128"/>
      <c r="G93" s="128"/>
      <c r="H93" s="128"/>
      <c r="I93" s="127">
        <f t="shared" si="60"/>
        <v>0</v>
      </c>
      <c r="J93" s="88"/>
      <c r="K93" s="129">
        <f t="shared" si="61"/>
        <v>44.77234274</v>
      </c>
      <c r="L93" s="130">
        <v>0.6</v>
      </c>
      <c r="M93" s="129">
        <f t="shared" si="62"/>
        <v>29.84822849</v>
      </c>
      <c r="N93" s="130">
        <f t="shared" si="63"/>
        <v>0.4</v>
      </c>
      <c r="O93" s="131">
        <f t="array" ref="O93">INDEX('LPU Regionalizada'!$B$3:$N$785,MATCH($B93,'LPU Regionalizada'!$B$3:$B$785,0),MATCH(INDEX(CTRL!$F$3:$F$29,CTRL!$E$1),'LPU Regionalizada'!$B$3:$N$3,0))</f>
        <v>74.62057124</v>
      </c>
      <c r="P93" s="88"/>
      <c r="Q93" s="132">
        <f t="shared" si="64"/>
        <v>0</v>
      </c>
      <c r="R93" s="132">
        <f t="shared" si="65"/>
        <v>0</v>
      </c>
      <c r="S93" s="132">
        <f t="shared" si="66"/>
        <v>0</v>
      </c>
      <c r="T93" s="133">
        <f t="shared" si="67"/>
        <v>0</v>
      </c>
      <c r="U93" s="134">
        <f t="shared" si="3"/>
        <v>0</v>
      </c>
      <c r="V93" s="135"/>
      <c r="W93" s="136"/>
      <c r="X93" s="2"/>
      <c r="Y93" s="111"/>
      <c r="Z93" s="3"/>
    </row>
    <row r="94" ht="14.25" hidden="1" customHeight="1" outlineLevel="2">
      <c r="A94" s="124"/>
      <c r="B94" s="125" t="s">
        <v>219</v>
      </c>
      <c r="C94" s="126" t="s">
        <v>220</v>
      </c>
      <c r="D94" s="127" t="s">
        <v>76</v>
      </c>
      <c r="E94" s="35"/>
      <c r="F94" s="128"/>
      <c r="G94" s="128"/>
      <c r="H94" s="128"/>
      <c r="I94" s="127">
        <f t="shared" si="60"/>
        <v>0</v>
      </c>
      <c r="J94" s="88"/>
      <c r="K94" s="129">
        <f t="shared" si="61"/>
        <v>60.18597038</v>
      </c>
      <c r="L94" s="130">
        <v>0.6</v>
      </c>
      <c r="M94" s="129">
        <f t="shared" si="62"/>
        <v>40.12398025</v>
      </c>
      <c r="N94" s="130">
        <f t="shared" si="63"/>
        <v>0.4</v>
      </c>
      <c r="O94" s="131">
        <f t="array" ref="O94">INDEX('LPU Regionalizada'!$B$3:$N$785,MATCH($B94,'LPU Regionalizada'!$B$3:$B$785,0),MATCH(INDEX(CTRL!$F$3:$F$29,CTRL!$E$1),'LPU Regionalizada'!$B$3:$N$3,0))</f>
        <v>100.3099506</v>
      </c>
      <c r="P94" s="88"/>
      <c r="Q94" s="132">
        <f t="shared" si="64"/>
        <v>0</v>
      </c>
      <c r="R94" s="132">
        <f t="shared" si="65"/>
        <v>0</v>
      </c>
      <c r="S94" s="132">
        <f t="shared" si="66"/>
        <v>0</v>
      </c>
      <c r="T94" s="133">
        <f t="shared" si="67"/>
        <v>0</v>
      </c>
      <c r="U94" s="134">
        <f t="shared" si="3"/>
        <v>0</v>
      </c>
      <c r="V94" s="135"/>
      <c r="W94" s="136"/>
      <c r="X94" s="2"/>
      <c r="Y94" s="111"/>
      <c r="Z94" s="3"/>
    </row>
    <row r="95" ht="14.25" hidden="1" customHeight="1" outlineLevel="2">
      <c r="A95" s="124"/>
      <c r="B95" s="125" t="s">
        <v>221</v>
      </c>
      <c r="C95" s="126" t="s">
        <v>222</v>
      </c>
      <c r="D95" s="127" t="s">
        <v>120</v>
      </c>
      <c r="E95" s="35"/>
      <c r="F95" s="128"/>
      <c r="G95" s="128"/>
      <c r="H95" s="128"/>
      <c r="I95" s="127">
        <f t="shared" si="60"/>
        <v>0</v>
      </c>
      <c r="J95" s="88"/>
      <c r="K95" s="129">
        <f t="shared" si="61"/>
        <v>322.8657339</v>
      </c>
      <c r="L95" s="130">
        <v>0.6</v>
      </c>
      <c r="M95" s="129">
        <f t="shared" si="62"/>
        <v>215.2438226</v>
      </c>
      <c r="N95" s="130">
        <f t="shared" si="63"/>
        <v>0.4</v>
      </c>
      <c r="O95" s="131">
        <f t="array" ref="O95">INDEX('LPU Regionalizada'!$B$3:$N$785,MATCH($B95,'LPU Regionalizada'!$B$3:$B$785,0),MATCH(INDEX(CTRL!$F$3:$F$29,CTRL!$E$1),'LPU Regionalizada'!$B$3:$N$3,0))</f>
        <v>538.1095565</v>
      </c>
      <c r="P95" s="88"/>
      <c r="Q95" s="132">
        <f t="shared" si="64"/>
        <v>0</v>
      </c>
      <c r="R95" s="132">
        <f t="shared" si="65"/>
        <v>0</v>
      </c>
      <c r="S95" s="132">
        <f t="shared" si="66"/>
        <v>0</v>
      </c>
      <c r="T95" s="133">
        <f t="shared" si="67"/>
        <v>0</v>
      </c>
      <c r="U95" s="134">
        <f t="shared" si="3"/>
        <v>0</v>
      </c>
      <c r="V95" s="135"/>
      <c r="W95" s="136"/>
      <c r="X95" s="2"/>
      <c r="Y95" s="111"/>
      <c r="Z95" s="3"/>
    </row>
    <row r="96" ht="14.25" hidden="1" customHeight="1" outlineLevel="2">
      <c r="A96" s="124"/>
      <c r="B96" s="125" t="s">
        <v>223</v>
      </c>
      <c r="C96" s="126" t="s">
        <v>224</v>
      </c>
      <c r="D96" s="127" t="s">
        <v>120</v>
      </c>
      <c r="E96" s="35"/>
      <c r="F96" s="128"/>
      <c r="G96" s="128"/>
      <c r="H96" s="128"/>
      <c r="I96" s="127">
        <f t="shared" si="60"/>
        <v>0</v>
      </c>
      <c r="J96" s="88"/>
      <c r="K96" s="129">
        <f t="shared" si="61"/>
        <v>340.8839157</v>
      </c>
      <c r="L96" s="130">
        <v>0.6</v>
      </c>
      <c r="M96" s="129">
        <f t="shared" si="62"/>
        <v>227.2559438</v>
      </c>
      <c r="N96" s="130">
        <f t="shared" si="63"/>
        <v>0.4</v>
      </c>
      <c r="O96" s="131">
        <f t="array" ref="O96">INDEX('LPU Regionalizada'!$B$3:$N$785,MATCH($B96,'LPU Regionalizada'!$B$3:$B$785,0),MATCH(INDEX(CTRL!$F$3:$F$29,CTRL!$E$1),'LPU Regionalizada'!$B$3:$N$3,0))</f>
        <v>568.1398596</v>
      </c>
      <c r="P96" s="88"/>
      <c r="Q96" s="132">
        <f t="shared" si="64"/>
        <v>0</v>
      </c>
      <c r="R96" s="132">
        <f t="shared" si="65"/>
        <v>0</v>
      </c>
      <c r="S96" s="132">
        <f t="shared" si="66"/>
        <v>0</v>
      </c>
      <c r="T96" s="133">
        <f t="shared" si="67"/>
        <v>0</v>
      </c>
      <c r="U96" s="134">
        <f t="shared" si="3"/>
        <v>0</v>
      </c>
      <c r="V96" s="135"/>
      <c r="W96" s="136"/>
      <c r="X96" s="2"/>
      <c r="Y96" s="111"/>
      <c r="Z96" s="3"/>
    </row>
    <row r="97" ht="14.25" hidden="1" customHeight="1" outlineLevel="2">
      <c r="A97" s="124"/>
      <c r="B97" s="125" t="s">
        <v>225</v>
      </c>
      <c r="C97" s="126" t="s">
        <v>226</v>
      </c>
      <c r="D97" s="127" t="s">
        <v>120</v>
      </c>
      <c r="E97" s="35"/>
      <c r="F97" s="128"/>
      <c r="G97" s="128"/>
      <c r="H97" s="128"/>
      <c r="I97" s="127">
        <f t="shared" si="60"/>
        <v>0</v>
      </c>
      <c r="J97" s="88"/>
      <c r="K97" s="129">
        <f t="shared" si="61"/>
        <v>357.5959168</v>
      </c>
      <c r="L97" s="130">
        <v>0.6</v>
      </c>
      <c r="M97" s="129">
        <f t="shared" si="62"/>
        <v>238.3972779</v>
      </c>
      <c r="N97" s="130">
        <f t="shared" si="63"/>
        <v>0.4</v>
      </c>
      <c r="O97" s="131">
        <f t="array" ref="O97">INDEX('LPU Regionalizada'!$B$3:$N$785,MATCH($B97,'LPU Regionalizada'!$B$3:$B$785,0),MATCH(INDEX(CTRL!$F$3:$F$29,CTRL!$E$1),'LPU Regionalizada'!$B$3:$N$3,0))</f>
        <v>595.9931947</v>
      </c>
      <c r="P97" s="88"/>
      <c r="Q97" s="132">
        <f t="shared" si="64"/>
        <v>0</v>
      </c>
      <c r="R97" s="132">
        <f t="shared" si="65"/>
        <v>0</v>
      </c>
      <c r="S97" s="132">
        <f t="shared" si="66"/>
        <v>0</v>
      </c>
      <c r="T97" s="133">
        <f t="shared" si="67"/>
        <v>0</v>
      </c>
      <c r="U97" s="134">
        <f t="shared" si="3"/>
        <v>0</v>
      </c>
      <c r="V97" s="135"/>
      <c r="W97" s="136"/>
      <c r="X97" s="2"/>
      <c r="Y97" s="111"/>
      <c r="Z97" s="3"/>
    </row>
    <row r="98" ht="14.25" hidden="1" customHeight="1" outlineLevel="2">
      <c r="A98" s="124"/>
      <c r="B98" s="125" t="s">
        <v>227</v>
      </c>
      <c r="C98" s="126" t="s">
        <v>228</v>
      </c>
      <c r="D98" s="127" t="s">
        <v>120</v>
      </c>
      <c r="E98" s="35"/>
      <c r="F98" s="128"/>
      <c r="G98" s="128"/>
      <c r="H98" s="128"/>
      <c r="I98" s="127">
        <f t="shared" si="60"/>
        <v>0</v>
      </c>
      <c r="J98" s="88"/>
      <c r="K98" s="129">
        <f t="shared" si="61"/>
        <v>340.2552721</v>
      </c>
      <c r="L98" s="130">
        <v>0.6</v>
      </c>
      <c r="M98" s="129">
        <f t="shared" si="62"/>
        <v>226.8368481</v>
      </c>
      <c r="N98" s="130">
        <f t="shared" si="63"/>
        <v>0.4</v>
      </c>
      <c r="O98" s="131">
        <f t="array" ref="O98">INDEX('LPU Regionalizada'!$B$3:$N$785,MATCH($B98,'LPU Regionalizada'!$B$3:$B$785,0),MATCH(INDEX(CTRL!$F$3:$F$29,CTRL!$E$1),'LPU Regionalizada'!$B$3:$N$3,0))</f>
        <v>567.0921202</v>
      </c>
      <c r="P98" s="88"/>
      <c r="Q98" s="132">
        <f t="shared" si="64"/>
        <v>0</v>
      </c>
      <c r="R98" s="132">
        <f t="shared" si="65"/>
        <v>0</v>
      </c>
      <c r="S98" s="132">
        <f t="shared" si="66"/>
        <v>0</v>
      </c>
      <c r="T98" s="133">
        <f t="shared" si="67"/>
        <v>0</v>
      </c>
      <c r="U98" s="134">
        <f t="shared" si="3"/>
        <v>0</v>
      </c>
      <c r="V98" s="135"/>
      <c r="W98" s="136"/>
      <c r="X98" s="2"/>
      <c r="Y98" s="111"/>
      <c r="Z98" s="3"/>
    </row>
    <row r="99" ht="14.25" hidden="1" customHeight="1" outlineLevel="2">
      <c r="A99" s="124"/>
      <c r="B99" s="125" t="s">
        <v>229</v>
      </c>
      <c r="C99" s="126" t="s">
        <v>230</v>
      </c>
      <c r="D99" s="127" t="s">
        <v>120</v>
      </c>
      <c r="E99" s="35"/>
      <c r="F99" s="128"/>
      <c r="G99" s="128"/>
      <c r="H99" s="128"/>
      <c r="I99" s="127">
        <f t="shared" si="60"/>
        <v>0</v>
      </c>
      <c r="J99" s="88"/>
      <c r="K99" s="129">
        <f t="shared" si="61"/>
        <v>388.458836</v>
      </c>
      <c r="L99" s="130">
        <v>0.6</v>
      </c>
      <c r="M99" s="129">
        <f t="shared" si="62"/>
        <v>258.9725574</v>
      </c>
      <c r="N99" s="130">
        <f t="shared" si="63"/>
        <v>0.4</v>
      </c>
      <c r="O99" s="131">
        <f t="array" ref="O99">INDEX('LPU Regionalizada'!$B$3:$N$785,MATCH($B99,'LPU Regionalizada'!$B$3:$B$785,0),MATCH(INDEX(CTRL!$F$3:$F$29,CTRL!$E$1),'LPU Regionalizada'!$B$3:$N$3,0))</f>
        <v>647.4313934</v>
      </c>
      <c r="P99" s="88"/>
      <c r="Q99" s="132">
        <f t="shared" si="64"/>
        <v>0</v>
      </c>
      <c r="R99" s="132">
        <f t="shared" si="65"/>
        <v>0</v>
      </c>
      <c r="S99" s="132">
        <f t="shared" si="66"/>
        <v>0</v>
      </c>
      <c r="T99" s="133">
        <f t="shared" si="67"/>
        <v>0</v>
      </c>
      <c r="U99" s="134">
        <f t="shared" si="3"/>
        <v>0</v>
      </c>
      <c r="V99" s="135"/>
      <c r="W99" s="136"/>
      <c r="X99" s="2"/>
      <c r="Y99" s="111"/>
      <c r="Z99" s="3"/>
    </row>
    <row r="100" ht="14.25" hidden="1" customHeight="1" outlineLevel="2">
      <c r="A100" s="124"/>
      <c r="B100" s="125" t="s">
        <v>231</v>
      </c>
      <c r="C100" s="126" t="s">
        <v>232</v>
      </c>
      <c r="D100" s="127" t="s">
        <v>120</v>
      </c>
      <c r="E100" s="35"/>
      <c r="F100" s="128"/>
      <c r="G100" s="128"/>
      <c r="H100" s="128"/>
      <c r="I100" s="127">
        <f t="shared" si="60"/>
        <v>0</v>
      </c>
      <c r="J100" s="88"/>
      <c r="K100" s="129">
        <f t="shared" si="61"/>
        <v>421.6398239</v>
      </c>
      <c r="L100" s="130">
        <v>0.6</v>
      </c>
      <c r="M100" s="129">
        <f t="shared" si="62"/>
        <v>281.0932159</v>
      </c>
      <c r="N100" s="130">
        <f t="shared" si="63"/>
        <v>0.4</v>
      </c>
      <c r="O100" s="131">
        <f t="array" ref="O100">INDEX('LPU Regionalizada'!$B$3:$N$785,MATCH($B100,'LPU Regionalizada'!$B$3:$B$785,0),MATCH(INDEX(CTRL!$F$3:$F$29,CTRL!$E$1),'LPU Regionalizada'!$B$3:$N$3,0))</f>
        <v>702.7330398</v>
      </c>
      <c r="P100" s="88"/>
      <c r="Q100" s="132">
        <f t="shared" si="64"/>
        <v>0</v>
      </c>
      <c r="R100" s="132">
        <f t="shared" si="65"/>
        <v>0</v>
      </c>
      <c r="S100" s="132">
        <f t="shared" si="66"/>
        <v>0</v>
      </c>
      <c r="T100" s="133">
        <f t="shared" si="67"/>
        <v>0</v>
      </c>
      <c r="U100" s="134">
        <f t="shared" si="3"/>
        <v>0</v>
      </c>
      <c r="V100" s="135"/>
      <c r="W100" s="136"/>
      <c r="X100" s="2"/>
      <c r="Y100" s="111"/>
      <c r="Z100" s="3"/>
    </row>
    <row r="101" ht="14.25" hidden="1" customHeight="1" outlineLevel="2">
      <c r="A101" s="124"/>
      <c r="B101" s="125" t="s">
        <v>233</v>
      </c>
      <c r="C101" s="126" t="s">
        <v>234</v>
      </c>
      <c r="D101" s="127" t="s">
        <v>76</v>
      </c>
      <c r="E101" s="35"/>
      <c r="F101" s="128"/>
      <c r="G101" s="128"/>
      <c r="H101" s="128"/>
      <c r="I101" s="127">
        <f t="shared" si="60"/>
        <v>0</v>
      </c>
      <c r="J101" s="88"/>
      <c r="K101" s="129">
        <f t="shared" si="61"/>
        <v>85.62993243</v>
      </c>
      <c r="L101" s="130">
        <v>0.6</v>
      </c>
      <c r="M101" s="129">
        <f t="shared" si="62"/>
        <v>57.08662162</v>
      </c>
      <c r="N101" s="130">
        <f t="shared" si="63"/>
        <v>0.4</v>
      </c>
      <c r="O101" s="131">
        <f t="array" ref="O101">INDEX('LPU Regionalizada'!$B$3:$N$785,MATCH($B101,'LPU Regionalizada'!$B$3:$B$785,0),MATCH(INDEX(CTRL!$F$3:$F$29,CTRL!$E$1),'LPU Regionalizada'!$B$3:$N$3,0))</f>
        <v>142.716554</v>
      </c>
      <c r="P101" s="88"/>
      <c r="Q101" s="132">
        <f t="shared" si="64"/>
        <v>0</v>
      </c>
      <c r="R101" s="132">
        <f t="shared" si="65"/>
        <v>0</v>
      </c>
      <c r="S101" s="132">
        <f t="shared" si="66"/>
        <v>0</v>
      </c>
      <c r="T101" s="133">
        <f t="shared" si="67"/>
        <v>0</v>
      </c>
      <c r="U101" s="134">
        <f t="shared" si="3"/>
        <v>0</v>
      </c>
      <c r="V101" s="135"/>
      <c r="W101" s="136"/>
      <c r="X101" s="2"/>
      <c r="Y101" s="111"/>
      <c r="Z101" s="3"/>
    </row>
    <row r="102" ht="14.25" hidden="1" customHeight="1" outlineLevel="2">
      <c r="A102" s="124"/>
      <c r="B102" s="125" t="s">
        <v>235</v>
      </c>
      <c r="C102" s="126" t="s">
        <v>236</v>
      </c>
      <c r="D102" s="127" t="s">
        <v>76</v>
      </c>
      <c r="E102" s="35"/>
      <c r="F102" s="128"/>
      <c r="G102" s="128"/>
      <c r="H102" s="128"/>
      <c r="I102" s="127">
        <f t="shared" si="60"/>
        <v>0</v>
      </c>
      <c r="J102" s="88"/>
      <c r="K102" s="129">
        <f t="shared" si="61"/>
        <v>84.81603915</v>
      </c>
      <c r="L102" s="130">
        <v>0.6</v>
      </c>
      <c r="M102" s="129">
        <f t="shared" si="62"/>
        <v>56.5440261</v>
      </c>
      <c r="N102" s="130">
        <f t="shared" si="63"/>
        <v>0.4</v>
      </c>
      <c r="O102" s="131">
        <f t="array" ref="O102">INDEX('LPU Regionalizada'!$B$3:$N$785,MATCH($B102,'LPU Regionalizada'!$B$3:$B$785,0),MATCH(INDEX(CTRL!$F$3:$F$29,CTRL!$E$1),'LPU Regionalizada'!$B$3:$N$3,0))</f>
        <v>141.3600652</v>
      </c>
      <c r="P102" s="88"/>
      <c r="Q102" s="132">
        <f t="shared" si="64"/>
        <v>0</v>
      </c>
      <c r="R102" s="132">
        <f t="shared" si="65"/>
        <v>0</v>
      </c>
      <c r="S102" s="132">
        <f t="shared" si="66"/>
        <v>0</v>
      </c>
      <c r="T102" s="133">
        <f t="shared" si="67"/>
        <v>0</v>
      </c>
      <c r="U102" s="134">
        <f t="shared" si="3"/>
        <v>0</v>
      </c>
      <c r="V102" s="135"/>
      <c r="W102" s="136"/>
      <c r="X102" s="2"/>
      <c r="Y102" s="111"/>
      <c r="Z102" s="3"/>
    </row>
    <row r="103" ht="14.25" hidden="1" customHeight="1" outlineLevel="2">
      <c r="A103" s="124"/>
      <c r="B103" s="125" t="s">
        <v>237</v>
      </c>
      <c r="C103" s="126" t="s">
        <v>238</v>
      </c>
      <c r="D103" s="127" t="s">
        <v>76</v>
      </c>
      <c r="E103" s="35"/>
      <c r="F103" s="128"/>
      <c r="G103" s="128"/>
      <c r="H103" s="128"/>
      <c r="I103" s="127">
        <f t="shared" si="60"/>
        <v>0</v>
      </c>
      <c r="J103" s="88"/>
      <c r="K103" s="129">
        <f t="shared" si="61"/>
        <v>101.7919893</v>
      </c>
      <c r="L103" s="130">
        <v>0.6</v>
      </c>
      <c r="M103" s="129">
        <f t="shared" si="62"/>
        <v>67.86132621</v>
      </c>
      <c r="N103" s="130">
        <f t="shared" si="63"/>
        <v>0.4</v>
      </c>
      <c r="O103" s="131">
        <f t="array" ref="O103">INDEX('LPU Regionalizada'!$B$3:$N$785,MATCH($B103,'LPU Regionalizada'!$B$3:$B$785,0),MATCH(INDEX(CTRL!$F$3:$F$29,CTRL!$E$1),'LPU Regionalizada'!$B$3:$N$3,0))</f>
        <v>169.6533155</v>
      </c>
      <c r="P103" s="88"/>
      <c r="Q103" s="132">
        <f t="shared" si="64"/>
        <v>0</v>
      </c>
      <c r="R103" s="132">
        <f t="shared" si="65"/>
        <v>0</v>
      </c>
      <c r="S103" s="132">
        <f t="shared" si="66"/>
        <v>0</v>
      </c>
      <c r="T103" s="133">
        <f t="shared" si="67"/>
        <v>0</v>
      </c>
      <c r="U103" s="134">
        <f t="shared" si="3"/>
        <v>0</v>
      </c>
      <c r="V103" s="135"/>
      <c r="W103" s="136"/>
      <c r="X103" s="2"/>
      <c r="Y103" s="111"/>
      <c r="Z103" s="3"/>
    </row>
    <row r="104" ht="14.25" hidden="1" customHeight="1" outlineLevel="2">
      <c r="A104" s="124"/>
      <c r="B104" s="125" t="s">
        <v>239</v>
      </c>
      <c r="C104" s="126" t="s">
        <v>240</v>
      </c>
      <c r="D104" s="127" t="s">
        <v>76</v>
      </c>
      <c r="E104" s="35"/>
      <c r="F104" s="128"/>
      <c r="G104" s="128"/>
      <c r="H104" s="128"/>
      <c r="I104" s="127">
        <f t="shared" si="60"/>
        <v>0</v>
      </c>
      <c r="J104" s="88"/>
      <c r="K104" s="129">
        <f t="shared" si="61"/>
        <v>124.5092028</v>
      </c>
      <c r="L104" s="130">
        <v>0.6</v>
      </c>
      <c r="M104" s="129">
        <f t="shared" si="62"/>
        <v>83.00613519</v>
      </c>
      <c r="N104" s="130">
        <f t="shared" si="63"/>
        <v>0.4</v>
      </c>
      <c r="O104" s="131">
        <f t="array" ref="O104">INDEX('LPU Regionalizada'!$B$3:$N$785,MATCH($B104,'LPU Regionalizada'!$B$3:$B$785,0),MATCH(INDEX(CTRL!$F$3:$F$29,CTRL!$E$1),'LPU Regionalizada'!$B$3:$N$3,0))</f>
        <v>207.515338</v>
      </c>
      <c r="P104" s="88"/>
      <c r="Q104" s="132">
        <f t="shared" si="64"/>
        <v>0</v>
      </c>
      <c r="R104" s="132">
        <f t="shared" si="65"/>
        <v>0</v>
      </c>
      <c r="S104" s="132">
        <f t="shared" si="66"/>
        <v>0</v>
      </c>
      <c r="T104" s="133">
        <f t="shared" si="67"/>
        <v>0</v>
      </c>
      <c r="U104" s="134">
        <f t="shared" si="3"/>
        <v>0</v>
      </c>
      <c r="V104" s="135"/>
      <c r="W104" s="136"/>
      <c r="X104" s="2"/>
      <c r="Y104" s="111"/>
      <c r="Z104" s="3"/>
    </row>
    <row r="105" ht="14.25" hidden="1" customHeight="1" outlineLevel="1">
      <c r="A105" s="112"/>
      <c r="B105" s="113" t="s">
        <v>241</v>
      </c>
      <c r="C105" s="114" t="s">
        <v>242</v>
      </c>
      <c r="D105" s="115"/>
      <c r="E105" s="35"/>
      <c r="F105" s="113"/>
      <c r="G105" s="116"/>
      <c r="H105" s="116"/>
      <c r="I105" s="115"/>
      <c r="J105" s="88"/>
      <c r="K105" s="117"/>
      <c r="L105" s="118"/>
      <c r="M105" s="118"/>
      <c r="N105" s="118"/>
      <c r="O105" s="119"/>
      <c r="P105" s="88"/>
      <c r="Q105" s="120"/>
      <c r="R105" s="120"/>
      <c r="S105" s="120"/>
      <c r="T105" s="120">
        <f>SUM(T106:T107)</f>
        <v>0</v>
      </c>
      <c r="U105" s="121">
        <f t="shared" si="3"/>
        <v>0</v>
      </c>
      <c r="V105" s="122"/>
      <c r="W105" s="123"/>
      <c r="X105" s="2"/>
      <c r="Y105" s="111"/>
      <c r="Z105" s="3"/>
    </row>
    <row r="106" ht="14.25" hidden="1" customHeight="1" outlineLevel="2">
      <c r="A106" s="124"/>
      <c r="B106" s="125" t="s">
        <v>243</v>
      </c>
      <c r="C106" s="126" t="s">
        <v>244</v>
      </c>
      <c r="D106" s="127" t="s">
        <v>135</v>
      </c>
      <c r="E106" s="35"/>
      <c r="F106" s="128"/>
      <c r="G106" s="128"/>
      <c r="H106" s="128"/>
      <c r="I106" s="127">
        <f t="shared" ref="I106:I107" si="68">F106+G106+H106</f>
        <v>0</v>
      </c>
      <c r="J106" s="88"/>
      <c r="K106" s="129">
        <f t="shared" ref="K106:K107" si="69">L106*O106</f>
        <v>13.45473313</v>
      </c>
      <c r="L106" s="130">
        <v>0.6</v>
      </c>
      <c r="M106" s="129">
        <f t="shared" ref="M106:M107" si="70">N106*O106</f>
        <v>8.969822088</v>
      </c>
      <c r="N106" s="130">
        <f t="shared" ref="N106:N107" si="71">100%-L106</f>
        <v>0.4</v>
      </c>
      <c r="O106" s="131">
        <f t="array" ref="O106">INDEX('LPU Regionalizada'!$B$3:$N$785,MATCH($B106,'LPU Regionalizada'!$B$3:$B$785,0),MATCH(INDEX(CTRL!$F$3:$F$29,CTRL!$E$1),'LPU Regionalizada'!$B$3:$N$3,0))</f>
        <v>22.42455522</v>
      </c>
      <c r="P106" s="88"/>
      <c r="Q106" s="132">
        <f t="shared" ref="Q106:Q107" si="72">F106*O106</f>
        <v>0</v>
      </c>
      <c r="R106" s="132">
        <f t="shared" ref="R106:R107" si="73">G106*O106</f>
        <v>0</v>
      </c>
      <c r="S106" s="132">
        <f t="shared" ref="S106:S107" si="74">H106*O106</f>
        <v>0</v>
      </c>
      <c r="T106" s="133">
        <f t="shared" ref="T106:T107" si="75">SUM(Q106:S106)</f>
        <v>0</v>
      </c>
      <c r="U106" s="134">
        <f t="shared" si="3"/>
        <v>0</v>
      </c>
      <c r="V106" s="135"/>
      <c r="W106" s="136"/>
      <c r="X106" s="2"/>
      <c r="Y106" s="111"/>
      <c r="Z106" s="3"/>
    </row>
    <row r="107" ht="14.25" hidden="1" customHeight="1" outlineLevel="2">
      <c r="A107" s="124"/>
      <c r="B107" s="125" t="s">
        <v>245</v>
      </c>
      <c r="C107" s="126" t="s">
        <v>246</v>
      </c>
      <c r="D107" s="127" t="s">
        <v>76</v>
      </c>
      <c r="E107" s="35"/>
      <c r="F107" s="128"/>
      <c r="G107" s="128"/>
      <c r="H107" s="128"/>
      <c r="I107" s="127">
        <f t="shared" si="68"/>
        <v>0</v>
      </c>
      <c r="J107" s="88"/>
      <c r="K107" s="129">
        <f t="shared" si="69"/>
        <v>173.2615939</v>
      </c>
      <c r="L107" s="130">
        <v>0.6</v>
      </c>
      <c r="M107" s="129">
        <f t="shared" si="70"/>
        <v>115.5077292</v>
      </c>
      <c r="N107" s="130">
        <f t="shared" si="71"/>
        <v>0.4</v>
      </c>
      <c r="O107" s="131">
        <f t="array" ref="O107">INDEX('LPU Regionalizada'!$B$3:$N$785,MATCH($B107,'LPU Regionalizada'!$B$3:$B$785,0),MATCH(INDEX(CTRL!$F$3:$F$29,CTRL!$E$1),'LPU Regionalizada'!$B$3:$N$3,0))</f>
        <v>288.7693231</v>
      </c>
      <c r="P107" s="88"/>
      <c r="Q107" s="132">
        <f t="shared" si="72"/>
        <v>0</v>
      </c>
      <c r="R107" s="132">
        <f t="shared" si="73"/>
        <v>0</v>
      </c>
      <c r="S107" s="132">
        <f t="shared" si="74"/>
        <v>0</v>
      </c>
      <c r="T107" s="133">
        <f t="shared" si="75"/>
        <v>0</v>
      </c>
      <c r="U107" s="134">
        <f t="shared" si="3"/>
        <v>0</v>
      </c>
      <c r="V107" s="135"/>
      <c r="W107" s="136"/>
      <c r="X107" s="2"/>
      <c r="Y107" s="111"/>
      <c r="Z107" s="3"/>
    </row>
    <row r="108" ht="14.25" hidden="1" customHeight="1" outlineLevel="1">
      <c r="A108" s="112"/>
      <c r="B108" s="113" t="s">
        <v>247</v>
      </c>
      <c r="C108" s="114" t="s">
        <v>248</v>
      </c>
      <c r="D108" s="115"/>
      <c r="E108" s="35"/>
      <c r="F108" s="113"/>
      <c r="G108" s="116"/>
      <c r="H108" s="116"/>
      <c r="I108" s="115"/>
      <c r="J108" s="88"/>
      <c r="K108" s="117"/>
      <c r="L108" s="118"/>
      <c r="M108" s="118"/>
      <c r="N108" s="118"/>
      <c r="O108" s="119"/>
      <c r="P108" s="88"/>
      <c r="Q108" s="120"/>
      <c r="R108" s="120"/>
      <c r="S108" s="120"/>
      <c r="T108" s="120">
        <f>SUM(T109:T116)</f>
        <v>0</v>
      </c>
      <c r="U108" s="121">
        <f t="shared" si="3"/>
        <v>0</v>
      </c>
      <c r="V108" s="122"/>
      <c r="W108" s="123"/>
      <c r="X108" s="2"/>
      <c r="Y108" s="111"/>
      <c r="Z108" s="3"/>
    </row>
    <row r="109" ht="14.25" hidden="1" customHeight="1" outlineLevel="2">
      <c r="A109" s="124"/>
      <c r="B109" s="125" t="s">
        <v>249</v>
      </c>
      <c r="C109" s="126" t="s">
        <v>250</v>
      </c>
      <c r="D109" s="127" t="s">
        <v>180</v>
      </c>
      <c r="E109" s="35"/>
      <c r="F109" s="128"/>
      <c r="G109" s="128"/>
      <c r="H109" s="128"/>
      <c r="I109" s="127">
        <f t="shared" ref="I109:I116" si="76">F109+G109+H109</f>
        <v>0</v>
      </c>
      <c r="J109" s="88"/>
      <c r="K109" s="129">
        <f t="shared" ref="K109:K116" si="77">L109*O109</f>
        <v>219.09</v>
      </c>
      <c r="L109" s="130">
        <v>0.6</v>
      </c>
      <c r="M109" s="129">
        <f t="shared" ref="M109:M116" si="78">N109*O109</f>
        <v>146.06</v>
      </c>
      <c r="N109" s="130">
        <f t="shared" ref="N109:N116" si="79">100%-L109</f>
        <v>0.4</v>
      </c>
      <c r="O109" s="131">
        <f t="array" ref="O109">INDEX('LPU Regionalizada'!$B$3:$N$785,MATCH($B109,'LPU Regionalizada'!$B$3:$B$785,0),MATCH(INDEX(CTRL!$F$3:$F$29,CTRL!$E$1),'LPU Regionalizada'!$B$3:$N$3,0))</f>
        <v>365.15</v>
      </c>
      <c r="P109" s="88"/>
      <c r="Q109" s="132">
        <f t="shared" ref="Q109:Q116" si="80">F109*O109</f>
        <v>0</v>
      </c>
      <c r="R109" s="132">
        <f t="shared" ref="R109:R116" si="81">G109*O109</f>
        <v>0</v>
      </c>
      <c r="S109" s="132">
        <f t="shared" ref="S109:S116" si="82">H109*O109</f>
        <v>0</v>
      </c>
      <c r="T109" s="133">
        <f t="shared" ref="T109:T116" si="83">SUM(Q109:S109)</f>
        <v>0</v>
      </c>
      <c r="U109" s="134">
        <f t="shared" si="3"/>
        <v>0</v>
      </c>
      <c r="V109" s="135"/>
      <c r="W109" s="136"/>
      <c r="X109" s="2"/>
      <c r="Y109" s="111"/>
      <c r="Z109" s="3"/>
    </row>
    <row r="110" ht="14.25" hidden="1" customHeight="1" outlineLevel="2">
      <c r="A110" s="124"/>
      <c r="B110" s="125" t="s">
        <v>251</v>
      </c>
      <c r="C110" s="126" t="s">
        <v>252</v>
      </c>
      <c r="D110" s="127" t="s">
        <v>135</v>
      </c>
      <c r="E110" s="35"/>
      <c r="F110" s="128"/>
      <c r="G110" s="128"/>
      <c r="H110" s="128"/>
      <c r="I110" s="127">
        <f t="shared" si="76"/>
        <v>0</v>
      </c>
      <c r="J110" s="88"/>
      <c r="K110" s="129">
        <f t="shared" si="77"/>
        <v>13.20753152</v>
      </c>
      <c r="L110" s="130">
        <v>0.6</v>
      </c>
      <c r="M110" s="129">
        <f t="shared" si="78"/>
        <v>8.805021015</v>
      </c>
      <c r="N110" s="130">
        <f t="shared" si="79"/>
        <v>0.4</v>
      </c>
      <c r="O110" s="131">
        <f t="array" ref="O110">INDEX('LPU Regionalizada'!$B$3:$N$785,MATCH($B110,'LPU Regionalizada'!$B$3:$B$785,0),MATCH(INDEX(CTRL!$F$3:$F$29,CTRL!$E$1),'LPU Regionalizada'!$B$3:$N$3,0))</f>
        <v>22.01255254</v>
      </c>
      <c r="P110" s="88"/>
      <c r="Q110" s="132">
        <f t="shared" si="80"/>
        <v>0</v>
      </c>
      <c r="R110" s="132">
        <f t="shared" si="81"/>
        <v>0</v>
      </c>
      <c r="S110" s="132">
        <f t="shared" si="82"/>
        <v>0</v>
      </c>
      <c r="T110" s="133">
        <f t="shared" si="83"/>
        <v>0</v>
      </c>
      <c r="U110" s="134">
        <f t="shared" si="3"/>
        <v>0</v>
      </c>
      <c r="V110" s="135"/>
      <c r="W110" s="136"/>
      <c r="X110" s="2"/>
      <c r="Y110" s="111"/>
      <c r="Z110" s="3"/>
    </row>
    <row r="111" ht="14.25" hidden="1" customHeight="1" outlineLevel="2">
      <c r="A111" s="124"/>
      <c r="B111" s="125" t="s">
        <v>253</v>
      </c>
      <c r="C111" s="126" t="s">
        <v>254</v>
      </c>
      <c r="D111" s="127" t="s">
        <v>135</v>
      </c>
      <c r="E111" s="35"/>
      <c r="F111" s="128"/>
      <c r="G111" s="128"/>
      <c r="H111" s="128"/>
      <c r="I111" s="127">
        <f t="shared" si="76"/>
        <v>0</v>
      </c>
      <c r="J111" s="88"/>
      <c r="K111" s="129">
        <f t="shared" si="77"/>
        <v>14.58157918</v>
      </c>
      <c r="L111" s="130">
        <v>0.6</v>
      </c>
      <c r="M111" s="129">
        <f t="shared" si="78"/>
        <v>9.721052788</v>
      </c>
      <c r="N111" s="130">
        <f t="shared" si="79"/>
        <v>0.4</v>
      </c>
      <c r="O111" s="131">
        <f t="array" ref="O111">INDEX('LPU Regionalizada'!$B$3:$N$785,MATCH($B111,'LPU Regionalizada'!$B$3:$B$785,0),MATCH(INDEX(CTRL!$F$3:$F$29,CTRL!$E$1),'LPU Regionalizada'!$B$3:$N$3,0))</f>
        <v>24.30263197</v>
      </c>
      <c r="P111" s="88"/>
      <c r="Q111" s="132">
        <f t="shared" si="80"/>
        <v>0</v>
      </c>
      <c r="R111" s="132">
        <f t="shared" si="81"/>
        <v>0</v>
      </c>
      <c r="S111" s="132">
        <f t="shared" si="82"/>
        <v>0</v>
      </c>
      <c r="T111" s="133">
        <f t="shared" si="83"/>
        <v>0</v>
      </c>
      <c r="U111" s="134">
        <f t="shared" si="3"/>
        <v>0</v>
      </c>
      <c r="V111" s="135"/>
      <c r="W111" s="136"/>
      <c r="X111" s="2"/>
      <c r="Y111" s="111"/>
      <c r="Z111" s="3"/>
    </row>
    <row r="112" ht="14.25" hidden="1" customHeight="1" outlineLevel="2">
      <c r="A112" s="124"/>
      <c r="B112" s="125" t="s">
        <v>255</v>
      </c>
      <c r="C112" s="126" t="s">
        <v>256</v>
      </c>
      <c r="D112" s="127" t="s">
        <v>76</v>
      </c>
      <c r="E112" s="35"/>
      <c r="F112" s="128"/>
      <c r="G112" s="128"/>
      <c r="H112" s="128"/>
      <c r="I112" s="127">
        <f t="shared" si="76"/>
        <v>0</v>
      </c>
      <c r="J112" s="88"/>
      <c r="K112" s="129">
        <f t="shared" si="77"/>
        <v>152.2970222</v>
      </c>
      <c r="L112" s="130">
        <v>0.6</v>
      </c>
      <c r="M112" s="129">
        <f t="shared" si="78"/>
        <v>101.5313481</v>
      </c>
      <c r="N112" s="130">
        <f t="shared" si="79"/>
        <v>0.4</v>
      </c>
      <c r="O112" s="131">
        <f t="array" ref="O112">INDEX('LPU Regionalizada'!$B$3:$N$785,MATCH($B112,'LPU Regionalizada'!$B$3:$B$785,0),MATCH(INDEX(CTRL!$F$3:$F$29,CTRL!$E$1),'LPU Regionalizada'!$B$3:$N$3,0))</f>
        <v>253.8283703</v>
      </c>
      <c r="P112" s="88"/>
      <c r="Q112" s="132">
        <f t="shared" si="80"/>
        <v>0</v>
      </c>
      <c r="R112" s="132">
        <f t="shared" si="81"/>
        <v>0</v>
      </c>
      <c r="S112" s="132">
        <f t="shared" si="82"/>
        <v>0</v>
      </c>
      <c r="T112" s="133">
        <f t="shared" si="83"/>
        <v>0</v>
      </c>
      <c r="U112" s="134">
        <f t="shared" si="3"/>
        <v>0</v>
      </c>
      <c r="V112" s="135"/>
      <c r="W112" s="136"/>
      <c r="X112" s="2"/>
      <c r="Y112" s="111"/>
      <c r="Z112" s="3"/>
    </row>
    <row r="113" ht="14.25" hidden="1" customHeight="1" outlineLevel="2">
      <c r="A113" s="124"/>
      <c r="B113" s="125" t="s">
        <v>257</v>
      </c>
      <c r="C113" s="126" t="s">
        <v>258</v>
      </c>
      <c r="D113" s="127" t="s">
        <v>135</v>
      </c>
      <c r="E113" s="35"/>
      <c r="F113" s="128"/>
      <c r="G113" s="128"/>
      <c r="H113" s="128"/>
      <c r="I113" s="127">
        <f t="shared" si="76"/>
        <v>0</v>
      </c>
      <c r="J113" s="88"/>
      <c r="K113" s="129">
        <f t="shared" si="77"/>
        <v>9.239695353</v>
      </c>
      <c r="L113" s="130">
        <v>0.6</v>
      </c>
      <c r="M113" s="129">
        <f t="shared" si="78"/>
        <v>6.159796902</v>
      </c>
      <c r="N113" s="130">
        <f t="shared" si="79"/>
        <v>0.4</v>
      </c>
      <c r="O113" s="131">
        <f t="array" ref="O113">INDEX('LPU Regionalizada'!$B$3:$N$785,MATCH($B113,'LPU Regionalizada'!$B$3:$B$785,0),MATCH(INDEX(CTRL!$F$3:$F$29,CTRL!$E$1),'LPU Regionalizada'!$B$3:$N$3,0))</f>
        <v>15.39949226</v>
      </c>
      <c r="P113" s="88"/>
      <c r="Q113" s="132">
        <f t="shared" si="80"/>
        <v>0</v>
      </c>
      <c r="R113" s="132">
        <f t="shared" si="81"/>
        <v>0</v>
      </c>
      <c r="S113" s="132">
        <f t="shared" si="82"/>
        <v>0</v>
      </c>
      <c r="T113" s="133">
        <f t="shared" si="83"/>
        <v>0</v>
      </c>
      <c r="U113" s="134">
        <f t="shared" si="3"/>
        <v>0</v>
      </c>
      <c r="V113" s="135"/>
      <c r="W113" s="136"/>
      <c r="X113" s="2"/>
      <c r="Y113" s="111"/>
      <c r="Z113" s="3"/>
    </row>
    <row r="114" ht="14.25" hidden="1" customHeight="1" outlineLevel="2">
      <c r="A114" s="124"/>
      <c r="B114" s="125" t="s">
        <v>259</v>
      </c>
      <c r="C114" s="126" t="s">
        <v>260</v>
      </c>
      <c r="D114" s="127" t="s">
        <v>135</v>
      </c>
      <c r="E114" s="35"/>
      <c r="F114" s="128"/>
      <c r="G114" s="128"/>
      <c r="H114" s="128"/>
      <c r="I114" s="127">
        <f t="shared" si="76"/>
        <v>0</v>
      </c>
      <c r="J114" s="88"/>
      <c r="K114" s="129">
        <f t="shared" si="77"/>
        <v>20.23979379</v>
      </c>
      <c r="L114" s="130">
        <v>0.6</v>
      </c>
      <c r="M114" s="129">
        <f t="shared" si="78"/>
        <v>13.49319586</v>
      </c>
      <c r="N114" s="130">
        <f t="shared" si="79"/>
        <v>0.4</v>
      </c>
      <c r="O114" s="131">
        <f t="array" ref="O114">INDEX('LPU Regionalizada'!$B$3:$N$785,MATCH($B114,'LPU Regionalizada'!$B$3:$B$785,0),MATCH(INDEX(CTRL!$F$3:$F$29,CTRL!$E$1),'LPU Regionalizada'!$B$3:$N$3,0))</f>
        <v>33.73298965</v>
      </c>
      <c r="P114" s="88"/>
      <c r="Q114" s="132">
        <f t="shared" si="80"/>
        <v>0</v>
      </c>
      <c r="R114" s="132">
        <f t="shared" si="81"/>
        <v>0</v>
      </c>
      <c r="S114" s="132">
        <f t="shared" si="82"/>
        <v>0</v>
      </c>
      <c r="T114" s="133">
        <f t="shared" si="83"/>
        <v>0</v>
      </c>
      <c r="U114" s="134">
        <f t="shared" si="3"/>
        <v>0</v>
      </c>
      <c r="V114" s="135"/>
      <c r="W114" s="136"/>
      <c r="X114" s="2"/>
      <c r="Y114" s="111"/>
      <c r="Z114" s="3"/>
    </row>
    <row r="115" ht="14.25" hidden="1" customHeight="1" outlineLevel="2">
      <c r="A115" s="124"/>
      <c r="B115" s="125" t="s">
        <v>261</v>
      </c>
      <c r="C115" s="126" t="s">
        <v>262</v>
      </c>
      <c r="D115" s="127" t="s">
        <v>135</v>
      </c>
      <c r="E115" s="35"/>
      <c r="F115" s="128"/>
      <c r="G115" s="128"/>
      <c r="H115" s="128"/>
      <c r="I115" s="127">
        <f t="shared" si="76"/>
        <v>0</v>
      </c>
      <c r="J115" s="88"/>
      <c r="K115" s="129">
        <f t="shared" si="77"/>
        <v>11.73935688</v>
      </c>
      <c r="L115" s="130">
        <v>0.6</v>
      </c>
      <c r="M115" s="129">
        <f t="shared" si="78"/>
        <v>7.826237918</v>
      </c>
      <c r="N115" s="130">
        <f t="shared" si="79"/>
        <v>0.4</v>
      </c>
      <c r="O115" s="131">
        <f t="array" ref="O115">INDEX('LPU Regionalizada'!$B$3:$N$785,MATCH($B115,'LPU Regionalizada'!$B$3:$B$785,0),MATCH(INDEX(CTRL!$F$3:$F$29,CTRL!$E$1),'LPU Regionalizada'!$B$3:$N$3,0))</f>
        <v>19.5655948</v>
      </c>
      <c r="P115" s="88"/>
      <c r="Q115" s="132">
        <f t="shared" si="80"/>
        <v>0</v>
      </c>
      <c r="R115" s="132">
        <f t="shared" si="81"/>
        <v>0</v>
      </c>
      <c r="S115" s="132">
        <f t="shared" si="82"/>
        <v>0</v>
      </c>
      <c r="T115" s="133">
        <f t="shared" si="83"/>
        <v>0</v>
      </c>
      <c r="U115" s="134">
        <f t="shared" si="3"/>
        <v>0</v>
      </c>
      <c r="V115" s="135"/>
      <c r="W115" s="136"/>
      <c r="X115" s="2"/>
      <c r="Y115" s="111"/>
      <c r="Z115" s="3"/>
    </row>
    <row r="116" ht="14.25" hidden="1" customHeight="1" outlineLevel="2">
      <c r="A116" s="124"/>
      <c r="B116" s="125" t="s">
        <v>263</v>
      </c>
      <c r="C116" s="126" t="s">
        <v>264</v>
      </c>
      <c r="D116" s="127" t="s">
        <v>135</v>
      </c>
      <c r="E116" s="35"/>
      <c r="F116" s="128"/>
      <c r="G116" s="128"/>
      <c r="H116" s="128"/>
      <c r="I116" s="127">
        <f t="shared" si="76"/>
        <v>0</v>
      </c>
      <c r="J116" s="88"/>
      <c r="K116" s="129">
        <f t="shared" si="77"/>
        <v>12.19146887</v>
      </c>
      <c r="L116" s="130">
        <v>0.6</v>
      </c>
      <c r="M116" s="129">
        <f t="shared" si="78"/>
        <v>8.127645912</v>
      </c>
      <c r="N116" s="130">
        <f t="shared" si="79"/>
        <v>0.4</v>
      </c>
      <c r="O116" s="131">
        <f t="array" ref="O116">INDEX('LPU Regionalizada'!$B$3:$N$785,MATCH($B116,'LPU Regionalizada'!$B$3:$B$785,0),MATCH(INDEX(CTRL!$F$3:$F$29,CTRL!$E$1),'LPU Regionalizada'!$B$3:$N$3,0))</f>
        <v>20.31911478</v>
      </c>
      <c r="P116" s="88"/>
      <c r="Q116" s="132">
        <f t="shared" si="80"/>
        <v>0</v>
      </c>
      <c r="R116" s="132">
        <f t="shared" si="81"/>
        <v>0</v>
      </c>
      <c r="S116" s="132">
        <f t="shared" si="82"/>
        <v>0</v>
      </c>
      <c r="T116" s="133">
        <f t="shared" si="83"/>
        <v>0</v>
      </c>
      <c r="U116" s="134">
        <f t="shared" si="3"/>
        <v>0</v>
      </c>
      <c r="V116" s="135"/>
      <c r="W116" s="136"/>
      <c r="X116" s="2"/>
      <c r="Y116" s="111"/>
      <c r="Z116" s="3"/>
    </row>
    <row r="117" ht="14.25" hidden="1" customHeight="1" outlineLevel="1">
      <c r="A117" s="112"/>
      <c r="B117" s="113" t="s">
        <v>265</v>
      </c>
      <c r="C117" s="114" t="s">
        <v>266</v>
      </c>
      <c r="D117" s="115"/>
      <c r="E117" s="35"/>
      <c r="F117" s="113"/>
      <c r="G117" s="116"/>
      <c r="H117" s="116"/>
      <c r="I117" s="115"/>
      <c r="J117" s="88"/>
      <c r="K117" s="117"/>
      <c r="L117" s="118"/>
      <c r="M117" s="118"/>
      <c r="N117" s="118"/>
      <c r="O117" s="119"/>
      <c r="P117" s="88"/>
      <c r="Q117" s="120"/>
      <c r="R117" s="120"/>
      <c r="S117" s="120"/>
      <c r="T117" s="120">
        <f>SUM(T118:T124)</f>
        <v>0</v>
      </c>
      <c r="U117" s="121">
        <f t="shared" si="3"/>
        <v>0</v>
      </c>
      <c r="V117" s="122"/>
      <c r="W117" s="123"/>
      <c r="X117" s="2"/>
      <c r="Y117" s="111"/>
      <c r="Z117" s="3"/>
    </row>
    <row r="118" ht="14.25" hidden="1" customHeight="1" outlineLevel="2">
      <c r="A118" s="124"/>
      <c r="B118" s="125" t="s">
        <v>267</v>
      </c>
      <c r="C118" s="126" t="s">
        <v>268</v>
      </c>
      <c r="D118" s="127" t="s">
        <v>76</v>
      </c>
      <c r="E118" s="35"/>
      <c r="F118" s="128"/>
      <c r="G118" s="128"/>
      <c r="H118" s="128"/>
      <c r="I118" s="127">
        <f t="shared" ref="I118:I124" si="84">F118+G118+H118</f>
        <v>0</v>
      </c>
      <c r="J118" s="88"/>
      <c r="K118" s="129">
        <f t="shared" ref="K118:K124" si="85">L118*O118</f>
        <v>39.585</v>
      </c>
      <c r="L118" s="130">
        <v>0.6</v>
      </c>
      <c r="M118" s="129">
        <f t="shared" ref="M118:M124" si="86">N118*O118</f>
        <v>26.39</v>
      </c>
      <c r="N118" s="130">
        <f t="shared" ref="N118:N124" si="87">100%-L118</f>
        <v>0.4</v>
      </c>
      <c r="O118" s="131">
        <f t="array" ref="O118">INDEX('LPU Regionalizada'!$B$3:$N$785,MATCH($B118,'LPU Regionalizada'!$B$3:$B$785,0),MATCH(INDEX(CTRL!$F$3:$F$29,CTRL!$E$1),'LPU Regionalizada'!$B$3:$N$3,0))</f>
        <v>65.975</v>
      </c>
      <c r="P118" s="88"/>
      <c r="Q118" s="132">
        <f t="shared" ref="Q118:Q124" si="88">F118*O118</f>
        <v>0</v>
      </c>
      <c r="R118" s="132">
        <f t="shared" ref="R118:R124" si="89">G118*O118</f>
        <v>0</v>
      </c>
      <c r="S118" s="132">
        <f t="shared" ref="S118:S124" si="90">H118*O118</f>
        <v>0</v>
      </c>
      <c r="T118" s="133">
        <f t="shared" ref="T118:T124" si="91">SUM(Q118:S118)</f>
        <v>0</v>
      </c>
      <c r="U118" s="134">
        <f t="shared" si="3"/>
        <v>0</v>
      </c>
      <c r="V118" s="135"/>
      <c r="W118" s="136"/>
      <c r="X118" s="2"/>
      <c r="Y118" s="111"/>
      <c r="Z118" s="3"/>
    </row>
    <row r="119" ht="14.25" hidden="1" customHeight="1" outlineLevel="2">
      <c r="A119" s="124"/>
      <c r="B119" s="125" t="s">
        <v>269</v>
      </c>
      <c r="C119" s="126" t="s">
        <v>270</v>
      </c>
      <c r="D119" s="127" t="s">
        <v>76</v>
      </c>
      <c r="E119" s="35"/>
      <c r="F119" s="128"/>
      <c r="G119" s="128"/>
      <c r="H119" s="128"/>
      <c r="I119" s="127">
        <f t="shared" si="84"/>
        <v>0</v>
      </c>
      <c r="J119" s="88"/>
      <c r="K119" s="129">
        <f t="shared" si="85"/>
        <v>46.60497732</v>
      </c>
      <c r="L119" s="130">
        <v>0.6</v>
      </c>
      <c r="M119" s="129">
        <f t="shared" si="86"/>
        <v>31.06998488</v>
      </c>
      <c r="N119" s="130">
        <f t="shared" si="87"/>
        <v>0.4</v>
      </c>
      <c r="O119" s="131">
        <f t="array" ref="O119">INDEX('LPU Regionalizada'!$B$3:$N$785,MATCH($B119,'LPU Regionalizada'!$B$3:$B$785,0),MATCH(INDEX(CTRL!$F$3:$F$29,CTRL!$E$1),'LPU Regionalizada'!$B$3:$N$3,0))</f>
        <v>77.6749622</v>
      </c>
      <c r="P119" s="88"/>
      <c r="Q119" s="132">
        <f t="shared" si="88"/>
        <v>0</v>
      </c>
      <c r="R119" s="132">
        <f t="shared" si="89"/>
        <v>0</v>
      </c>
      <c r="S119" s="132">
        <f t="shared" si="90"/>
        <v>0</v>
      </c>
      <c r="T119" s="133">
        <f t="shared" si="91"/>
        <v>0</v>
      </c>
      <c r="U119" s="134">
        <f t="shared" si="3"/>
        <v>0</v>
      </c>
      <c r="V119" s="135"/>
      <c r="W119" s="136"/>
      <c r="X119" s="2"/>
      <c r="Y119" s="111"/>
      <c r="Z119" s="3"/>
    </row>
    <row r="120" ht="14.25" hidden="1" customHeight="1" outlineLevel="2">
      <c r="A120" s="124"/>
      <c r="B120" s="125" t="s">
        <v>271</v>
      </c>
      <c r="C120" s="126" t="s">
        <v>272</v>
      </c>
      <c r="D120" s="127" t="s">
        <v>76</v>
      </c>
      <c r="E120" s="35"/>
      <c r="F120" s="128"/>
      <c r="G120" s="128"/>
      <c r="H120" s="128"/>
      <c r="I120" s="127">
        <f t="shared" si="84"/>
        <v>0</v>
      </c>
      <c r="J120" s="88"/>
      <c r="K120" s="129">
        <f t="shared" si="85"/>
        <v>43.96827273</v>
      </c>
      <c r="L120" s="130">
        <v>0.6</v>
      </c>
      <c r="M120" s="129">
        <f t="shared" si="86"/>
        <v>29.31218182</v>
      </c>
      <c r="N120" s="130">
        <f t="shared" si="87"/>
        <v>0.4</v>
      </c>
      <c r="O120" s="131">
        <f t="array" ref="O120">INDEX('LPU Regionalizada'!$B$3:$N$785,MATCH($B120,'LPU Regionalizada'!$B$3:$B$785,0),MATCH(INDEX(CTRL!$F$3:$F$29,CTRL!$E$1),'LPU Regionalizada'!$B$3:$N$3,0))</f>
        <v>73.28045455</v>
      </c>
      <c r="P120" s="88"/>
      <c r="Q120" s="132">
        <f t="shared" si="88"/>
        <v>0</v>
      </c>
      <c r="R120" s="132">
        <f t="shared" si="89"/>
        <v>0</v>
      </c>
      <c r="S120" s="132">
        <f t="shared" si="90"/>
        <v>0</v>
      </c>
      <c r="T120" s="133">
        <f t="shared" si="91"/>
        <v>0</v>
      </c>
      <c r="U120" s="134">
        <f t="shared" si="3"/>
        <v>0</v>
      </c>
      <c r="V120" s="135"/>
      <c r="W120" s="136"/>
      <c r="X120" s="2"/>
      <c r="Y120" s="111"/>
      <c r="Z120" s="3"/>
    </row>
    <row r="121" ht="14.25" hidden="1" customHeight="1" outlineLevel="2">
      <c r="A121" s="124"/>
      <c r="B121" s="125" t="s">
        <v>273</v>
      </c>
      <c r="C121" s="126" t="s">
        <v>274</v>
      </c>
      <c r="D121" s="127" t="s">
        <v>76</v>
      </c>
      <c r="E121" s="35"/>
      <c r="F121" s="128"/>
      <c r="G121" s="128"/>
      <c r="H121" s="128"/>
      <c r="I121" s="127">
        <f t="shared" si="84"/>
        <v>0</v>
      </c>
      <c r="J121" s="88"/>
      <c r="K121" s="129">
        <f t="shared" si="85"/>
        <v>53.205</v>
      </c>
      <c r="L121" s="130">
        <v>0.6</v>
      </c>
      <c r="M121" s="129">
        <f t="shared" si="86"/>
        <v>35.47</v>
      </c>
      <c r="N121" s="130">
        <f t="shared" si="87"/>
        <v>0.4</v>
      </c>
      <c r="O121" s="131">
        <f t="array" ref="O121">INDEX('LPU Regionalizada'!$B$3:$N$785,MATCH($B121,'LPU Regionalizada'!$B$3:$B$785,0),MATCH(INDEX(CTRL!$F$3:$F$29,CTRL!$E$1),'LPU Regionalizada'!$B$3:$N$3,0))</f>
        <v>88.675</v>
      </c>
      <c r="P121" s="88"/>
      <c r="Q121" s="132">
        <f t="shared" si="88"/>
        <v>0</v>
      </c>
      <c r="R121" s="132">
        <f t="shared" si="89"/>
        <v>0</v>
      </c>
      <c r="S121" s="132">
        <f t="shared" si="90"/>
        <v>0</v>
      </c>
      <c r="T121" s="133">
        <f t="shared" si="91"/>
        <v>0</v>
      </c>
      <c r="U121" s="134">
        <f t="shared" si="3"/>
        <v>0</v>
      </c>
      <c r="V121" s="135"/>
      <c r="W121" s="136"/>
      <c r="X121" s="2"/>
      <c r="Y121" s="111"/>
      <c r="Z121" s="3"/>
    </row>
    <row r="122" ht="14.25" hidden="1" customHeight="1" outlineLevel="2">
      <c r="A122" s="124"/>
      <c r="B122" s="125" t="s">
        <v>275</v>
      </c>
      <c r="C122" s="126" t="s">
        <v>276</v>
      </c>
      <c r="D122" s="127" t="s">
        <v>76</v>
      </c>
      <c r="E122" s="35"/>
      <c r="F122" s="128"/>
      <c r="G122" s="128"/>
      <c r="H122" s="128"/>
      <c r="I122" s="127">
        <f t="shared" si="84"/>
        <v>0</v>
      </c>
      <c r="J122" s="88"/>
      <c r="K122" s="129">
        <f t="shared" si="85"/>
        <v>60.9629718</v>
      </c>
      <c r="L122" s="130">
        <v>0.6</v>
      </c>
      <c r="M122" s="129">
        <f t="shared" si="86"/>
        <v>40.6419812</v>
      </c>
      <c r="N122" s="130">
        <f t="shared" si="87"/>
        <v>0.4</v>
      </c>
      <c r="O122" s="131">
        <f t="array" ref="O122">INDEX('LPU Regionalizada'!$B$3:$N$785,MATCH($B122,'LPU Regionalizada'!$B$3:$B$785,0),MATCH(INDEX(CTRL!$F$3:$F$29,CTRL!$E$1),'LPU Regionalizada'!$B$3:$N$3,0))</f>
        <v>101.604953</v>
      </c>
      <c r="P122" s="88"/>
      <c r="Q122" s="132">
        <f t="shared" si="88"/>
        <v>0</v>
      </c>
      <c r="R122" s="132">
        <f t="shared" si="89"/>
        <v>0</v>
      </c>
      <c r="S122" s="132">
        <f t="shared" si="90"/>
        <v>0</v>
      </c>
      <c r="T122" s="133">
        <f t="shared" si="91"/>
        <v>0</v>
      </c>
      <c r="U122" s="134">
        <f t="shared" si="3"/>
        <v>0</v>
      </c>
      <c r="V122" s="135"/>
      <c r="W122" s="136"/>
      <c r="X122" s="2"/>
      <c r="Y122" s="111"/>
      <c r="Z122" s="3"/>
    </row>
    <row r="123" ht="14.25" hidden="1" customHeight="1" outlineLevel="2">
      <c r="A123" s="124"/>
      <c r="B123" s="125" t="s">
        <v>277</v>
      </c>
      <c r="C123" s="126" t="s">
        <v>278</v>
      </c>
      <c r="D123" s="127" t="s">
        <v>76</v>
      </c>
      <c r="E123" s="35"/>
      <c r="F123" s="128"/>
      <c r="G123" s="128"/>
      <c r="H123" s="128"/>
      <c r="I123" s="127">
        <f t="shared" si="84"/>
        <v>0</v>
      </c>
      <c r="J123" s="88"/>
      <c r="K123" s="129">
        <f t="shared" si="85"/>
        <v>55.95</v>
      </c>
      <c r="L123" s="130">
        <v>0.6</v>
      </c>
      <c r="M123" s="129">
        <f t="shared" si="86"/>
        <v>37.3</v>
      </c>
      <c r="N123" s="130">
        <f t="shared" si="87"/>
        <v>0.4</v>
      </c>
      <c r="O123" s="131">
        <f t="array" ref="O123">INDEX('LPU Regionalizada'!$B$3:$N$785,MATCH($B123,'LPU Regionalizada'!$B$3:$B$785,0),MATCH(INDEX(CTRL!$F$3:$F$29,CTRL!$E$1),'LPU Regionalizada'!$B$3:$N$3,0))</f>
        <v>93.25</v>
      </c>
      <c r="P123" s="88"/>
      <c r="Q123" s="132">
        <f t="shared" si="88"/>
        <v>0</v>
      </c>
      <c r="R123" s="132">
        <f t="shared" si="89"/>
        <v>0</v>
      </c>
      <c r="S123" s="132">
        <f t="shared" si="90"/>
        <v>0</v>
      </c>
      <c r="T123" s="133">
        <f t="shared" si="91"/>
        <v>0</v>
      </c>
      <c r="U123" s="134">
        <f t="shared" si="3"/>
        <v>0</v>
      </c>
      <c r="V123" s="135"/>
      <c r="W123" s="136"/>
      <c r="X123" s="2"/>
      <c r="Y123" s="111"/>
      <c r="Z123" s="3"/>
    </row>
    <row r="124" ht="14.25" hidden="1" customHeight="1" outlineLevel="2">
      <c r="A124" s="124"/>
      <c r="B124" s="125" t="s">
        <v>279</v>
      </c>
      <c r="C124" s="126" t="s">
        <v>280</v>
      </c>
      <c r="D124" s="127" t="s">
        <v>76</v>
      </c>
      <c r="E124" s="35"/>
      <c r="F124" s="128"/>
      <c r="G124" s="128"/>
      <c r="H124" s="128"/>
      <c r="I124" s="127">
        <f t="shared" si="84"/>
        <v>0</v>
      </c>
      <c r="J124" s="88"/>
      <c r="K124" s="129">
        <f t="shared" si="85"/>
        <v>45.50697759</v>
      </c>
      <c r="L124" s="130">
        <v>0.6</v>
      </c>
      <c r="M124" s="129">
        <f t="shared" si="86"/>
        <v>30.33798506</v>
      </c>
      <c r="N124" s="130">
        <f t="shared" si="87"/>
        <v>0.4</v>
      </c>
      <c r="O124" s="131">
        <f t="array" ref="O124">INDEX('LPU Regionalizada'!$B$3:$N$785,MATCH($B124,'LPU Regionalizada'!$B$3:$B$785,0),MATCH(INDEX(CTRL!$F$3:$F$29,CTRL!$E$1),'LPU Regionalizada'!$B$3:$N$3,0))</f>
        <v>75.84496266</v>
      </c>
      <c r="P124" s="88"/>
      <c r="Q124" s="132">
        <f t="shared" si="88"/>
        <v>0</v>
      </c>
      <c r="R124" s="132">
        <f t="shared" si="89"/>
        <v>0</v>
      </c>
      <c r="S124" s="132">
        <f t="shared" si="90"/>
        <v>0</v>
      </c>
      <c r="T124" s="133">
        <f t="shared" si="91"/>
        <v>0</v>
      </c>
      <c r="U124" s="134">
        <f t="shared" si="3"/>
        <v>0</v>
      </c>
      <c r="V124" s="135"/>
      <c r="W124" s="136"/>
      <c r="X124" s="2"/>
      <c r="Y124" s="111"/>
      <c r="Z124" s="3"/>
    </row>
    <row r="125" ht="14.25" hidden="1" customHeight="1" outlineLevel="1">
      <c r="A125" s="112"/>
      <c r="B125" s="113" t="s">
        <v>281</v>
      </c>
      <c r="C125" s="114" t="s">
        <v>282</v>
      </c>
      <c r="D125" s="115"/>
      <c r="E125" s="35"/>
      <c r="F125" s="113"/>
      <c r="G125" s="116"/>
      <c r="H125" s="116"/>
      <c r="I125" s="115"/>
      <c r="J125" s="88"/>
      <c r="K125" s="117"/>
      <c r="L125" s="118"/>
      <c r="M125" s="118"/>
      <c r="N125" s="118"/>
      <c r="O125" s="119"/>
      <c r="P125" s="88"/>
      <c r="Q125" s="120"/>
      <c r="R125" s="120"/>
      <c r="S125" s="120"/>
      <c r="T125" s="120">
        <f>SUM(T126:T137)</f>
        <v>0</v>
      </c>
      <c r="U125" s="121">
        <f t="shared" si="3"/>
        <v>0</v>
      </c>
      <c r="V125" s="122"/>
      <c r="W125" s="123"/>
      <c r="X125" s="2"/>
      <c r="Y125" s="111"/>
      <c r="Z125" s="3"/>
    </row>
    <row r="126" ht="14.25" hidden="1" customHeight="1" outlineLevel="2">
      <c r="A126" s="124"/>
      <c r="B126" s="125" t="s">
        <v>283</v>
      </c>
      <c r="C126" s="126" t="s">
        <v>284</v>
      </c>
      <c r="D126" s="127" t="s">
        <v>142</v>
      </c>
      <c r="E126" s="35"/>
      <c r="F126" s="128"/>
      <c r="G126" s="128"/>
      <c r="H126" s="128"/>
      <c r="I126" s="127">
        <f t="shared" ref="I126:I137" si="92">F126+G126+H126</f>
        <v>0</v>
      </c>
      <c r="J126" s="88"/>
      <c r="K126" s="129">
        <f t="shared" ref="K126:K137" si="93">L126*O126</f>
        <v>103.212</v>
      </c>
      <c r="L126" s="130">
        <v>0.6</v>
      </c>
      <c r="M126" s="129">
        <f t="shared" ref="M126:M137" si="94">N126*O126</f>
        <v>68.808</v>
      </c>
      <c r="N126" s="130">
        <f t="shared" ref="N126:N137" si="95">100%-L126</f>
        <v>0.4</v>
      </c>
      <c r="O126" s="131">
        <f t="array" ref="O126">INDEX('LPU Regionalizada'!$B$3:$N$785,MATCH($B126,'LPU Regionalizada'!$B$3:$B$785,0),MATCH(INDEX(CTRL!$F$3:$F$29,CTRL!$E$1),'LPU Regionalizada'!$B$3:$N$3,0))</f>
        <v>172.02</v>
      </c>
      <c r="P126" s="88"/>
      <c r="Q126" s="132">
        <f t="shared" ref="Q126:Q137" si="96">F126*O126</f>
        <v>0</v>
      </c>
      <c r="R126" s="132">
        <f t="shared" ref="R126:R137" si="97">G126*O126</f>
        <v>0</v>
      </c>
      <c r="S126" s="132">
        <f t="shared" ref="S126:S137" si="98">H126*O126</f>
        <v>0</v>
      </c>
      <c r="T126" s="133">
        <f t="shared" ref="T126:T137" si="99">SUM(Q126:S126)</f>
        <v>0</v>
      </c>
      <c r="U126" s="134">
        <f t="shared" si="3"/>
        <v>0</v>
      </c>
      <c r="V126" s="135"/>
      <c r="W126" s="136"/>
      <c r="X126" s="2"/>
      <c r="Y126" s="111"/>
      <c r="Z126" s="3"/>
    </row>
    <row r="127" ht="14.25" hidden="1" customHeight="1" outlineLevel="2">
      <c r="A127" s="124"/>
      <c r="B127" s="125" t="s">
        <v>285</v>
      </c>
      <c r="C127" s="126" t="s">
        <v>286</v>
      </c>
      <c r="D127" s="127" t="s">
        <v>76</v>
      </c>
      <c r="E127" s="35"/>
      <c r="F127" s="128"/>
      <c r="G127" s="128"/>
      <c r="H127" s="128"/>
      <c r="I127" s="127">
        <f t="shared" si="92"/>
        <v>0</v>
      </c>
      <c r="J127" s="88"/>
      <c r="K127" s="129">
        <f t="shared" si="93"/>
        <v>92.39045147</v>
      </c>
      <c r="L127" s="130">
        <v>0.6</v>
      </c>
      <c r="M127" s="129">
        <f t="shared" si="94"/>
        <v>61.59363432</v>
      </c>
      <c r="N127" s="130">
        <f t="shared" si="95"/>
        <v>0.4</v>
      </c>
      <c r="O127" s="131">
        <f t="array" ref="O127">INDEX('LPU Regionalizada'!$B$3:$N$785,MATCH($B127,'LPU Regionalizada'!$B$3:$B$785,0),MATCH(INDEX(CTRL!$F$3:$F$29,CTRL!$E$1),'LPU Regionalizada'!$B$3:$N$3,0))</f>
        <v>153.9840858</v>
      </c>
      <c r="P127" s="88"/>
      <c r="Q127" s="132">
        <f t="shared" si="96"/>
        <v>0</v>
      </c>
      <c r="R127" s="132">
        <f t="shared" si="97"/>
        <v>0</v>
      </c>
      <c r="S127" s="132">
        <f t="shared" si="98"/>
        <v>0</v>
      </c>
      <c r="T127" s="133">
        <f t="shared" si="99"/>
        <v>0</v>
      </c>
      <c r="U127" s="134">
        <f t="shared" si="3"/>
        <v>0</v>
      </c>
      <c r="V127" s="135"/>
      <c r="W127" s="136"/>
      <c r="X127" s="2"/>
      <c r="Y127" s="111"/>
      <c r="Z127" s="3"/>
    </row>
    <row r="128" ht="14.25" hidden="1" customHeight="1" outlineLevel="2">
      <c r="A128" s="124"/>
      <c r="B128" s="125" t="s">
        <v>287</v>
      </c>
      <c r="C128" s="126" t="s">
        <v>288</v>
      </c>
      <c r="D128" s="127" t="s">
        <v>76</v>
      </c>
      <c r="E128" s="35"/>
      <c r="F128" s="128"/>
      <c r="G128" s="128"/>
      <c r="H128" s="128"/>
      <c r="I128" s="127">
        <f t="shared" si="92"/>
        <v>0</v>
      </c>
      <c r="J128" s="88"/>
      <c r="K128" s="129">
        <f t="shared" si="93"/>
        <v>96.26110818</v>
      </c>
      <c r="L128" s="130">
        <v>0.6</v>
      </c>
      <c r="M128" s="129">
        <f t="shared" si="94"/>
        <v>64.17407212</v>
      </c>
      <c r="N128" s="130">
        <f t="shared" si="95"/>
        <v>0.4</v>
      </c>
      <c r="O128" s="131">
        <f t="array" ref="O128">INDEX('LPU Regionalizada'!$B$3:$N$785,MATCH($B128,'LPU Regionalizada'!$B$3:$B$785,0),MATCH(INDEX(CTRL!$F$3:$F$29,CTRL!$E$1),'LPU Regionalizada'!$B$3:$N$3,0))</f>
        <v>160.4351803</v>
      </c>
      <c r="P128" s="88"/>
      <c r="Q128" s="132">
        <f t="shared" si="96"/>
        <v>0</v>
      </c>
      <c r="R128" s="132">
        <f t="shared" si="97"/>
        <v>0</v>
      </c>
      <c r="S128" s="132">
        <f t="shared" si="98"/>
        <v>0</v>
      </c>
      <c r="T128" s="133">
        <f t="shared" si="99"/>
        <v>0</v>
      </c>
      <c r="U128" s="134">
        <f t="shared" si="3"/>
        <v>0</v>
      </c>
      <c r="V128" s="135"/>
      <c r="W128" s="136"/>
      <c r="X128" s="2"/>
      <c r="Y128" s="111"/>
      <c r="Z128" s="3"/>
    </row>
    <row r="129" ht="14.25" hidden="1" customHeight="1" outlineLevel="2">
      <c r="A129" s="124"/>
      <c r="B129" s="125" t="s">
        <v>289</v>
      </c>
      <c r="C129" s="126" t="s">
        <v>290</v>
      </c>
      <c r="D129" s="127" t="s">
        <v>76</v>
      </c>
      <c r="E129" s="35"/>
      <c r="F129" s="128"/>
      <c r="G129" s="128"/>
      <c r="H129" s="128"/>
      <c r="I129" s="127">
        <f t="shared" si="92"/>
        <v>0</v>
      </c>
      <c r="J129" s="88"/>
      <c r="K129" s="129">
        <f t="shared" si="93"/>
        <v>75.89645583</v>
      </c>
      <c r="L129" s="130">
        <v>0.6</v>
      </c>
      <c r="M129" s="129">
        <f t="shared" si="94"/>
        <v>50.59763722</v>
      </c>
      <c r="N129" s="130">
        <f t="shared" si="95"/>
        <v>0.4</v>
      </c>
      <c r="O129" s="131">
        <f t="array" ref="O129">INDEX('LPU Regionalizada'!$B$3:$N$785,MATCH($B129,'LPU Regionalizada'!$B$3:$B$785,0),MATCH(INDEX(CTRL!$F$3:$F$29,CTRL!$E$1),'LPU Regionalizada'!$B$3:$N$3,0))</f>
        <v>126.494093</v>
      </c>
      <c r="P129" s="88"/>
      <c r="Q129" s="132">
        <f t="shared" si="96"/>
        <v>0</v>
      </c>
      <c r="R129" s="132">
        <f t="shared" si="97"/>
        <v>0</v>
      </c>
      <c r="S129" s="132">
        <f t="shared" si="98"/>
        <v>0</v>
      </c>
      <c r="T129" s="133">
        <f t="shared" si="99"/>
        <v>0</v>
      </c>
      <c r="U129" s="134">
        <f t="shared" si="3"/>
        <v>0</v>
      </c>
      <c r="V129" s="135"/>
      <c r="W129" s="136"/>
      <c r="X129" s="2"/>
      <c r="Y129" s="111"/>
      <c r="Z129" s="3"/>
    </row>
    <row r="130" ht="14.25" hidden="1" customHeight="1" outlineLevel="2">
      <c r="A130" s="124"/>
      <c r="B130" s="125" t="s">
        <v>291</v>
      </c>
      <c r="C130" s="126" t="s">
        <v>292</v>
      </c>
      <c r="D130" s="127" t="s">
        <v>76</v>
      </c>
      <c r="E130" s="35"/>
      <c r="F130" s="128">
        <v>0.0</v>
      </c>
      <c r="G130" s="128"/>
      <c r="H130" s="128"/>
      <c r="I130" s="127">
        <f t="shared" si="92"/>
        <v>0</v>
      </c>
      <c r="J130" s="88"/>
      <c r="K130" s="129">
        <f t="shared" si="93"/>
        <v>67.74093004</v>
      </c>
      <c r="L130" s="130">
        <v>0.6</v>
      </c>
      <c r="M130" s="129">
        <f t="shared" si="94"/>
        <v>45.16062002</v>
      </c>
      <c r="N130" s="130">
        <f t="shared" si="95"/>
        <v>0.4</v>
      </c>
      <c r="O130" s="131">
        <f t="array" ref="O130">INDEX('LPU Regionalizada'!$B$3:$N$785,MATCH($B130,'LPU Regionalizada'!$B$3:$B$785,0),MATCH(INDEX(CTRL!$F$3:$F$29,CTRL!$E$1),'LPU Regionalizada'!$B$3:$N$3,0))</f>
        <v>112.9015501</v>
      </c>
      <c r="P130" s="88"/>
      <c r="Q130" s="132">
        <f t="shared" si="96"/>
        <v>0</v>
      </c>
      <c r="R130" s="132">
        <f t="shared" si="97"/>
        <v>0</v>
      </c>
      <c r="S130" s="132">
        <f t="shared" si="98"/>
        <v>0</v>
      </c>
      <c r="T130" s="133">
        <f t="shared" si="99"/>
        <v>0</v>
      </c>
      <c r="U130" s="134">
        <f t="shared" si="3"/>
        <v>0</v>
      </c>
      <c r="V130" s="135"/>
      <c r="W130" s="136"/>
      <c r="X130" s="2"/>
      <c r="Y130" s="111"/>
      <c r="Z130" s="3"/>
    </row>
    <row r="131" ht="14.25" hidden="1" customHeight="1" outlineLevel="2">
      <c r="A131" s="124"/>
      <c r="B131" s="125" t="s">
        <v>293</v>
      </c>
      <c r="C131" s="126" t="s">
        <v>294</v>
      </c>
      <c r="D131" s="127" t="s">
        <v>76</v>
      </c>
      <c r="E131" s="35"/>
      <c r="F131" s="128"/>
      <c r="G131" s="128"/>
      <c r="H131" s="128"/>
      <c r="I131" s="127">
        <f t="shared" si="92"/>
        <v>0</v>
      </c>
      <c r="J131" s="88"/>
      <c r="K131" s="129">
        <f t="shared" si="93"/>
        <v>73.07724</v>
      </c>
      <c r="L131" s="130">
        <v>0.6</v>
      </c>
      <c r="M131" s="129">
        <f t="shared" si="94"/>
        <v>48.71816</v>
      </c>
      <c r="N131" s="130">
        <f t="shared" si="95"/>
        <v>0.4</v>
      </c>
      <c r="O131" s="131">
        <f t="array" ref="O131">INDEX('LPU Regionalizada'!$B$3:$N$785,MATCH($B131,'LPU Regionalizada'!$B$3:$B$785,0),MATCH(INDEX(CTRL!$F$3:$F$29,CTRL!$E$1),'LPU Regionalizada'!$B$3:$N$3,0))</f>
        <v>121.7954</v>
      </c>
      <c r="P131" s="88"/>
      <c r="Q131" s="132">
        <f t="shared" si="96"/>
        <v>0</v>
      </c>
      <c r="R131" s="132">
        <f t="shared" si="97"/>
        <v>0</v>
      </c>
      <c r="S131" s="132">
        <f t="shared" si="98"/>
        <v>0</v>
      </c>
      <c r="T131" s="133">
        <f t="shared" si="99"/>
        <v>0</v>
      </c>
      <c r="U131" s="134">
        <f t="shared" si="3"/>
        <v>0</v>
      </c>
      <c r="V131" s="135"/>
      <c r="W131" s="136"/>
      <c r="X131" s="2"/>
      <c r="Y131" s="111"/>
      <c r="Z131" s="3"/>
    </row>
    <row r="132" ht="14.25" hidden="1" customHeight="1" outlineLevel="2">
      <c r="A132" s="124"/>
      <c r="B132" s="125" t="s">
        <v>295</v>
      </c>
      <c r="C132" s="126" t="s">
        <v>296</v>
      </c>
      <c r="D132" s="127" t="s">
        <v>76</v>
      </c>
      <c r="E132" s="35"/>
      <c r="F132" s="128"/>
      <c r="G132" s="128"/>
      <c r="H132" s="128"/>
      <c r="I132" s="127">
        <f t="shared" si="92"/>
        <v>0</v>
      </c>
      <c r="J132" s="88"/>
      <c r="K132" s="129">
        <f t="shared" si="93"/>
        <v>103.283418</v>
      </c>
      <c r="L132" s="130">
        <v>0.6</v>
      </c>
      <c r="M132" s="129">
        <f t="shared" si="94"/>
        <v>68.855612</v>
      </c>
      <c r="N132" s="130">
        <f t="shared" si="95"/>
        <v>0.4</v>
      </c>
      <c r="O132" s="131">
        <f t="array" ref="O132">INDEX('LPU Regionalizada'!$B$3:$N$785,MATCH($B132,'LPU Regionalizada'!$B$3:$B$785,0),MATCH(INDEX(CTRL!$F$3:$F$29,CTRL!$E$1),'LPU Regionalizada'!$B$3:$N$3,0))</f>
        <v>172.13903</v>
      </c>
      <c r="P132" s="88"/>
      <c r="Q132" s="132">
        <f t="shared" si="96"/>
        <v>0</v>
      </c>
      <c r="R132" s="132">
        <f t="shared" si="97"/>
        <v>0</v>
      </c>
      <c r="S132" s="132">
        <f t="shared" si="98"/>
        <v>0</v>
      </c>
      <c r="T132" s="133">
        <f t="shared" si="99"/>
        <v>0</v>
      </c>
      <c r="U132" s="134">
        <f t="shared" si="3"/>
        <v>0</v>
      </c>
      <c r="V132" s="135"/>
      <c r="W132" s="136"/>
      <c r="X132" s="2"/>
      <c r="Y132" s="111"/>
      <c r="Z132" s="3"/>
    </row>
    <row r="133" ht="14.25" hidden="1" customHeight="1" outlineLevel="2">
      <c r="A133" s="124"/>
      <c r="B133" s="125" t="s">
        <v>297</v>
      </c>
      <c r="C133" s="126" t="s">
        <v>298</v>
      </c>
      <c r="D133" s="127" t="s">
        <v>76</v>
      </c>
      <c r="E133" s="35"/>
      <c r="F133" s="128"/>
      <c r="G133" s="128"/>
      <c r="H133" s="128"/>
      <c r="I133" s="127">
        <f t="shared" si="92"/>
        <v>0</v>
      </c>
      <c r="J133" s="88"/>
      <c r="K133" s="129">
        <f t="shared" si="93"/>
        <v>115.2479436</v>
      </c>
      <c r="L133" s="130">
        <v>0.6</v>
      </c>
      <c r="M133" s="129">
        <f t="shared" si="94"/>
        <v>76.83196237</v>
      </c>
      <c r="N133" s="130">
        <f t="shared" si="95"/>
        <v>0.4</v>
      </c>
      <c r="O133" s="131">
        <f t="array" ref="O133">INDEX('LPU Regionalizada'!$B$3:$N$785,MATCH($B133,'LPU Regionalizada'!$B$3:$B$785,0),MATCH(INDEX(CTRL!$F$3:$F$29,CTRL!$E$1),'LPU Regionalizada'!$B$3:$N$3,0))</f>
        <v>192.0799059</v>
      </c>
      <c r="P133" s="88"/>
      <c r="Q133" s="132">
        <f t="shared" si="96"/>
        <v>0</v>
      </c>
      <c r="R133" s="132">
        <f t="shared" si="97"/>
        <v>0</v>
      </c>
      <c r="S133" s="132">
        <f t="shared" si="98"/>
        <v>0</v>
      </c>
      <c r="T133" s="133">
        <f t="shared" si="99"/>
        <v>0</v>
      </c>
      <c r="U133" s="134">
        <f t="shared" si="3"/>
        <v>0</v>
      </c>
      <c r="V133" s="135"/>
      <c r="W133" s="136"/>
      <c r="X133" s="2"/>
      <c r="Y133" s="111"/>
      <c r="Z133" s="3"/>
    </row>
    <row r="134" ht="14.25" hidden="1" customHeight="1" outlineLevel="2">
      <c r="A134" s="124"/>
      <c r="B134" s="125" t="s">
        <v>299</v>
      </c>
      <c r="C134" s="126" t="s">
        <v>300</v>
      </c>
      <c r="D134" s="127" t="s">
        <v>76</v>
      </c>
      <c r="E134" s="35"/>
      <c r="F134" s="128"/>
      <c r="G134" s="128"/>
      <c r="H134" s="128"/>
      <c r="I134" s="127">
        <f t="shared" si="92"/>
        <v>0</v>
      </c>
      <c r="J134" s="88"/>
      <c r="K134" s="129">
        <f t="shared" si="93"/>
        <v>112.71</v>
      </c>
      <c r="L134" s="130">
        <v>0.6</v>
      </c>
      <c r="M134" s="129">
        <f t="shared" si="94"/>
        <v>75.14</v>
      </c>
      <c r="N134" s="130">
        <f t="shared" si="95"/>
        <v>0.4</v>
      </c>
      <c r="O134" s="131">
        <f t="array" ref="O134">INDEX('LPU Regionalizada'!$B$3:$N$785,MATCH($B134,'LPU Regionalizada'!$B$3:$B$785,0),MATCH(INDEX(CTRL!$F$3:$F$29,CTRL!$E$1),'LPU Regionalizada'!$B$3:$N$3,0))</f>
        <v>187.85</v>
      </c>
      <c r="P134" s="88"/>
      <c r="Q134" s="132">
        <f t="shared" si="96"/>
        <v>0</v>
      </c>
      <c r="R134" s="132">
        <f t="shared" si="97"/>
        <v>0</v>
      </c>
      <c r="S134" s="132">
        <f t="shared" si="98"/>
        <v>0</v>
      </c>
      <c r="T134" s="133">
        <f t="shared" si="99"/>
        <v>0</v>
      </c>
      <c r="U134" s="134">
        <f t="shared" si="3"/>
        <v>0</v>
      </c>
      <c r="V134" s="135"/>
      <c r="W134" s="136"/>
      <c r="X134" s="2"/>
      <c r="Y134" s="111"/>
      <c r="Z134" s="3"/>
    </row>
    <row r="135" ht="14.25" hidden="1" customHeight="1" outlineLevel="2">
      <c r="A135" s="124"/>
      <c r="B135" s="125" t="s">
        <v>301</v>
      </c>
      <c r="C135" s="126" t="s">
        <v>302</v>
      </c>
      <c r="D135" s="127" t="s">
        <v>76</v>
      </c>
      <c r="E135" s="35"/>
      <c r="F135" s="128"/>
      <c r="G135" s="128"/>
      <c r="H135" s="128"/>
      <c r="I135" s="127">
        <f t="shared" si="92"/>
        <v>0</v>
      </c>
      <c r="J135" s="88"/>
      <c r="K135" s="129">
        <f t="shared" si="93"/>
        <v>80.22</v>
      </c>
      <c r="L135" s="130">
        <v>0.6</v>
      </c>
      <c r="M135" s="129">
        <f t="shared" si="94"/>
        <v>53.48</v>
      </c>
      <c r="N135" s="130">
        <f t="shared" si="95"/>
        <v>0.4</v>
      </c>
      <c r="O135" s="131">
        <f t="array" ref="O135">INDEX('LPU Regionalizada'!$B$3:$N$785,MATCH($B135,'LPU Regionalizada'!$B$3:$B$785,0),MATCH(INDEX(CTRL!$F$3:$F$29,CTRL!$E$1),'LPU Regionalizada'!$B$3:$N$3,0))</f>
        <v>133.7</v>
      </c>
      <c r="P135" s="88"/>
      <c r="Q135" s="132">
        <f t="shared" si="96"/>
        <v>0</v>
      </c>
      <c r="R135" s="132">
        <f t="shared" si="97"/>
        <v>0</v>
      </c>
      <c r="S135" s="132">
        <f t="shared" si="98"/>
        <v>0</v>
      </c>
      <c r="T135" s="133">
        <f t="shared" si="99"/>
        <v>0</v>
      </c>
      <c r="U135" s="134">
        <f t="shared" si="3"/>
        <v>0</v>
      </c>
      <c r="V135" s="135"/>
      <c r="W135" s="136"/>
      <c r="X135" s="2"/>
      <c r="Y135" s="111"/>
      <c r="Z135" s="3"/>
    </row>
    <row r="136" ht="14.25" hidden="1" customHeight="1" outlineLevel="2">
      <c r="A136" s="124"/>
      <c r="B136" s="125" t="s">
        <v>303</v>
      </c>
      <c r="C136" s="126" t="s">
        <v>304</v>
      </c>
      <c r="D136" s="127" t="s">
        <v>142</v>
      </c>
      <c r="E136" s="35"/>
      <c r="F136" s="128"/>
      <c r="G136" s="128"/>
      <c r="H136" s="128"/>
      <c r="I136" s="127">
        <f t="shared" si="92"/>
        <v>0</v>
      </c>
      <c r="J136" s="88"/>
      <c r="K136" s="129">
        <f t="shared" si="93"/>
        <v>52.95</v>
      </c>
      <c r="L136" s="130">
        <v>0.6</v>
      </c>
      <c r="M136" s="129">
        <f t="shared" si="94"/>
        <v>35.3</v>
      </c>
      <c r="N136" s="130">
        <f t="shared" si="95"/>
        <v>0.4</v>
      </c>
      <c r="O136" s="131">
        <f t="array" ref="O136">INDEX('LPU Regionalizada'!$B$3:$N$785,MATCH($B136,'LPU Regionalizada'!$B$3:$B$785,0),MATCH(INDEX(CTRL!$F$3:$F$29,CTRL!$E$1),'LPU Regionalizada'!$B$3:$N$3,0))</f>
        <v>88.25</v>
      </c>
      <c r="P136" s="88"/>
      <c r="Q136" s="132">
        <f t="shared" si="96"/>
        <v>0</v>
      </c>
      <c r="R136" s="132">
        <f t="shared" si="97"/>
        <v>0</v>
      </c>
      <c r="S136" s="132">
        <f t="shared" si="98"/>
        <v>0</v>
      </c>
      <c r="T136" s="133">
        <f t="shared" si="99"/>
        <v>0</v>
      </c>
      <c r="U136" s="134">
        <f t="shared" si="3"/>
        <v>0</v>
      </c>
      <c r="V136" s="135"/>
      <c r="W136" s="136"/>
      <c r="X136" s="2"/>
      <c r="Y136" s="111"/>
      <c r="Z136" s="3"/>
    </row>
    <row r="137" ht="14.25" hidden="1" customHeight="1" outlineLevel="2">
      <c r="A137" s="124"/>
      <c r="B137" s="125" t="s">
        <v>305</v>
      </c>
      <c r="C137" s="126" t="s">
        <v>306</v>
      </c>
      <c r="D137" s="127" t="s">
        <v>76</v>
      </c>
      <c r="E137" s="35"/>
      <c r="F137" s="128"/>
      <c r="G137" s="128"/>
      <c r="H137" s="128"/>
      <c r="I137" s="127">
        <f t="shared" si="92"/>
        <v>0</v>
      </c>
      <c r="J137" s="88"/>
      <c r="K137" s="129">
        <f t="shared" si="93"/>
        <v>49.8636</v>
      </c>
      <c r="L137" s="130">
        <v>0.6</v>
      </c>
      <c r="M137" s="129">
        <f t="shared" si="94"/>
        <v>33.2424</v>
      </c>
      <c r="N137" s="130">
        <f t="shared" si="95"/>
        <v>0.4</v>
      </c>
      <c r="O137" s="131">
        <f t="array" ref="O137">INDEX('LPU Regionalizada'!$B$3:$N$785,MATCH($B137,'LPU Regionalizada'!$B$3:$B$785,0),MATCH(INDEX(CTRL!$F$3:$F$29,CTRL!$E$1),'LPU Regionalizada'!$B$3:$N$3,0))</f>
        <v>83.106</v>
      </c>
      <c r="P137" s="88"/>
      <c r="Q137" s="132">
        <f t="shared" si="96"/>
        <v>0</v>
      </c>
      <c r="R137" s="132">
        <f t="shared" si="97"/>
        <v>0</v>
      </c>
      <c r="S137" s="132">
        <f t="shared" si="98"/>
        <v>0</v>
      </c>
      <c r="T137" s="133">
        <f t="shared" si="99"/>
        <v>0</v>
      </c>
      <c r="U137" s="134">
        <f t="shared" si="3"/>
        <v>0</v>
      </c>
      <c r="V137" s="135"/>
      <c r="W137" s="136"/>
      <c r="X137" s="2"/>
      <c r="Y137" s="111"/>
      <c r="Z137" s="3"/>
    </row>
    <row r="138" ht="14.25" hidden="1" customHeight="1" outlineLevel="1">
      <c r="A138" s="112"/>
      <c r="B138" s="113" t="s">
        <v>307</v>
      </c>
      <c r="C138" s="114" t="s">
        <v>308</v>
      </c>
      <c r="D138" s="115"/>
      <c r="E138" s="35"/>
      <c r="F138" s="113"/>
      <c r="G138" s="116"/>
      <c r="H138" s="116"/>
      <c r="I138" s="115"/>
      <c r="J138" s="88"/>
      <c r="K138" s="117"/>
      <c r="L138" s="118"/>
      <c r="M138" s="118"/>
      <c r="N138" s="118"/>
      <c r="O138" s="119"/>
      <c r="P138" s="88"/>
      <c r="Q138" s="120"/>
      <c r="R138" s="120"/>
      <c r="S138" s="120"/>
      <c r="T138" s="120">
        <f>SUM(T139:T164)</f>
        <v>0</v>
      </c>
      <c r="U138" s="121">
        <f t="shared" si="3"/>
        <v>0</v>
      </c>
      <c r="V138" s="122"/>
      <c r="W138" s="123"/>
      <c r="X138" s="2"/>
      <c r="Y138" s="111"/>
      <c r="Z138" s="3"/>
    </row>
    <row r="139" ht="14.25" hidden="1" customHeight="1" outlineLevel="2">
      <c r="A139" s="124"/>
      <c r="B139" s="125" t="s">
        <v>309</v>
      </c>
      <c r="C139" s="126" t="s">
        <v>310</v>
      </c>
      <c r="D139" s="127" t="s">
        <v>76</v>
      </c>
      <c r="E139" s="35"/>
      <c r="F139" s="128"/>
      <c r="G139" s="128"/>
      <c r="H139" s="128"/>
      <c r="I139" s="127">
        <f t="shared" ref="I139:I164" si="100">F139+G139+H139</f>
        <v>0</v>
      </c>
      <c r="J139" s="88"/>
      <c r="K139" s="129">
        <f t="shared" ref="K139:K164" si="101">L139*O139</f>
        <v>5.301</v>
      </c>
      <c r="L139" s="130">
        <v>0.6</v>
      </c>
      <c r="M139" s="129">
        <f t="shared" ref="M139:M164" si="102">N139*O139</f>
        <v>3.534</v>
      </c>
      <c r="N139" s="130">
        <f t="shared" ref="N139:N164" si="103">100%-L139</f>
        <v>0.4</v>
      </c>
      <c r="O139" s="131">
        <f t="array" ref="O139">INDEX('LPU Regionalizada'!$B$3:$N$785,MATCH($B139,'LPU Regionalizada'!$B$3:$B$785,0),MATCH(INDEX(CTRL!$F$3:$F$29,CTRL!$E$1),'LPU Regionalizada'!$B$3:$N$3,0))</f>
        <v>8.835</v>
      </c>
      <c r="P139" s="88"/>
      <c r="Q139" s="132">
        <f t="shared" ref="Q139:Q164" si="104">F139*O139</f>
        <v>0</v>
      </c>
      <c r="R139" s="132">
        <f t="shared" ref="R139:R164" si="105">G139*O139</f>
        <v>0</v>
      </c>
      <c r="S139" s="132">
        <f t="shared" ref="S139:S164" si="106">H139*O139</f>
        <v>0</v>
      </c>
      <c r="T139" s="133">
        <f t="shared" ref="T139:T164" si="107">SUM(Q139:S139)</f>
        <v>0</v>
      </c>
      <c r="U139" s="134">
        <f t="shared" si="3"/>
        <v>0</v>
      </c>
      <c r="V139" s="135"/>
      <c r="W139" s="136"/>
      <c r="X139" s="2"/>
      <c r="Y139" s="111"/>
      <c r="Z139" s="3"/>
    </row>
    <row r="140" ht="14.25" hidden="1" customHeight="1" outlineLevel="2">
      <c r="A140" s="124"/>
      <c r="B140" s="125" t="s">
        <v>311</v>
      </c>
      <c r="C140" s="126" t="s">
        <v>312</v>
      </c>
      <c r="D140" s="127" t="s">
        <v>180</v>
      </c>
      <c r="E140" s="35"/>
      <c r="F140" s="128"/>
      <c r="G140" s="128"/>
      <c r="H140" s="128"/>
      <c r="I140" s="127">
        <f t="shared" si="100"/>
        <v>0</v>
      </c>
      <c r="J140" s="88"/>
      <c r="K140" s="129">
        <f t="shared" si="101"/>
        <v>4.03746</v>
      </c>
      <c r="L140" s="130">
        <v>0.6</v>
      </c>
      <c r="M140" s="129">
        <f t="shared" si="102"/>
        <v>2.69164</v>
      </c>
      <c r="N140" s="130">
        <f t="shared" si="103"/>
        <v>0.4</v>
      </c>
      <c r="O140" s="131">
        <f t="array" ref="O140">INDEX('LPU Regionalizada'!$B$3:$N$785,MATCH($B140,'LPU Regionalizada'!$B$3:$B$785,0),MATCH(INDEX(CTRL!$F$3:$F$29,CTRL!$E$1),'LPU Regionalizada'!$B$3:$N$3,0))</f>
        <v>6.7291</v>
      </c>
      <c r="P140" s="88"/>
      <c r="Q140" s="132">
        <f t="shared" si="104"/>
        <v>0</v>
      </c>
      <c r="R140" s="132">
        <f t="shared" si="105"/>
        <v>0</v>
      </c>
      <c r="S140" s="132">
        <f t="shared" si="106"/>
        <v>0</v>
      </c>
      <c r="T140" s="133">
        <f t="shared" si="107"/>
        <v>0</v>
      </c>
      <c r="U140" s="134">
        <f t="shared" si="3"/>
        <v>0</v>
      </c>
      <c r="V140" s="135"/>
      <c r="W140" s="136"/>
      <c r="X140" s="2"/>
      <c r="Y140" s="111"/>
      <c r="Z140" s="3"/>
    </row>
    <row r="141" ht="14.25" hidden="1" customHeight="1" outlineLevel="2">
      <c r="A141" s="124"/>
      <c r="B141" s="125" t="s">
        <v>313</v>
      </c>
      <c r="C141" s="126" t="s">
        <v>314</v>
      </c>
      <c r="D141" s="127" t="s">
        <v>76</v>
      </c>
      <c r="E141" s="35"/>
      <c r="F141" s="128"/>
      <c r="G141" s="128"/>
      <c r="H141" s="128"/>
      <c r="I141" s="127">
        <f t="shared" si="100"/>
        <v>0</v>
      </c>
      <c r="J141" s="88"/>
      <c r="K141" s="129">
        <f t="shared" si="101"/>
        <v>18.94571728</v>
      </c>
      <c r="L141" s="130">
        <v>0.6</v>
      </c>
      <c r="M141" s="129">
        <f t="shared" si="102"/>
        <v>12.63047819</v>
      </c>
      <c r="N141" s="130">
        <f t="shared" si="103"/>
        <v>0.4</v>
      </c>
      <c r="O141" s="131">
        <f t="array" ref="O141">INDEX('LPU Regionalizada'!$B$3:$N$785,MATCH($B141,'LPU Regionalizada'!$B$3:$B$785,0),MATCH(INDEX(CTRL!$F$3:$F$29,CTRL!$E$1),'LPU Regionalizada'!$B$3:$N$3,0))</f>
        <v>31.57619547</v>
      </c>
      <c r="P141" s="88"/>
      <c r="Q141" s="132">
        <f t="shared" si="104"/>
        <v>0</v>
      </c>
      <c r="R141" s="132">
        <f t="shared" si="105"/>
        <v>0</v>
      </c>
      <c r="S141" s="132">
        <f t="shared" si="106"/>
        <v>0</v>
      </c>
      <c r="T141" s="133">
        <f t="shared" si="107"/>
        <v>0</v>
      </c>
      <c r="U141" s="134">
        <f t="shared" si="3"/>
        <v>0</v>
      </c>
      <c r="V141" s="135"/>
      <c r="W141" s="136"/>
      <c r="X141" s="2"/>
      <c r="Y141" s="111"/>
      <c r="Z141" s="3"/>
    </row>
    <row r="142" ht="14.25" hidden="1" customHeight="1" outlineLevel="2">
      <c r="A142" s="124"/>
      <c r="B142" s="125" t="s">
        <v>315</v>
      </c>
      <c r="C142" s="126" t="s">
        <v>316</v>
      </c>
      <c r="D142" s="127" t="s">
        <v>76</v>
      </c>
      <c r="E142" s="35"/>
      <c r="F142" s="128"/>
      <c r="G142" s="128"/>
      <c r="H142" s="128"/>
      <c r="I142" s="127">
        <f t="shared" si="100"/>
        <v>0</v>
      </c>
      <c r="J142" s="88"/>
      <c r="K142" s="129">
        <f t="shared" si="101"/>
        <v>34.48812</v>
      </c>
      <c r="L142" s="130">
        <v>0.6</v>
      </c>
      <c r="M142" s="129">
        <f t="shared" si="102"/>
        <v>22.99208</v>
      </c>
      <c r="N142" s="130">
        <f t="shared" si="103"/>
        <v>0.4</v>
      </c>
      <c r="O142" s="131">
        <f t="array" ref="O142">INDEX('LPU Regionalizada'!$B$3:$N$785,MATCH($B142,'LPU Regionalizada'!$B$3:$B$785,0),MATCH(INDEX(CTRL!$F$3:$F$29,CTRL!$E$1),'LPU Regionalizada'!$B$3:$N$3,0))</f>
        <v>57.4802</v>
      </c>
      <c r="P142" s="88"/>
      <c r="Q142" s="132">
        <f t="shared" si="104"/>
        <v>0</v>
      </c>
      <c r="R142" s="132">
        <f t="shared" si="105"/>
        <v>0</v>
      </c>
      <c r="S142" s="132">
        <f t="shared" si="106"/>
        <v>0</v>
      </c>
      <c r="T142" s="133">
        <f t="shared" si="107"/>
        <v>0</v>
      </c>
      <c r="U142" s="134">
        <f t="shared" si="3"/>
        <v>0</v>
      </c>
      <c r="V142" s="135"/>
      <c r="W142" s="136"/>
      <c r="X142" s="2"/>
      <c r="Y142" s="111"/>
      <c r="Z142" s="3"/>
    </row>
    <row r="143" ht="14.25" hidden="1" customHeight="1" outlineLevel="2">
      <c r="A143" s="124"/>
      <c r="B143" s="125" t="s">
        <v>317</v>
      </c>
      <c r="C143" s="126" t="s">
        <v>318</v>
      </c>
      <c r="D143" s="127" t="s">
        <v>76</v>
      </c>
      <c r="E143" s="35"/>
      <c r="F143" s="128"/>
      <c r="G143" s="128"/>
      <c r="H143" s="128"/>
      <c r="I143" s="127">
        <f t="shared" si="100"/>
        <v>0</v>
      </c>
      <c r="J143" s="88"/>
      <c r="K143" s="129">
        <f t="shared" si="101"/>
        <v>50.99905305</v>
      </c>
      <c r="L143" s="130">
        <v>0.6</v>
      </c>
      <c r="M143" s="129">
        <f t="shared" si="102"/>
        <v>33.9993687</v>
      </c>
      <c r="N143" s="130">
        <f t="shared" si="103"/>
        <v>0.4</v>
      </c>
      <c r="O143" s="131">
        <f t="array" ref="O143">INDEX('LPU Regionalizada'!$B$3:$N$785,MATCH($B143,'LPU Regionalizada'!$B$3:$B$785,0),MATCH(INDEX(CTRL!$F$3:$F$29,CTRL!$E$1),'LPU Regionalizada'!$B$3:$N$3,0))</f>
        <v>84.99842175</v>
      </c>
      <c r="P143" s="88"/>
      <c r="Q143" s="132">
        <f t="shared" si="104"/>
        <v>0</v>
      </c>
      <c r="R143" s="132">
        <f t="shared" si="105"/>
        <v>0</v>
      </c>
      <c r="S143" s="132">
        <f t="shared" si="106"/>
        <v>0</v>
      </c>
      <c r="T143" s="133">
        <f t="shared" si="107"/>
        <v>0</v>
      </c>
      <c r="U143" s="134">
        <f t="shared" si="3"/>
        <v>0</v>
      </c>
      <c r="V143" s="135"/>
      <c r="W143" s="136"/>
      <c r="X143" s="2"/>
      <c r="Y143" s="111"/>
      <c r="Z143" s="3"/>
    </row>
    <row r="144" ht="14.25" hidden="1" customHeight="1" outlineLevel="2">
      <c r="A144" s="124"/>
      <c r="B144" s="125" t="s">
        <v>319</v>
      </c>
      <c r="C144" s="126" t="s">
        <v>320</v>
      </c>
      <c r="D144" s="127" t="s">
        <v>180</v>
      </c>
      <c r="E144" s="35"/>
      <c r="F144" s="128"/>
      <c r="G144" s="128"/>
      <c r="H144" s="128"/>
      <c r="I144" s="127">
        <f t="shared" si="100"/>
        <v>0</v>
      </c>
      <c r="J144" s="88"/>
      <c r="K144" s="129">
        <f t="shared" si="101"/>
        <v>36.47484991</v>
      </c>
      <c r="L144" s="130">
        <v>0.6</v>
      </c>
      <c r="M144" s="129">
        <f t="shared" si="102"/>
        <v>24.31656661</v>
      </c>
      <c r="N144" s="130">
        <f t="shared" si="103"/>
        <v>0.4</v>
      </c>
      <c r="O144" s="131">
        <f t="array" ref="O144">INDEX('LPU Regionalizada'!$B$3:$N$785,MATCH($B144,'LPU Regionalizada'!$B$3:$B$785,0),MATCH(INDEX(CTRL!$F$3:$F$29,CTRL!$E$1),'LPU Regionalizada'!$B$3:$N$3,0))</f>
        <v>60.79141651</v>
      </c>
      <c r="P144" s="88"/>
      <c r="Q144" s="132">
        <f t="shared" si="104"/>
        <v>0</v>
      </c>
      <c r="R144" s="132">
        <f t="shared" si="105"/>
        <v>0</v>
      </c>
      <c r="S144" s="132">
        <f t="shared" si="106"/>
        <v>0</v>
      </c>
      <c r="T144" s="133">
        <f t="shared" si="107"/>
        <v>0</v>
      </c>
      <c r="U144" s="134">
        <f t="shared" si="3"/>
        <v>0</v>
      </c>
      <c r="V144" s="135"/>
      <c r="W144" s="136"/>
      <c r="X144" s="2"/>
      <c r="Y144" s="111"/>
      <c r="Z144" s="3"/>
    </row>
    <row r="145" ht="14.25" hidden="1" customHeight="1" outlineLevel="2">
      <c r="A145" s="124"/>
      <c r="B145" s="125" t="s">
        <v>321</v>
      </c>
      <c r="C145" s="126" t="s">
        <v>322</v>
      </c>
      <c r="D145" s="127" t="s">
        <v>180</v>
      </c>
      <c r="E145" s="35"/>
      <c r="F145" s="128"/>
      <c r="G145" s="128"/>
      <c r="H145" s="128"/>
      <c r="I145" s="127">
        <f t="shared" si="100"/>
        <v>0</v>
      </c>
      <c r="J145" s="88"/>
      <c r="K145" s="129">
        <f t="shared" si="101"/>
        <v>33.16454258</v>
      </c>
      <c r="L145" s="130">
        <v>0.6</v>
      </c>
      <c r="M145" s="129">
        <f t="shared" si="102"/>
        <v>22.10969505</v>
      </c>
      <c r="N145" s="130">
        <f t="shared" si="103"/>
        <v>0.4</v>
      </c>
      <c r="O145" s="131">
        <f t="array" ref="O145">INDEX('LPU Regionalizada'!$B$3:$N$785,MATCH($B145,'LPU Regionalizada'!$B$3:$B$785,0),MATCH(INDEX(CTRL!$F$3:$F$29,CTRL!$E$1),'LPU Regionalizada'!$B$3:$N$3,0))</f>
        <v>55.27423764</v>
      </c>
      <c r="P145" s="88"/>
      <c r="Q145" s="132">
        <f t="shared" si="104"/>
        <v>0</v>
      </c>
      <c r="R145" s="132">
        <f t="shared" si="105"/>
        <v>0</v>
      </c>
      <c r="S145" s="132">
        <f t="shared" si="106"/>
        <v>0</v>
      </c>
      <c r="T145" s="133">
        <f t="shared" si="107"/>
        <v>0</v>
      </c>
      <c r="U145" s="134">
        <f t="shared" si="3"/>
        <v>0</v>
      </c>
      <c r="V145" s="135"/>
      <c r="W145" s="136"/>
      <c r="X145" s="2"/>
      <c r="Y145" s="111"/>
      <c r="Z145" s="3"/>
    </row>
    <row r="146" ht="14.25" hidden="1" customHeight="1" outlineLevel="2">
      <c r="A146" s="124"/>
      <c r="B146" s="125" t="s">
        <v>323</v>
      </c>
      <c r="C146" s="126" t="s">
        <v>324</v>
      </c>
      <c r="D146" s="127" t="s">
        <v>76</v>
      </c>
      <c r="E146" s="35"/>
      <c r="F146" s="128"/>
      <c r="G146" s="128"/>
      <c r="H146" s="128"/>
      <c r="I146" s="127">
        <f t="shared" si="100"/>
        <v>0</v>
      </c>
      <c r="J146" s="88"/>
      <c r="K146" s="129">
        <f t="shared" si="101"/>
        <v>56.8694557</v>
      </c>
      <c r="L146" s="130">
        <v>0.6</v>
      </c>
      <c r="M146" s="129">
        <f t="shared" si="102"/>
        <v>37.91297046</v>
      </c>
      <c r="N146" s="130">
        <f t="shared" si="103"/>
        <v>0.4</v>
      </c>
      <c r="O146" s="131">
        <f t="array" ref="O146">INDEX('LPU Regionalizada'!$B$3:$N$785,MATCH($B146,'LPU Regionalizada'!$B$3:$B$785,0),MATCH(INDEX(CTRL!$F$3:$F$29,CTRL!$E$1),'LPU Regionalizada'!$B$3:$N$3,0))</f>
        <v>94.78242616</v>
      </c>
      <c r="P146" s="88"/>
      <c r="Q146" s="132">
        <f t="shared" si="104"/>
        <v>0</v>
      </c>
      <c r="R146" s="132">
        <f t="shared" si="105"/>
        <v>0</v>
      </c>
      <c r="S146" s="132">
        <f t="shared" si="106"/>
        <v>0</v>
      </c>
      <c r="T146" s="133">
        <f t="shared" si="107"/>
        <v>0</v>
      </c>
      <c r="U146" s="134">
        <f t="shared" si="3"/>
        <v>0</v>
      </c>
      <c r="V146" s="135"/>
      <c r="W146" s="136"/>
      <c r="X146" s="2"/>
      <c r="Y146" s="111"/>
      <c r="Z146" s="3"/>
    </row>
    <row r="147" ht="14.25" hidden="1" customHeight="1" outlineLevel="2">
      <c r="A147" s="124"/>
      <c r="B147" s="125" t="s">
        <v>325</v>
      </c>
      <c r="C147" s="126" t="s">
        <v>326</v>
      </c>
      <c r="D147" s="127" t="s">
        <v>76</v>
      </c>
      <c r="E147" s="35"/>
      <c r="F147" s="128"/>
      <c r="G147" s="128"/>
      <c r="H147" s="128"/>
      <c r="I147" s="127">
        <f t="shared" si="100"/>
        <v>0</v>
      </c>
      <c r="J147" s="88"/>
      <c r="K147" s="129">
        <f t="shared" si="101"/>
        <v>76.326</v>
      </c>
      <c r="L147" s="130">
        <v>0.6</v>
      </c>
      <c r="M147" s="129">
        <f t="shared" si="102"/>
        <v>50.884</v>
      </c>
      <c r="N147" s="130">
        <f t="shared" si="103"/>
        <v>0.4</v>
      </c>
      <c r="O147" s="131">
        <f t="array" ref="O147">INDEX('LPU Regionalizada'!$B$3:$N$785,MATCH($B147,'LPU Regionalizada'!$B$3:$B$785,0),MATCH(INDEX(CTRL!$F$3:$F$29,CTRL!$E$1),'LPU Regionalizada'!$B$3:$N$3,0))</f>
        <v>127.21</v>
      </c>
      <c r="P147" s="88"/>
      <c r="Q147" s="132">
        <f t="shared" si="104"/>
        <v>0</v>
      </c>
      <c r="R147" s="132">
        <f t="shared" si="105"/>
        <v>0</v>
      </c>
      <c r="S147" s="132">
        <f t="shared" si="106"/>
        <v>0</v>
      </c>
      <c r="T147" s="133">
        <f t="shared" si="107"/>
        <v>0</v>
      </c>
      <c r="U147" s="134">
        <f t="shared" si="3"/>
        <v>0</v>
      </c>
      <c r="V147" s="135"/>
      <c r="W147" s="136"/>
      <c r="X147" s="2"/>
      <c r="Y147" s="111"/>
      <c r="Z147" s="3"/>
    </row>
    <row r="148" ht="14.25" hidden="1" customHeight="1" outlineLevel="2">
      <c r="A148" s="124"/>
      <c r="B148" s="125" t="s">
        <v>327</v>
      </c>
      <c r="C148" s="126" t="s">
        <v>328</v>
      </c>
      <c r="D148" s="127" t="s">
        <v>76</v>
      </c>
      <c r="E148" s="35"/>
      <c r="F148" s="128"/>
      <c r="G148" s="128"/>
      <c r="H148" s="128"/>
      <c r="I148" s="127">
        <f t="shared" si="100"/>
        <v>0</v>
      </c>
      <c r="J148" s="88"/>
      <c r="K148" s="129">
        <f t="shared" si="101"/>
        <v>79.90496132</v>
      </c>
      <c r="L148" s="130">
        <v>0.6</v>
      </c>
      <c r="M148" s="129">
        <f t="shared" si="102"/>
        <v>53.26997421</v>
      </c>
      <c r="N148" s="130">
        <f t="shared" si="103"/>
        <v>0.4</v>
      </c>
      <c r="O148" s="131">
        <f t="array" ref="O148">INDEX('LPU Regionalizada'!$B$3:$N$785,MATCH($B148,'LPU Regionalizada'!$B$3:$B$785,0),MATCH(INDEX(CTRL!$F$3:$F$29,CTRL!$E$1),'LPU Regionalizada'!$B$3:$N$3,0))</f>
        <v>133.1749355</v>
      </c>
      <c r="P148" s="88"/>
      <c r="Q148" s="132">
        <f t="shared" si="104"/>
        <v>0</v>
      </c>
      <c r="R148" s="132">
        <f t="shared" si="105"/>
        <v>0</v>
      </c>
      <c r="S148" s="132">
        <f t="shared" si="106"/>
        <v>0</v>
      </c>
      <c r="T148" s="133">
        <f t="shared" si="107"/>
        <v>0</v>
      </c>
      <c r="U148" s="134">
        <f t="shared" si="3"/>
        <v>0</v>
      </c>
      <c r="V148" s="135"/>
      <c r="W148" s="136"/>
      <c r="X148" s="2"/>
      <c r="Y148" s="111"/>
      <c r="Z148" s="3"/>
    </row>
    <row r="149" ht="14.25" hidden="1" customHeight="1" outlineLevel="2">
      <c r="A149" s="124"/>
      <c r="B149" s="125" t="s">
        <v>329</v>
      </c>
      <c r="C149" s="126" t="s">
        <v>330</v>
      </c>
      <c r="D149" s="127" t="s">
        <v>76</v>
      </c>
      <c r="E149" s="35"/>
      <c r="F149" s="128"/>
      <c r="G149" s="128"/>
      <c r="H149" s="128"/>
      <c r="I149" s="127">
        <f t="shared" si="100"/>
        <v>0</v>
      </c>
      <c r="J149" s="88"/>
      <c r="K149" s="129">
        <f t="shared" si="101"/>
        <v>94.55152131</v>
      </c>
      <c r="L149" s="130">
        <v>0.6</v>
      </c>
      <c r="M149" s="129">
        <f t="shared" si="102"/>
        <v>63.03434754</v>
      </c>
      <c r="N149" s="130">
        <f t="shared" si="103"/>
        <v>0.4</v>
      </c>
      <c r="O149" s="131">
        <f t="array" ref="O149">INDEX('LPU Regionalizada'!$B$3:$N$785,MATCH($B149,'LPU Regionalizada'!$B$3:$B$785,0),MATCH(INDEX(CTRL!$F$3:$F$29,CTRL!$E$1),'LPU Regionalizada'!$B$3:$N$3,0))</f>
        <v>157.5858689</v>
      </c>
      <c r="P149" s="88"/>
      <c r="Q149" s="132">
        <f t="shared" si="104"/>
        <v>0</v>
      </c>
      <c r="R149" s="132">
        <f t="shared" si="105"/>
        <v>0</v>
      </c>
      <c r="S149" s="132">
        <f t="shared" si="106"/>
        <v>0</v>
      </c>
      <c r="T149" s="133">
        <f t="shared" si="107"/>
        <v>0</v>
      </c>
      <c r="U149" s="134">
        <f t="shared" si="3"/>
        <v>0</v>
      </c>
      <c r="V149" s="135"/>
      <c r="W149" s="136"/>
      <c r="X149" s="2"/>
      <c r="Y149" s="111"/>
      <c r="Z149" s="3"/>
    </row>
    <row r="150" ht="14.25" hidden="1" customHeight="1" outlineLevel="2">
      <c r="A150" s="124"/>
      <c r="B150" s="125" t="s">
        <v>331</v>
      </c>
      <c r="C150" s="126" t="s">
        <v>332</v>
      </c>
      <c r="D150" s="127" t="s">
        <v>76</v>
      </c>
      <c r="E150" s="35"/>
      <c r="F150" s="128"/>
      <c r="G150" s="128"/>
      <c r="H150" s="128"/>
      <c r="I150" s="127">
        <f t="shared" si="100"/>
        <v>0</v>
      </c>
      <c r="J150" s="88"/>
      <c r="K150" s="129">
        <f t="shared" si="101"/>
        <v>151.0120063</v>
      </c>
      <c r="L150" s="130">
        <v>0.6</v>
      </c>
      <c r="M150" s="129">
        <f t="shared" si="102"/>
        <v>100.6746709</v>
      </c>
      <c r="N150" s="130">
        <f t="shared" si="103"/>
        <v>0.4</v>
      </c>
      <c r="O150" s="131">
        <f t="array" ref="O150">INDEX('LPU Regionalizada'!$B$3:$N$785,MATCH($B150,'LPU Regionalizada'!$B$3:$B$785,0),MATCH(INDEX(CTRL!$F$3:$F$29,CTRL!$E$1),'LPU Regionalizada'!$B$3:$N$3,0))</f>
        <v>251.6866772</v>
      </c>
      <c r="P150" s="88"/>
      <c r="Q150" s="132">
        <f t="shared" si="104"/>
        <v>0</v>
      </c>
      <c r="R150" s="132">
        <f t="shared" si="105"/>
        <v>0</v>
      </c>
      <c r="S150" s="132">
        <f t="shared" si="106"/>
        <v>0</v>
      </c>
      <c r="T150" s="133">
        <f t="shared" si="107"/>
        <v>0</v>
      </c>
      <c r="U150" s="134">
        <f t="shared" si="3"/>
        <v>0</v>
      </c>
      <c r="V150" s="135"/>
      <c r="W150" s="136"/>
      <c r="X150" s="2"/>
      <c r="Y150" s="111"/>
      <c r="Z150" s="3"/>
    </row>
    <row r="151" ht="14.25" hidden="1" customHeight="1" outlineLevel="2">
      <c r="A151" s="124"/>
      <c r="B151" s="125" t="s">
        <v>333</v>
      </c>
      <c r="C151" s="126" t="s">
        <v>334</v>
      </c>
      <c r="D151" s="127" t="s">
        <v>76</v>
      </c>
      <c r="E151" s="35"/>
      <c r="F151" s="128"/>
      <c r="G151" s="128"/>
      <c r="H151" s="128"/>
      <c r="I151" s="127">
        <f t="shared" si="100"/>
        <v>0</v>
      </c>
      <c r="J151" s="88"/>
      <c r="K151" s="129">
        <f t="shared" si="101"/>
        <v>164.4776953</v>
      </c>
      <c r="L151" s="130">
        <v>0.6</v>
      </c>
      <c r="M151" s="129">
        <f t="shared" si="102"/>
        <v>109.6517969</v>
      </c>
      <c r="N151" s="130">
        <f t="shared" si="103"/>
        <v>0.4</v>
      </c>
      <c r="O151" s="131">
        <f t="array" ref="O151">INDEX('LPU Regionalizada'!$B$3:$N$785,MATCH($B151,'LPU Regionalizada'!$B$3:$B$785,0),MATCH(INDEX(CTRL!$F$3:$F$29,CTRL!$E$1),'LPU Regionalizada'!$B$3:$N$3,0))</f>
        <v>274.1294922</v>
      </c>
      <c r="P151" s="88"/>
      <c r="Q151" s="132">
        <f t="shared" si="104"/>
        <v>0</v>
      </c>
      <c r="R151" s="132">
        <f t="shared" si="105"/>
        <v>0</v>
      </c>
      <c r="S151" s="132">
        <f t="shared" si="106"/>
        <v>0</v>
      </c>
      <c r="T151" s="133">
        <f t="shared" si="107"/>
        <v>0</v>
      </c>
      <c r="U151" s="134">
        <f t="shared" si="3"/>
        <v>0</v>
      </c>
      <c r="V151" s="135"/>
      <c r="W151" s="136"/>
      <c r="X151" s="2"/>
      <c r="Y151" s="111"/>
      <c r="Z151" s="3"/>
    </row>
    <row r="152" ht="14.25" hidden="1" customHeight="1" outlineLevel="2">
      <c r="A152" s="124"/>
      <c r="B152" s="125" t="s">
        <v>335</v>
      </c>
      <c r="C152" s="126" t="s">
        <v>336</v>
      </c>
      <c r="D152" s="127" t="s">
        <v>76</v>
      </c>
      <c r="E152" s="35"/>
      <c r="F152" s="128"/>
      <c r="G152" s="128"/>
      <c r="H152" s="128"/>
      <c r="I152" s="127">
        <f t="shared" si="100"/>
        <v>0</v>
      </c>
      <c r="J152" s="88"/>
      <c r="K152" s="129">
        <f t="shared" si="101"/>
        <v>0</v>
      </c>
      <c r="L152" s="130">
        <v>0.6</v>
      </c>
      <c r="M152" s="129">
        <f t="shared" si="102"/>
        <v>0</v>
      </c>
      <c r="N152" s="130">
        <f t="shared" si="103"/>
        <v>0.4</v>
      </c>
      <c r="O152" s="131">
        <f t="array" ref="O152">INDEX('LPU Regionalizada'!$B$3:$N$785,MATCH($B152,'LPU Regionalizada'!$B$3:$B$785,0),MATCH(INDEX(CTRL!$F$3:$F$29,CTRL!$E$1),'LPU Regionalizada'!$B$3:$N$3,0))</f>
        <v>0</v>
      </c>
      <c r="P152" s="88"/>
      <c r="Q152" s="132">
        <f t="shared" si="104"/>
        <v>0</v>
      </c>
      <c r="R152" s="132">
        <f t="shared" si="105"/>
        <v>0</v>
      </c>
      <c r="S152" s="132">
        <f t="shared" si="106"/>
        <v>0</v>
      </c>
      <c r="T152" s="133">
        <f t="shared" si="107"/>
        <v>0</v>
      </c>
      <c r="U152" s="134">
        <f t="shared" si="3"/>
        <v>0</v>
      </c>
      <c r="V152" s="135"/>
      <c r="W152" s="136"/>
      <c r="X152" s="2"/>
      <c r="Y152" s="111"/>
      <c r="Z152" s="3"/>
    </row>
    <row r="153" ht="14.25" hidden="1" customHeight="1" outlineLevel="2">
      <c r="A153" s="124"/>
      <c r="B153" s="125" t="s">
        <v>337</v>
      </c>
      <c r="C153" s="126" t="s">
        <v>338</v>
      </c>
      <c r="D153" s="127" t="s">
        <v>76</v>
      </c>
      <c r="E153" s="35"/>
      <c r="F153" s="128"/>
      <c r="G153" s="128"/>
      <c r="H153" s="128"/>
      <c r="I153" s="127">
        <f t="shared" si="100"/>
        <v>0</v>
      </c>
      <c r="J153" s="88"/>
      <c r="K153" s="129">
        <f t="shared" si="101"/>
        <v>157.5</v>
      </c>
      <c r="L153" s="130">
        <v>0.6</v>
      </c>
      <c r="M153" s="129">
        <f t="shared" si="102"/>
        <v>105</v>
      </c>
      <c r="N153" s="130">
        <f t="shared" si="103"/>
        <v>0.4</v>
      </c>
      <c r="O153" s="131">
        <f t="array" ref="O153">INDEX('LPU Regionalizada'!$B$3:$N$785,MATCH($B153,'LPU Regionalizada'!$B$3:$B$785,0),MATCH(INDEX(CTRL!$F$3:$F$29,CTRL!$E$1),'LPU Regionalizada'!$B$3:$N$3,0))</f>
        <v>262.5</v>
      </c>
      <c r="P153" s="88"/>
      <c r="Q153" s="132">
        <f t="shared" si="104"/>
        <v>0</v>
      </c>
      <c r="R153" s="132">
        <f t="shared" si="105"/>
        <v>0</v>
      </c>
      <c r="S153" s="132">
        <f t="shared" si="106"/>
        <v>0</v>
      </c>
      <c r="T153" s="133">
        <f t="shared" si="107"/>
        <v>0</v>
      </c>
      <c r="U153" s="134">
        <f t="shared" si="3"/>
        <v>0</v>
      </c>
      <c r="V153" s="135"/>
      <c r="W153" s="136"/>
      <c r="X153" s="2"/>
      <c r="Y153" s="111"/>
      <c r="Z153" s="3"/>
    </row>
    <row r="154" ht="14.25" hidden="1" customHeight="1" outlineLevel="2">
      <c r="A154" s="124"/>
      <c r="B154" s="125" t="s">
        <v>339</v>
      </c>
      <c r="C154" s="126" t="s">
        <v>340</v>
      </c>
      <c r="D154" s="127" t="s">
        <v>180</v>
      </c>
      <c r="E154" s="35"/>
      <c r="F154" s="128"/>
      <c r="G154" s="128"/>
      <c r="H154" s="128"/>
      <c r="I154" s="127">
        <f t="shared" si="100"/>
        <v>0</v>
      </c>
      <c r="J154" s="88"/>
      <c r="K154" s="129">
        <f t="shared" si="101"/>
        <v>43.87637941</v>
      </c>
      <c r="L154" s="130">
        <v>0.6</v>
      </c>
      <c r="M154" s="129">
        <f t="shared" si="102"/>
        <v>29.25091961</v>
      </c>
      <c r="N154" s="130">
        <f t="shared" si="103"/>
        <v>0.4</v>
      </c>
      <c r="O154" s="131">
        <f t="array" ref="O154">INDEX('LPU Regionalizada'!$B$3:$N$785,MATCH($B154,'LPU Regionalizada'!$B$3:$B$785,0),MATCH(INDEX(CTRL!$F$3:$F$29,CTRL!$E$1),'LPU Regionalizada'!$B$3:$N$3,0))</f>
        <v>73.12729902</v>
      </c>
      <c r="P154" s="88"/>
      <c r="Q154" s="132">
        <f t="shared" si="104"/>
        <v>0</v>
      </c>
      <c r="R154" s="132">
        <f t="shared" si="105"/>
        <v>0</v>
      </c>
      <c r="S154" s="132">
        <f t="shared" si="106"/>
        <v>0</v>
      </c>
      <c r="T154" s="133">
        <f t="shared" si="107"/>
        <v>0</v>
      </c>
      <c r="U154" s="134">
        <f t="shared" si="3"/>
        <v>0</v>
      </c>
      <c r="V154" s="135"/>
      <c r="W154" s="136"/>
      <c r="X154" s="2"/>
      <c r="Y154" s="111"/>
      <c r="Z154" s="3"/>
    </row>
    <row r="155" ht="14.25" hidden="1" customHeight="1" outlineLevel="2">
      <c r="A155" s="124"/>
      <c r="B155" s="125" t="s">
        <v>341</v>
      </c>
      <c r="C155" s="126" t="s">
        <v>342</v>
      </c>
      <c r="D155" s="127" t="s">
        <v>180</v>
      </c>
      <c r="E155" s="35"/>
      <c r="F155" s="128"/>
      <c r="G155" s="128"/>
      <c r="H155" s="128"/>
      <c r="I155" s="127">
        <f t="shared" si="100"/>
        <v>0</v>
      </c>
      <c r="J155" s="88"/>
      <c r="K155" s="129">
        <f t="shared" si="101"/>
        <v>21.55798984</v>
      </c>
      <c r="L155" s="130">
        <v>0.6</v>
      </c>
      <c r="M155" s="129">
        <f t="shared" si="102"/>
        <v>14.37199323</v>
      </c>
      <c r="N155" s="130">
        <f t="shared" si="103"/>
        <v>0.4</v>
      </c>
      <c r="O155" s="131">
        <f t="array" ref="O155">INDEX('LPU Regionalizada'!$B$3:$N$785,MATCH($B155,'LPU Regionalizada'!$B$3:$B$785,0),MATCH(INDEX(CTRL!$F$3:$F$29,CTRL!$E$1),'LPU Regionalizada'!$B$3:$N$3,0))</f>
        <v>35.92998307</v>
      </c>
      <c r="P155" s="88"/>
      <c r="Q155" s="132">
        <f t="shared" si="104"/>
        <v>0</v>
      </c>
      <c r="R155" s="132">
        <f t="shared" si="105"/>
        <v>0</v>
      </c>
      <c r="S155" s="132">
        <f t="shared" si="106"/>
        <v>0</v>
      </c>
      <c r="T155" s="133">
        <f t="shared" si="107"/>
        <v>0</v>
      </c>
      <c r="U155" s="134">
        <f t="shared" si="3"/>
        <v>0</v>
      </c>
      <c r="V155" s="135"/>
      <c r="W155" s="136"/>
      <c r="X155" s="2"/>
      <c r="Y155" s="111"/>
      <c r="Z155" s="3"/>
    </row>
    <row r="156" ht="14.25" hidden="1" customHeight="1" outlineLevel="2">
      <c r="A156" s="124"/>
      <c r="B156" s="125" t="s">
        <v>343</v>
      </c>
      <c r="C156" s="126" t="s">
        <v>344</v>
      </c>
      <c r="D156" s="127" t="s">
        <v>180</v>
      </c>
      <c r="E156" s="35"/>
      <c r="F156" s="128"/>
      <c r="G156" s="128"/>
      <c r="H156" s="128"/>
      <c r="I156" s="127">
        <f t="shared" si="100"/>
        <v>0</v>
      </c>
      <c r="J156" s="88"/>
      <c r="K156" s="129">
        <f t="shared" si="101"/>
        <v>31.43267734</v>
      </c>
      <c r="L156" s="130">
        <v>0.6</v>
      </c>
      <c r="M156" s="129">
        <f t="shared" si="102"/>
        <v>20.95511823</v>
      </c>
      <c r="N156" s="130">
        <f t="shared" si="103"/>
        <v>0.4</v>
      </c>
      <c r="O156" s="131">
        <f t="array" ref="O156">INDEX('LPU Regionalizada'!$B$3:$N$785,MATCH($B156,'LPU Regionalizada'!$B$3:$B$785,0),MATCH(INDEX(CTRL!$F$3:$F$29,CTRL!$E$1),'LPU Regionalizada'!$B$3:$N$3,0))</f>
        <v>52.38779557</v>
      </c>
      <c r="P156" s="88"/>
      <c r="Q156" s="132">
        <f t="shared" si="104"/>
        <v>0</v>
      </c>
      <c r="R156" s="132">
        <f t="shared" si="105"/>
        <v>0</v>
      </c>
      <c r="S156" s="132">
        <f t="shared" si="106"/>
        <v>0</v>
      </c>
      <c r="T156" s="133">
        <f t="shared" si="107"/>
        <v>0</v>
      </c>
      <c r="U156" s="134">
        <f t="shared" si="3"/>
        <v>0</v>
      </c>
      <c r="V156" s="135"/>
      <c r="W156" s="136"/>
      <c r="X156" s="2"/>
      <c r="Y156" s="111"/>
      <c r="Z156" s="3"/>
    </row>
    <row r="157" ht="14.25" hidden="1" customHeight="1" outlineLevel="2">
      <c r="A157" s="124"/>
      <c r="B157" s="125" t="s">
        <v>345</v>
      </c>
      <c r="C157" s="126" t="s">
        <v>346</v>
      </c>
      <c r="D157" s="127" t="s">
        <v>180</v>
      </c>
      <c r="E157" s="35"/>
      <c r="F157" s="128"/>
      <c r="G157" s="128"/>
      <c r="H157" s="128"/>
      <c r="I157" s="127">
        <f t="shared" si="100"/>
        <v>0</v>
      </c>
      <c r="J157" s="88"/>
      <c r="K157" s="129">
        <f t="shared" si="101"/>
        <v>31.9279645</v>
      </c>
      <c r="L157" s="130">
        <v>0.6</v>
      </c>
      <c r="M157" s="129">
        <f t="shared" si="102"/>
        <v>21.28530967</v>
      </c>
      <c r="N157" s="130">
        <f t="shared" si="103"/>
        <v>0.4</v>
      </c>
      <c r="O157" s="131">
        <f t="array" ref="O157">INDEX('LPU Regionalizada'!$B$3:$N$785,MATCH($B157,'LPU Regionalizada'!$B$3:$B$785,0),MATCH(INDEX(CTRL!$F$3:$F$29,CTRL!$E$1),'LPU Regionalizada'!$B$3:$N$3,0))</f>
        <v>53.21327417</v>
      </c>
      <c r="P157" s="88"/>
      <c r="Q157" s="132">
        <f t="shared" si="104"/>
        <v>0</v>
      </c>
      <c r="R157" s="132">
        <f t="shared" si="105"/>
        <v>0</v>
      </c>
      <c r="S157" s="132">
        <f t="shared" si="106"/>
        <v>0</v>
      </c>
      <c r="T157" s="133">
        <f t="shared" si="107"/>
        <v>0</v>
      </c>
      <c r="U157" s="134">
        <f t="shared" si="3"/>
        <v>0</v>
      </c>
      <c r="V157" s="135"/>
      <c r="W157" s="136"/>
      <c r="X157" s="2"/>
      <c r="Y157" s="111"/>
      <c r="Z157" s="3"/>
    </row>
    <row r="158" ht="14.25" hidden="1" customHeight="1" outlineLevel="2">
      <c r="A158" s="124"/>
      <c r="B158" s="125" t="s">
        <v>347</v>
      </c>
      <c r="C158" s="126" t="s">
        <v>348</v>
      </c>
      <c r="D158" s="127" t="s">
        <v>180</v>
      </c>
      <c r="E158" s="35"/>
      <c r="F158" s="128"/>
      <c r="G158" s="128"/>
      <c r="H158" s="128"/>
      <c r="I158" s="127">
        <f t="shared" si="100"/>
        <v>0</v>
      </c>
      <c r="J158" s="88"/>
      <c r="K158" s="129">
        <f t="shared" si="101"/>
        <v>32.67</v>
      </c>
      <c r="L158" s="130">
        <v>0.6</v>
      </c>
      <c r="M158" s="129">
        <f t="shared" si="102"/>
        <v>21.78</v>
      </c>
      <c r="N158" s="130">
        <f t="shared" si="103"/>
        <v>0.4</v>
      </c>
      <c r="O158" s="131">
        <f t="array" ref="O158">INDEX('LPU Regionalizada'!$B$3:$N$785,MATCH($B158,'LPU Regionalizada'!$B$3:$B$785,0),MATCH(INDEX(CTRL!$F$3:$F$29,CTRL!$E$1),'LPU Regionalizada'!$B$3:$N$3,0))</f>
        <v>54.45</v>
      </c>
      <c r="P158" s="88"/>
      <c r="Q158" s="132">
        <f t="shared" si="104"/>
        <v>0</v>
      </c>
      <c r="R158" s="132">
        <f t="shared" si="105"/>
        <v>0</v>
      </c>
      <c r="S158" s="132">
        <f t="shared" si="106"/>
        <v>0</v>
      </c>
      <c r="T158" s="133">
        <f t="shared" si="107"/>
        <v>0</v>
      </c>
      <c r="U158" s="134">
        <f t="shared" si="3"/>
        <v>0</v>
      </c>
      <c r="V158" s="135"/>
      <c r="W158" s="136"/>
      <c r="X158" s="2"/>
      <c r="Y158" s="111"/>
      <c r="Z158" s="3"/>
    </row>
    <row r="159" ht="14.25" hidden="1" customHeight="1" outlineLevel="2">
      <c r="A159" s="124"/>
      <c r="B159" s="125" t="s">
        <v>349</v>
      </c>
      <c r="C159" s="126" t="s">
        <v>350</v>
      </c>
      <c r="D159" s="127" t="s">
        <v>180</v>
      </c>
      <c r="E159" s="35"/>
      <c r="F159" s="128"/>
      <c r="G159" s="128"/>
      <c r="H159" s="128"/>
      <c r="I159" s="127">
        <f t="shared" si="100"/>
        <v>0</v>
      </c>
      <c r="J159" s="88"/>
      <c r="K159" s="129">
        <f t="shared" si="101"/>
        <v>77.454</v>
      </c>
      <c r="L159" s="130">
        <v>0.6</v>
      </c>
      <c r="M159" s="129">
        <f t="shared" si="102"/>
        <v>51.636</v>
      </c>
      <c r="N159" s="130">
        <f t="shared" si="103"/>
        <v>0.4</v>
      </c>
      <c r="O159" s="131">
        <f t="array" ref="O159">INDEX('LPU Regionalizada'!$B$3:$N$785,MATCH($B159,'LPU Regionalizada'!$B$3:$B$785,0),MATCH(INDEX(CTRL!$F$3:$F$29,CTRL!$E$1),'LPU Regionalizada'!$B$3:$N$3,0))</f>
        <v>129.09</v>
      </c>
      <c r="P159" s="88"/>
      <c r="Q159" s="132">
        <f t="shared" si="104"/>
        <v>0</v>
      </c>
      <c r="R159" s="132">
        <f t="shared" si="105"/>
        <v>0</v>
      </c>
      <c r="S159" s="132">
        <f t="shared" si="106"/>
        <v>0</v>
      </c>
      <c r="T159" s="133">
        <f t="shared" si="107"/>
        <v>0</v>
      </c>
      <c r="U159" s="134">
        <f t="shared" si="3"/>
        <v>0</v>
      </c>
      <c r="V159" s="135"/>
      <c r="W159" s="136"/>
      <c r="X159" s="2"/>
      <c r="Y159" s="111"/>
      <c r="Z159" s="3"/>
    </row>
    <row r="160" ht="14.25" hidden="1" customHeight="1" outlineLevel="2">
      <c r="A160" s="124"/>
      <c r="B160" s="125" t="s">
        <v>351</v>
      </c>
      <c r="C160" s="126" t="s">
        <v>352</v>
      </c>
      <c r="D160" s="127" t="s">
        <v>180</v>
      </c>
      <c r="E160" s="35"/>
      <c r="F160" s="128"/>
      <c r="G160" s="128"/>
      <c r="H160" s="128"/>
      <c r="I160" s="127">
        <f t="shared" si="100"/>
        <v>0</v>
      </c>
      <c r="J160" s="88"/>
      <c r="K160" s="129">
        <f t="shared" si="101"/>
        <v>91.185</v>
      </c>
      <c r="L160" s="130">
        <v>0.6</v>
      </c>
      <c r="M160" s="129">
        <f t="shared" si="102"/>
        <v>60.79</v>
      </c>
      <c r="N160" s="130">
        <f t="shared" si="103"/>
        <v>0.4</v>
      </c>
      <c r="O160" s="131">
        <f t="array" ref="O160">INDEX('LPU Regionalizada'!$B$3:$N$785,MATCH($B160,'LPU Regionalizada'!$B$3:$B$785,0),MATCH(INDEX(CTRL!$F$3:$F$29,CTRL!$E$1),'LPU Regionalizada'!$B$3:$N$3,0))</f>
        <v>151.975</v>
      </c>
      <c r="P160" s="88"/>
      <c r="Q160" s="132">
        <f t="shared" si="104"/>
        <v>0</v>
      </c>
      <c r="R160" s="132">
        <f t="shared" si="105"/>
        <v>0</v>
      </c>
      <c r="S160" s="132">
        <f t="shared" si="106"/>
        <v>0</v>
      </c>
      <c r="T160" s="133">
        <f t="shared" si="107"/>
        <v>0</v>
      </c>
      <c r="U160" s="134">
        <f t="shared" si="3"/>
        <v>0</v>
      </c>
      <c r="V160" s="135"/>
      <c r="W160" s="136"/>
      <c r="X160" s="2"/>
      <c r="Y160" s="111"/>
      <c r="Z160" s="3"/>
    </row>
    <row r="161" ht="14.25" hidden="1" customHeight="1" outlineLevel="2">
      <c r="A161" s="124"/>
      <c r="B161" s="125" t="s">
        <v>353</v>
      </c>
      <c r="C161" s="126" t="s">
        <v>354</v>
      </c>
      <c r="D161" s="127" t="s">
        <v>76</v>
      </c>
      <c r="E161" s="35"/>
      <c r="F161" s="128"/>
      <c r="G161" s="128"/>
      <c r="H161" s="128"/>
      <c r="I161" s="127">
        <f t="shared" si="100"/>
        <v>0</v>
      </c>
      <c r="J161" s="88"/>
      <c r="K161" s="129">
        <f t="shared" si="101"/>
        <v>113.3858299</v>
      </c>
      <c r="L161" s="130">
        <v>0.6</v>
      </c>
      <c r="M161" s="129">
        <f t="shared" si="102"/>
        <v>75.59055324</v>
      </c>
      <c r="N161" s="130">
        <f t="shared" si="103"/>
        <v>0.4</v>
      </c>
      <c r="O161" s="131">
        <f t="array" ref="O161">INDEX('LPU Regionalizada'!$B$3:$N$785,MATCH($B161,'LPU Regionalizada'!$B$3:$B$785,0),MATCH(INDEX(CTRL!$F$3:$F$29,CTRL!$E$1),'LPU Regionalizada'!$B$3:$N$3,0))</f>
        <v>188.9763831</v>
      </c>
      <c r="P161" s="88"/>
      <c r="Q161" s="132">
        <f t="shared" si="104"/>
        <v>0</v>
      </c>
      <c r="R161" s="132">
        <f t="shared" si="105"/>
        <v>0</v>
      </c>
      <c r="S161" s="132">
        <f t="shared" si="106"/>
        <v>0</v>
      </c>
      <c r="T161" s="133">
        <f t="shared" si="107"/>
        <v>0</v>
      </c>
      <c r="U161" s="134">
        <f t="shared" si="3"/>
        <v>0</v>
      </c>
      <c r="V161" s="135"/>
      <c r="W161" s="136"/>
      <c r="X161" s="2"/>
      <c r="Y161" s="111"/>
      <c r="Z161" s="3"/>
    </row>
    <row r="162" ht="14.25" hidden="1" customHeight="1" outlineLevel="2">
      <c r="A162" s="124"/>
      <c r="B162" s="125" t="s">
        <v>355</v>
      </c>
      <c r="C162" s="126" t="s">
        <v>356</v>
      </c>
      <c r="D162" s="127" t="s">
        <v>180</v>
      </c>
      <c r="E162" s="35"/>
      <c r="F162" s="128"/>
      <c r="G162" s="128"/>
      <c r="H162" s="128"/>
      <c r="I162" s="127">
        <f t="shared" si="100"/>
        <v>0</v>
      </c>
      <c r="J162" s="88"/>
      <c r="K162" s="129">
        <f t="shared" si="101"/>
        <v>32.112</v>
      </c>
      <c r="L162" s="130">
        <v>0.6</v>
      </c>
      <c r="M162" s="129">
        <f t="shared" si="102"/>
        <v>21.408</v>
      </c>
      <c r="N162" s="130">
        <f t="shared" si="103"/>
        <v>0.4</v>
      </c>
      <c r="O162" s="131">
        <f t="array" ref="O162">INDEX('LPU Regionalizada'!$B$3:$N$785,MATCH($B162,'LPU Regionalizada'!$B$3:$B$785,0),MATCH(INDEX(CTRL!$F$3:$F$29,CTRL!$E$1),'LPU Regionalizada'!$B$3:$N$3,0))</f>
        <v>53.52</v>
      </c>
      <c r="P162" s="88"/>
      <c r="Q162" s="132">
        <f t="shared" si="104"/>
        <v>0</v>
      </c>
      <c r="R162" s="132">
        <f t="shared" si="105"/>
        <v>0</v>
      </c>
      <c r="S162" s="132">
        <f t="shared" si="106"/>
        <v>0</v>
      </c>
      <c r="T162" s="133">
        <f t="shared" si="107"/>
        <v>0</v>
      </c>
      <c r="U162" s="134">
        <f t="shared" si="3"/>
        <v>0</v>
      </c>
      <c r="V162" s="135"/>
      <c r="W162" s="136"/>
      <c r="X162" s="2"/>
      <c r="Y162" s="111"/>
      <c r="Z162" s="3"/>
    </row>
    <row r="163" ht="14.25" hidden="1" customHeight="1" outlineLevel="2">
      <c r="A163" s="124"/>
      <c r="B163" s="125" t="s">
        <v>357</v>
      </c>
      <c r="C163" s="126" t="s">
        <v>358</v>
      </c>
      <c r="D163" s="127" t="s">
        <v>76</v>
      </c>
      <c r="E163" s="35"/>
      <c r="F163" s="128"/>
      <c r="G163" s="128"/>
      <c r="H163" s="128"/>
      <c r="I163" s="127">
        <f t="shared" si="100"/>
        <v>0</v>
      </c>
      <c r="J163" s="88"/>
      <c r="K163" s="129">
        <f t="shared" si="101"/>
        <v>204.774</v>
      </c>
      <c r="L163" s="130">
        <v>0.6</v>
      </c>
      <c r="M163" s="129">
        <f t="shared" si="102"/>
        <v>136.516</v>
      </c>
      <c r="N163" s="130">
        <f t="shared" si="103"/>
        <v>0.4</v>
      </c>
      <c r="O163" s="131">
        <f t="array" ref="O163">INDEX('LPU Regionalizada'!$B$3:$N$785,MATCH($B163,'LPU Regionalizada'!$B$3:$B$785,0),MATCH(INDEX(CTRL!$F$3:$F$29,CTRL!$E$1),'LPU Regionalizada'!$B$3:$N$3,0))</f>
        <v>341.29</v>
      </c>
      <c r="P163" s="88"/>
      <c r="Q163" s="132">
        <f t="shared" si="104"/>
        <v>0</v>
      </c>
      <c r="R163" s="132">
        <f t="shared" si="105"/>
        <v>0</v>
      </c>
      <c r="S163" s="132">
        <f t="shared" si="106"/>
        <v>0</v>
      </c>
      <c r="T163" s="133">
        <f t="shared" si="107"/>
        <v>0</v>
      </c>
      <c r="U163" s="134">
        <f t="shared" si="3"/>
        <v>0</v>
      </c>
      <c r="V163" s="135"/>
      <c r="W163" s="136"/>
      <c r="X163" s="2"/>
      <c r="Y163" s="111"/>
      <c r="Z163" s="3"/>
    </row>
    <row r="164" ht="14.25" hidden="1" customHeight="1" outlineLevel="2">
      <c r="A164" s="124"/>
      <c r="B164" s="125" t="s">
        <v>359</v>
      </c>
      <c r="C164" s="126" t="s">
        <v>360</v>
      </c>
      <c r="D164" s="127" t="s">
        <v>180</v>
      </c>
      <c r="E164" s="35"/>
      <c r="F164" s="128"/>
      <c r="G164" s="128"/>
      <c r="H164" s="128"/>
      <c r="I164" s="127">
        <f t="shared" si="100"/>
        <v>0</v>
      </c>
      <c r="J164" s="88"/>
      <c r="K164" s="129">
        <f t="shared" si="101"/>
        <v>34.6128</v>
      </c>
      <c r="L164" s="130">
        <v>0.6</v>
      </c>
      <c r="M164" s="129">
        <f t="shared" si="102"/>
        <v>23.0752</v>
      </c>
      <c r="N164" s="130">
        <f t="shared" si="103"/>
        <v>0.4</v>
      </c>
      <c r="O164" s="131">
        <f t="array" ref="O164">INDEX('LPU Regionalizada'!$B$3:$N$785,MATCH($B164,'LPU Regionalizada'!$B$3:$B$785,0),MATCH(INDEX(CTRL!$F$3:$F$29,CTRL!$E$1),'LPU Regionalizada'!$B$3:$N$3,0))</f>
        <v>57.688</v>
      </c>
      <c r="P164" s="88"/>
      <c r="Q164" s="132">
        <f t="shared" si="104"/>
        <v>0</v>
      </c>
      <c r="R164" s="132">
        <f t="shared" si="105"/>
        <v>0</v>
      </c>
      <c r="S164" s="132">
        <f t="shared" si="106"/>
        <v>0</v>
      </c>
      <c r="T164" s="133">
        <f t="shared" si="107"/>
        <v>0</v>
      </c>
      <c r="U164" s="134">
        <f t="shared" si="3"/>
        <v>0</v>
      </c>
      <c r="V164" s="135"/>
      <c r="W164" s="136"/>
      <c r="X164" s="2"/>
      <c r="Y164" s="111"/>
      <c r="Z164" s="3"/>
    </row>
    <row r="165" ht="14.25" hidden="1" customHeight="1" outlineLevel="1">
      <c r="A165" s="112"/>
      <c r="B165" s="113" t="s">
        <v>361</v>
      </c>
      <c r="C165" s="114" t="s">
        <v>362</v>
      </c>
      <c r="D165" s="115"/>
      <c r="E165" s="35"/>
      <c r="F165" s="113"/>
      <c r="G165" s="116"/>
      <c r="H165" s="116"/>
      <c r="I165" s="115"/>
      <c r="J165" s="88"/>
      <c r="K165" s="117"/>
      <c r="L165" s="118"/>
      <c r="M165" s="118"/>
      <c r="N165" s="118"/>
      <c r="O165" s="119"/>
      <c r="P165" s="88"/>
      <c r="Q165" s="120"/>
      <c r="R165" s="120"/>
      <c r="S165" s="120"/>
      <c r="T165" s="120">
        <f>SUM(T166:T187)</f>
        <v>0</v>
      </c>
      <c r="U165" s="121">
        <f t="shared" si="3"/>
        <v>0</v>
      </c>
      <c r="V165" s="122"/>
      <c r="W165" s="123"/>
      <c r="X165" s="2"/>
      <c r="Y165" s="111"/>
      <c r="Z165" s="3"/>
    </row>
    <row r="166" ht="14.25" hidden="1" customHeight="1" outlineLevel="2">
      <c r="A166" s="124"/>
      <c r="B166" s="125" t="s">
        <v>363</v>
      </c>
      <c r="C166" s="126" t="s">
        <v>364</v>
      </c>
      <c r="D166" s="127" t="s">
        <v>142</v>
      </c>
      <c r="E166" s="35"/>
      <c r="F166" s="128"/>
      <c r="G166" s="128"/>
      <c r="H166" s="128"/>
      <c r="I166" s="127">
        <f t="shared" ref="I166:I187" si="108">F166+G166+H166</f>
        <v>0</v>
      </c>
      <c r="J166" s="88"/>
      <c r="K166" s="129">
        <f t="shared" ref="K166:K187" si="109">L166*O166</f>
        <v>63.504</v>
      </c>
      <c r="L166" s="130">
        <v>0.6</v>
      </c>
      <c r="M166" s="129">
        <f t="shared" ref="M166:M187" si="110">N166*O166</f>
        <v>42.336</v>
      </c>
      <c r="N166" s="130">
        <f t="shared" ref="N166:N187" si="111">100%-L166</f>
        <v>0.4</v>
      </c>
      <c r="O166" s="131">
        <f t="array" ref="O166">INDEX('LPU Regionalizada'!$B$3:$N$785,MATCH($B166,'LPU Regionalizada'!$B$3:$B$785,0),MATCH(INDEX(CTRL!$F$3:$F$29,CTRL!$E$1),'LPU Regionalizada'!$B$3:$N$3,0))</f>
        <v>105.84</v>
      </c>
      <c r="P166" s="88"/>
      <c r="Q166" s="132">
        <f t="shared" ref="Q166:Q187" si="112">F166*O166</f>
        <v>0</v>
      </c>
      <c r="R166" s="132">
        <f t="shared" ref="R166:R187" si="113">G166*O166</f>
        <v>0</v>
      </c>
      <c r="S166" s="132">
        <f t="shared" ref="S166:S187" si="114">H166*O166</f>
        <v>0</v>
      </c>
      <c r="T166" s="133">
        <f t="shared" ref="T166:T187" si="115">SUM(Q166:S166)</f>
        <v>0</v>
      </c>
      <c r="U166" s="134">
        <f t="shared" si="3"/>
        <v>0</v>
      </c>
      <c r="V166" s="135"/>
      <c r="W166" s="136"/>
      <c r="X166" s="2"/>
      <c r="Y166" s="111"/>
      <c r="Z166" s="3"/>
    </row>
    <row r="167" ht="14.25" hidden="1" customHeight="1" outlineLevel="2">
      <c r="A167" s="124"/>
      <c r="B167" s="125" t="s">
        <v>365</v>
      </c>
      <c r="C167" s="126" t="s">
        <v>366</v>
      </c>
      <c r="D167" s="127" t="s">
        <v>142</v>
      </c>
      <c r="E167" s="35"/>
      <c r="F167" s="128"/>
      <c r="G167" s="128"/>
      <c r="H167" s="128"/>
      <c r="I167" s="127">
        <f t="shared" si="108"/>
        <v>0</v>
      </c>
      <c r="J167" s="88"/>
      <c r="K167" s="129">
        <f t="shared" si="109"/>
        <v>28.08</v>
      </c>
      <c r="L167" s="130">
        <v>0.6</v>
      </c>
      <c r="M167" s="129">
        <f t="shared" si="110"/>
        <v>18.72</v>
      </c>
      <c r="N167" s="130">
        <f t="shared" si="111"/>
        <v>0.4</v>
      </c>
      <c r="O167" s="131">
        <f t="array" ref="O167">INDEX('LPU Regionalizada'!$B$3:$N$785,MATCH($B167,'LPU Regionalizada'!$B$3:$B$785,0),MATCH(INDEX(CTRL!$F$3:$F$29,CTRL!$E$1),'LPU Regionalizada'!$B$3:$N$3,0))</f>
        <v>46.8</v>
      </c>
      <c r="P167" s="88"/>
      <c r="Q167" s="132">
        <f t="shared" si="112"/>
        <v>0</v>
      </c>
      <c r="R167" s="132">
        <f t="shared" si="113"/>
        <v>0</v>
      </c>
      <c r="S167" s="132">
        <f t="shared" si="114"/>
        <v>0</v>
      </c>
      <c r="T167" s="133">
        <f t="shared" si="115"/>
        <v>0</v>
      </c>
      <c r="U167" s="134">
        <f t="shared" si="3"/>
        <v>0</v>
      </c>
      <c r="V167" s="135"/>
      <c r="W167" s="136"/>
      <c r="X167" s="2"/>
      <c r="Y167" s="111"/>
      <c r="Z167" s="3"/>
    </row>
    <row r="168" ht="14.25" hidden="1" customHeight="1" outlineLevel="2">
      <c r="A168" s="124"/>
      <c r="B168" s="125" t="s">
        <v>367</v>
      </c>
      <c r="C168" s="126" t="s">
        <v>368</v>
      </c>
      <c r="D168" s="127" t="s">
        <v>142</v>
      </c>
      <c r="E168" s="35"/>
      <c r="F168" s="128"/>
      <c r="G168" s="128"/>
      <c r="H168" s="128"/>
      <c r="I168" s="127">
        <f t="shared" si="108"/>
        <v>0</v>
      </c>
      <c r="J168" s="88"/>
      <c r="K168" s="129">
        <f t="shared" si="109"/>
        <v>114.68544</v>
      </c>
      <c r="L168" s="130">
        <v>0.6</v>
      </c>
      <c r="M168" s="129">
        <f t="shared" si="110"/>
        <v>76.45696</v>
      </c>
      <c r="N168" s="130">
        <f t="shared" si="111"/>
        <v>0.4</v>
      </c>
      <c r="O168" s="131">
        <f t="array" ref="O168">INDEX('LPU Regionalizada'!$B$3:$N$785,MATCH($B168,'LPU Regionalizada'!$B$3:$B$785,0),MATCH(INDEX(CTRL!$F$3:$F$29,CTRL!$E$1),'LPU Regionalizada'!$B$3:$N$3,0))</f>
        <v>191.1424</v>
      </c>
      <c r="P168" s="88"/>
      <c r="Q168" s="132">
        <f t="shared" si="112"/>
        <v>0</v>
      </c>
      <c r="R168" s="132">
        <f t="shared" si="113"/>
        <v>0</v>
      </c>
      <c r="S168" s="132">
        <f t="shared" si="114"/>
        <v>0</v>
      </c>
      <c r="T168" s="133">
        <f t="shared" si="115"/>
        <v>0</v>
      </c>
      <c r="U168" s="134">
        <f t="shared" si="3"/>
        <v>0</v>
      </c>
      <c r="V168" s="135"/>
      <c r="W168" s="136"/>
      <c r="X168" s="2"/>
      <c r="Y168" s="111"/>
      <c r="Z168" s="3"/>
    </row>
    <row r="169" ht="14.25" hidden="1" customHeight="1" outlineLevel="2">
      <c r="A169" s="124"/>
      <c r="B169" s="125" t="s">
        <v>369</v>
      </c>
      <c r="C169" s="126" t="s">
        <v>370</v>
      </c>
      <c r="D169" s="127" t="s">
        <v>142</v>
      </c>
      <c r="E169" s="35"/>
      <c r="F169" s="128"/>
      <c r="G169" s="128"/>
      <c r="H169" s="128"/>
      <c r="I169" s="127">
        <f t="shared" si="108"/>
        <v>0</v>
      </c>
      <c r="J169" s="88"/>
      <c r="K169" s="129">
        <f t="shared" si="109"/>
        <v>97.65350527</v>
      </c>
      <c r="L169" s="130">
        <v>0.6</v>
      </c>
      <c r="M169" s="129">
        <f t="shared" si="110"/>
        <v>65.10233685</v>
      </c>
      <c r="N169" s="130">
        <f t="shared" si="111"/>
        <v>0.4</v>
      </c>
      <c r="O169" s="131">
        <f t="array" ref="O169">INDEX('LPU Regionalizada'!$B$3:$N$785,MATCH($B169,'LPU Regionalizada'!$B$3:$B$785,0),MATCH(INDEX(CTRL!$F$3:$F$29,CTRL!$E$1),'LPU Regionalizada'!$B$3:$N$3,0))</f>
        <v>162.7558421</v>
      </c>
      <c r="P169" s="88"/>
      <c r="Q169" s="132">
        <f t="shared" si="112"/>
        <v>0</v>
      </c>
      <c r="R169" s="132">
        <f t="shared" si="113"/>
        <v>0</v>
      </c>
      <c r="S169" s="132">
        <f t="shared" si="114"/>
        <v>0</v>
      </c>
      <c r="T169" s="133">
        <f t="shared" si="115"/>
        <v>0</v>
      </c>
      <c r="U169" s="134">
        <f t="shared" si="3"/>
        <v>0</v>
      </c>
      <c r="V169" s="135"/>
      <c r="W169" s="136"/>
      <c r="X169" s="2"/>
      <c r="Y169" s="111"/>
      <c r="Z169" s="3"/>
    </row>
    <row r="170" ht="14.25" hidden="1" customHeight="1" outlineLevel="2">
      <c r="A170" s="124"/>
      <c r="B170" s="125" t="s">
        <v>371</v>
      </c>
      <c r="C170" s="126" t="s">
        <v>372</v>
      </c>
      <c r="D170" s="127" t="s">
        <v>180</v>
      </c>
      <c r="E170" s="35"/>
      <c r="F170" s="128"/>
      <c r="G170" s="128"/>
      <c r="H170" s="128"/>
      <c r="I170" s="127">
        <f t="shared" si="108"/>
        <v>0</v>
      </c>
      <c r="J170" s="88"/>
      <c r="K170" s="129">
        <f t="shared" si="109"/>
        <v>5.042079755</v>
      </c>
      <c r="L170" s="130">
        <v>0.6</v>
      </c>
      <c r="M170" s="129">
        <f t="shared" si="110"/>
        <v>3.361386503</v>
      </c>
      <c r="N170" s="130">
        <f t="shared" si="111"/>
        <v>0.4</v>
      </c>
      <c r="O170" s="131">
        <f t="array" ref="O170">INDEX('LPU Regionalizada'!$B$3:$N$785,MATCH($B170,'LPU Regionalizada'!$B$3:$B$785,0),MATCH(INDEX(CTRL!$F$3:$F$29,CTRL!$E$1),'LPU Regionalizada'!$B$3:$N$3,0))</f>
        <v>8.403466258</v>
      </c>
      <c r="P170" s="88"/>
      <c r="Q170" s="132">
        <f t="shared" si="112"/>
        <v>0</v>
      </c>
      <c r="R170" s="132">
        <f t="shared" si="113"/>
        <v>0</v>
      </c>
      <c r="S170" s="132">
        <f t="shared" si="114"/>
        <v>0</v>
      </c>
      <c r="T170" s="133">
        <f t="shared" si="115"/>
        <v>0</v>
      </c>
      <c r="U170" s="134">
        <f t="shared" si="3"/>
        <v>0</v>
      </c>
      <c r="V170" s="135"/>
      <c r="W170" s="136"/>
      <c r="X170" s="2"/>
      <c r="Y170" s="111"/>
      <c r="Z170" s="3"/>
    </row>
    <row r="171" ht="14.25" hidden="1" customHeight="1" outlineLevel="2">
      <c r="A171" s="124"/>
      <c r="B171" s="125" t="s">
        <v>373</v>
      </c>
      <c r="C171" s="126" t="s">
        <v>374</v>
      </c>
      <c r="D171" s="127" t="s">
        <v>76</v>
      </c>
      <c r="E171" s="35"/>
      <c r="F171" s="128"/>
      <c r="G171" s="128"/>
      <c r="H171" s="128"/>
      <c r="I171" s="127">
        <f t="shared" si="108"/>
        <v>0</v>
      </c>
      <c r="J171" s="88"/>
      <c r="K171" s="129">
        <f t="shared" si="109"/>
        <v>12.852</v>
      </c>
      <c r="L171" s="130">
        <v>0.6</v>
      </c>
      <c r="M171" s="129">
        <f t="shared" si="110"/>
        <v>8.568</v>
      </c>
      <c r="N171" s="130">
        <f t="shared" si="111"/>
        <v>0.4</v>
      </c>
      <c r="O171" s="131">
        <f t="array" ref="O171">INDEX('LPU Regionalizada'!$B$3:$N$785,MATCH($B171,'LPU Regionalizada'!$B$3:$B$785,0),MATCH(INDEX(CTRL!$F$3:$F$29,CTRL!$E$1),'LPU Regionalizada'!$B$3:$N$3,0))</f>
        <v>21.42</v>
      </c>
      <c r="P171" s="88"/>
      <c r="Q171" s="132">
        <f t="shared" si="112"/>
        <v>0</v>
      </c>
      <c r="R171" s="132">
        <f t="shared" si="113"/>
        <v>0</v>
      </c>
      <c r="S171" s="132">
        <f t="shared" si="114"/>
        <v>0</v>
      </c>
      <c r="T171" s="133">
        <f t="shared" si="115"/>
        <v>0</v>
      </c>
      <c r="U171" s="134">
        <f t="shared" si="3"/>
        <v>0</v>
      </c>
      <c r="V171" s="135"/>
      <c r="W171" s="136"/>
      <c r="X171" s="2"/>
      <c r="Y171" s="111"/>
      <c r="Z171" s="3"/>
    </row>
    <row r="172" ht="14.25" hidden="1" customHeight="1" outlineLevel="2">
      <c r="A172" s="124"/>
      <c r="B172" s="125" t="s">
        <v>375</v>
      </c>
      <c r="C172" s="126" t="s">
        <v>376</v>
      </c>
      <c r="D172" s="127" t="s">
        <v>76</v>
      </c>
      <c r="E172" s="35"/>
      <c r="F172" s="128"/>
      <c r="G172" s="128"/>
      <c r="H172" s="128"/>
      <c r="I172" s="127">
        <f t="shared" si="108"/>
        <v>0</v>
      </c>
      <c r="J172" s="88"/>
      <c r="K172" s="129">
        <f t="shared" si="109"/>
        <v>72.99237911</v>
      </c>
      <c r="L172" s="130">
        <v>0.6</v>
      </c>
      <c r="M172" s="129">
        <f t="shared" si="110"/>
        <v>48.66158608</v>
      </c>
      <c r="N172" s="130">
        <f t="shared" si="111"/>
        <v>0.4</v>
      </c>
      <c r="O172" s="131">
        <f t="array" ref="O172">INDEX('LPU Regionalizada'!$B$3:$N$785,MATCH($B172,'LPU Regionalizada'!$B$3:$B$785,0),MATCH(INDEX(CTRL!$F$3:$F$29,CTRL!$E$1),'LPU Regionalizada'!$B$3:$N$3,0))</f>
        <v>121.6539652</v>
      </c>
      <c r="P172" s="88"/>
      <c r="Q172" s="132">
        <f t="shared" si="112"/>
        <v>0</v>
      </c>
      <c r="R172" s="132">
        <f t="shared" si="113"/>
        <v>0</v>
      </c>
      <c r="S172" s="132">
        <f t="shared" si="114"/>
        <v>0</v>
      </c>
      <c r="T172" s="133">
        <f t="shared" si="115"/>
        <v>0</v>
      </c>
      <c r="U172" s="134">
        <f t="shared" si="3"/>
        <v>0</v>
      </c>
      <c r="V172" s="135"/>
      <c r="W172" s="136"/>
      <c r="X172" s="2"/>
      <c r="Y172" s="111"/>
      <c r="Z172" s="3"/>
    </row>
    <row r="173" ht="14.25" hidden="1" customHeight="1" outlineLevel="2">
      <c r="A173" s="124"/>
      <c r="B173" s="125" t="s">
        <v>377</v>
      </c>
      <c r="C173" s="126" t="s">
        <v>378</v>
      </c>
      <c r="D173" s="127" t="s">
        <v>76</v>
      </c>
      <c r="E173" s="35"/>
      <c r="F173" s="128"/>
      <c r="G173" s="128"/>
      <c r="H173" s="128"/>
      <c r="I173" s="127">
        <f t="shared" si="108"/>
        <v>0</v>
      </c>
      <c r="J173" s="88"/>
      <c r="K173" s="129">
        <f t="shared" si="109"/>
        <v>89.61</v>
      </c>
      <c r="L173" s="130">
        <v>0.6</v>
      </c>
      <c r="M173" s="129">
        <f t="shared" si="110"/>
        <v>59.74</v>
      </c>
      <c r="N173" s="130">
        <f t="shared" si="111"/>
        <v>0.4</v>
      </c>
      <c r="O173" s="131">
        <f t="array" ref="O173">INDEX('LPU Regionalizada'!$B$3:$N$785,MATCH($B173,'LPU Regionalizada'!$B$3:$B$785,0),MATCH(INDEX(CTRL!$F$3:$F$29,CTRL!$E$1),'LPU Regionalizada'!$B$3:$N$3,0))</f>
        <v>149.35</v>
      </c>
      <c r="P173" s="88"/>
      <c r="Q173" s="132">
        <f t="shared" si="112"/>
        <v>0</v>
      </c>
      <c r="R173" s="132">
        <f t="shared" si="113"/>
        <v>0</v>
      </c>
      <c r="S173" s="132">
        <f t="shared" si="114"/>
        <v>0</v>
      </c>
      <c r="T173" s="133">
        <f t="shared" si="115"/>
        <v>0</v>
      </c>
      <c r="U173" s="134">
        <f t="shared" si="3"/>
        <v>0</v>
      </c>
      <c r="V173" s="135"/>
      <c r="W173" s="136"/>
      <c r="X173" s="2"/>
      <c r="Y173" s="111"/>
      <c r="Z173" s="3"/>
    </row>
    <row r="174" ht="14.25" hidden="1" customHeight="1" outlineLevel="2">
      <c r="A174" s="124"/>
      <c r="B174" s="125" t="s">
        <v>379</v>
      </c>
      <c r="C174" s="126" t="s">
        <v>380</v>
      </c>
      <c r="D174" s="127" t="s">
        <v>76</v>
      </c>
      <c r="E174" s="35"/>
      <c r="F174" s="128"/>
      <c r="G174" s="128"/>
      <c r="H174" s="128"/>
      <c r="I174" s="127">
        <f t="shared" si="108"/>
        <v>0</v>
      </c>
      <c r="J174" s="88"/>
      <c r="K174" s="129">
        <f t="shared" si="109"/>
        <v>92.844</v>
      </c>
      <c r="L174" s="130">
        <v>0.6</v>
      </c>
      <c r="M174" s="129">
        <f t="shared" si="110"/>
        <v>61.896</v>
      </c>
      <c r="N174" s="130">
        <f t="shared" si="111"/>
        <v>0.4</v>
      </c>
      <c r="O174" s="131">
        <f t="array" ref="O174">INDEX('LPU Regionalizada'!$B$3:$N$785,MATCH($B174,'LPU Regionalizada'!$B$3:$B$785,0),MATCH(INDEX(CTRL!$F$3:$F$29,CTRL!$E$1),'LPU Regionalizada'!$B$3:$N$3,0))</f>
        <v>154.74</v>
      </c>
      <c r="P174" s="88"/>
      <c r="Q174" s="132">
        <f t="shared" si="112"/>
        <v>0</v>
      </c>
      <c r="R174" s="132">
        <f t="shared" si="113"/>
        <v>0</v>
      </c>
      <c r="S174" s="132">
        <f t="shared" si="114"/>
        <v>0</v>
      </c>
      <c r="T174" s="133">
        <f t="shared" si="115"/>
        <v>0</v>
      </c>
      <c r="U174" s="134">
        <f t="shared" si="3"/>
        <v>0</v>
      </c>
      <c r="V174" s="135"/>
      <c r="W174" s="136"/>
      <c r="X174" s="2"/>
      <c r="Y174" s="111"/>
      <c r="Z174" s="3"/>
    </row>
    <row r="175" ht="14.25" hidden="1" customHeight="1" outlineLevel="2">
      <c r="A175" s="124"/>
      <c r="B175" s="125" t="s">
        <v>381</v>
      </c>
      <c r="C175" s="126" t="s">
        <v>382</v>
      </c>
      <c r="D175" s="127" t="s">
        <v>76</v>
      </c>
      <c r="E175" s="35"/>
      <c r="F175" s="128"/>
      <c r="G175" s="128"/>
      <c r="H175" s="128"/>
      <c r="I175" s="127">
        <f t="shared" si="108"/>
        <v>0</v>
      </c>
      <c r="J175" s="88"/>
      <c r="K175" s="129">
        <f t="shared" si="109"/>
        <v>93.597</v>
      </c>
      <c r="L175" s="130">
        <v>0.6</v>
      </c>
      <c r="M175" s="129">
        <f t="shared" si="110"/>
        <v>62.398</v>
      </c>
      <c r="N175" s="130">
        <f t="shared" si="111"/>
        <v>0.4</v>
      </c>
      <c r="O175" s="131">
        <f t="array" ref="O175">INDEX('LPU Regionalizada'!$B$3:$N$785,MATCH($B175,'LPU Regionalizada'!$B$3:$B$785,0),MATCH(INDEX(CTRL!$F$3:$F$29,CTRL!$E$1),'LPU Regionalizada'!$B$3:$N$3,0))</f>
        <v>155.995</v>
      </c>
      <c r="P175" s="88"/>
      <c r="Q175" s="132">
        <f t="shared" si="112"/>
        <v>0</v>
      </c>
      <c r="R175" s="132">
        <f t="shared" si="113"/>
        <v>0</v>
      </c>
      <c r="S175" s="132">
        <f t="shared" si="114"/>
        <v>0</v>
      </c>
      <c r="T175" s="133">
        <f t="shared" si="115"/>
        <v>0</v>
      </c>
      <c r="U175" s="134">
        <f t="shared" si="3"/>
        <v>0</v>
      </c>
      <c r="V175" s="135"/>
      <c r="W175" s="136"/>
      <c r="X175" s="2"/>
      <c r="Y175" s="111"/>
      <c r="Z175" s="3"/>
    </row>
    <row r="176" ht="14.25" hidden="1" customHeight="1" outlineLevel="2">
      <c r="A176" s="124"/>
      <c r="B176" s="125" t="s">
        <v>383</v>
      </c>
      <c r="C176" s="126" t="s">
        <v>384</v>
      </c>
      <c r="D176" s="127" t="s">
        <v>76</v>
      </c>
      <c r="E176" s="35"/>
      <c r="F176" s="128"/>
      <c r="G176" s="128"/>
      <c r="H176" s="128"/>
      <c r="I176" s="127">
        <f t="shared" si="108"/>
        <v>0</v>
      </c>
      <c r="J176" s="88"/>
      <c r="K176" s="129">
        <f t="shared" si="109"/>
        <v>58.812</v>
      </c>
      <c r="L176" s="130">
        <v>0.6</v>
      </c>
      <c r="M176" s="129">
        <f t="shared" si="110"/>
        <v>39.208</v>
      </c>
      <c r="N176" s="130">
        <f t="shared" si="111"/>
        <v>0.4</v>
      </c>
      <c r="O176" s="131">
        <f t="array" ref="O176">INDEX('LPU Regionalizada'!$B$3:$N$785,MATCH($B176,'LPU Regionalizada'!$B$3:$B$785,0),MATCH(INDEX(CTRL!$F$3:$F$29,CTRL!$E$1),'LPU Regionalizada'!$B$3:$N$3,0))</f>
        <v>98.02</v>
      </c>
      <c r="P176" s="88"/>
      <c r="Q176" s="132">
        <f t="shared" si="112"/>
        <v>0</v>
      </c>
      <c r="R176" s="132">
        <f t="shared" si="113"/>
        <v>0</v>
      </c>
      <c r="S176" s="132">
        <f t="shared" si="114"/>
        <v>0</v>
      </c>
      <c r="T176" s="133">
        <f t="shared" si="115"/>
        <v>0</v>
      </c>
      <c r="U176" s="134">
        <f t="shared" si="3"/>
        <v>0</v>
      </c>
      <c r="V176" s="135"/>
      <c r="W176" s="136"/>
      <c r="X176" s="2"/>
      <c r="Y176" s="111"/>
      <c r="Z176" s="3"/>
    </row>
    <row r="177" ht="14.25" hidden="1" customHeight="1" outlineLevel="2">
      <c r="A177" s="124"/>
      <c r="B177" s="125" t="s">
        <v>385</v>
      </c>
      <c r="C177" s="126" t="s">
        <v>386</v>
      </c>
      <c r="D177" s="127" t="s">
        <v>120</v>
      </c>
      <c r="E177" s="35"/>
      <c r="F177" s="128"/>
      <c r="G177" s="128"/>
      <c r="H177" s="128"/>
      <c r="I177" s="127">
        <f t="shared" si="108"/>
        <v>0</v>
      </c>
      <c r="J177" s="88"/>
      <c r="K177" s="129">
        <f t="shared" si="109"/>
        <v>112.6652094</v>
      </c>
      <c r="L177" s="130">
        <v>0.6</v>
      </c>
      <c r="M177" s="129">
        <f t="shared" si="110"/>
        <v>75.11013961</v>
      </c>
      <c r="N177" s="130">
        <f t="shared" si="111"/>
        <v>0.4</v>
      </c>
      <c r="O177" s="131">
        <f t="array" ref="O177">INDEX('LPU Regionalizada'!$B$3:$N$785,MATCH($B177,'LPU Regionalizada'!$B$3:$B$785,0),MATCH(INDEX(CTRL!$F$3:$F$29,CTRL!$E$1),'LPU Regionalizada'!$B$3:$N$3,0))</f>
        <v>187.775349</v>
      </c>
      <c r="P177" s="88"/>
      <c r="Q177" s="132">
        <f t="shared" si="112"/>
        <v>0</v>
      </c>
      <c r="R177" s="132">
        <f t="shared" si="113"/>
        <v>0</v>
      </c>
      <c r="S177" s="132">
        <f t="shared" si="114"/>
        <v>0</v>
      </c>
      <c r="T177" s="133">
        <f t="shared" si="115"/>
        <v>0</v>
      </c>
      <c r="U177" s="134">
        <f t="shared" si="3"/>
        <v>0</v>
      </c>
      <c r="V177" s="135"/>
      <c r="W177" s="136"/>
      <c r="X177" s="2"/>
      <c r="Y177" s="111"/>
      <c r="Z177" s="3"/>
    </row>
    <row r="178" ht="14.25" hidden="1" customHeight="1" outlineLevel="2">
      <c r="A178" s="124"/>
      <c r="B178" s="125" t="s">
        <v>387</v>
      </c>
      <c r="C178" s="126" t="s">
        <v>388</v>
      </c>
      <c r="D178" s="127" t="s">
        <v>76</v>
      </c>
      <c r="E178" s="35"/>
      <c r="F178" s="128"/>
      <c r="G178" s="128"/>
      <c r="H178" s="128"/>
      <c r="I178" s="127">
        <f t="shared" si="108"/>
        <v>0</v>
      </c>
      <c r="J178" s="88"/>
      <c r="K178" s="129">
        <f t="shared" si="109"/>
        <v>88.4276622</v>
      </c>
      <c r="L178" s="130">
        <v>0.6</v>
      </c>
      <c r="M178" s="129">
        <f t="shared" si="110"/>
        <v>58.9517748</v>
      </c>
      <c r="N178" s="130">
        <f t="shared" si="111"/>
        <v>0.4</v>
      </c>
      <c r="O178" s="131">
        <f t="array" ref="O178">INDEX('LPU Regionalizada'!$B$3:$N$785,MATCH($B178,'LPU Regionalizada'!$B$3:$B$785,0),MATCH(INDEX(CTRL!$F$3:$F$29,CTRL!$E$1),'LPU Regionalizada'!$B$3:$N$3,0))</f>
        <v>147.379437</v>
      </c>
      <c r="P178" s="88"/>
      <c r="Q178" s="132">
        <f t="shared" si="112"/>
        <v>0</v>
      </c>
      <c r="R178" s="132">
        <f t="shared" si="113"/>
        <v>0</v>
      </c>
      <c r="S178" s="132">
        <f t="shared" si="114"/>
        <v>0</v>
      </c>
      <c r="T178" s="133">
        <f t="shared" si="115"/>
        <v>0</v>
      </c>
      <c r="U178" s="134">
        <f t="shared" si="3"/>
        <v>0</v>
      </c>
      <c r="V178" s="135"/>
      <c r="W178" s="136"/>
      <c r="X178" s="2"/>
      <c r="Y178" s="111"/>
      <c r="Z178" s="3"/>
    </row>
    <row r="179" ht="14.25" hidden="1" customHeight="1" outlineLevel="2">
      <c r="A179" s="124"/>
      <c r="B179" s="125" t="s">
        <v>389</v>
      </c>
      <c r="C179" s="126" t="s">
        <v>390</v>
      </c>
      <c r="D179" s="127" t="s">
        <v>76</v>
      </c>
      <c r="E179" s="35"/>
      <c r="F179" s="128"/>
      <c r="G179" s="128"/>
      <c r="H179" s="128"/>
      <c r="I179" s="127">
        <f t="shared" si="108"/>
        <v>0</v>
      </c>
      <c r="J179" s="88"/>
      <c r="K179" s="129">
        <f t="shared" si="109"/>
        <v>59.27110804</v>
      </c>
      <c r="L179" s="130">
        <v>0.6</v>
      </c>
      <c r="M179" s="129">
        <f t="shared" si="110"/>
        <v>39.51407203</v>
      </c>
      <c r="N179" s="130">
        <f t="shared" si="111"/>
        <v>0.4</v>
      </c>
      <c r="O179" s="131">
        <f t="array" ref="O179">INDEX('LPU Regionalizada'!$B$3:$N$785,MATCH($B179,'LPU Regionalizada'!$B$3:$B$785,0),MATCH(INDEX(CTRL!$F$3:$F$29,CTRL!$E$1),'LPU Regionalizada'!$B$3:$N$3,0))</f>
        <v>98.78518007</v>
      </c>
      <c r="P179" s="88"/>
      <c r="Q179" s="132">
        <f t="shared" si="112"/>
        <v>0</v>
      </c>
      <c r="R179" s="132">
        <f t="shared" si="113"/>
        <v>0</v>
      </c>
      <c r="S179" s="132">
        <f t="shared" si="114"/>
        <v>0</v>
      </c>
      <c r="T179" s="133">
        <f t="shared" si="115"/>
        <v>0</v>
      </c>
      <c r="U179" s="134">
        <f t="shared" si="3"/>
        <v>0</v>
      </c>
      <c r="V179" s="135"/>
      <c r="W179" s="136"/>
      <c r="X179" s="2"/>
      <c r="Y179" s="111"/>
      <c r="Z179" s="3"/>
    </row>
    <row r="180" ht="14.25" hidden="1" customHeight="1" outlineLevel="2">
      <c r="A180" s="124"/>
      <c r="B180" s="125" t="s">
        <v>391</v>
      </c>
      <c r="C180" s="126" t="s">
        <v>392</v>
      </c>
      <c r="D180" s="127" t="s">
        <v>76</v>
      </c>
      <c r="E180" s="35"/>
      <c r="F180" s="128"/>
      <c r="G180" s="128"/>
      <c r="H180" s="128"/>
      <c r="I180" s="127">
        <f t="shared" si="108"/>
        <v>0</v>
      </c>
      <c r="J180" s="88"/>
      <c r="K180" s="129">
        <f t="shared" si="109"/>
        <v>69.35961749</v>
      </c>
      <c r="L180" s="130">
        <v>0.6</v>
      </c>
      <c r="M180" s="129">
        <f t="shared" si="110"/>
        <v>46.23974499</v>
      </c>
      <c r="N180" s="130">
        <f t="shared" si="111"/>
        <v>0.4</v>
      </c>
      <c r="O180" s="131">
        <f t="array" ref="O180">INDEX('LPU Regionalizada'!$B$3:$N$785,MATCH($B180,'LPU Regionalizada'!$B$3:$B$785,0),MATCH(INDEX(CTRL!$F$3:$F$29,CTRL!$E$1),'LPU Regionalizada'!$B$3:$N$3,0))</f>
        <v>115.5993625</v>
      </c>
      <c r="P180" s="88"/>
      <c r="Q180" s="132">
        <f t="shared" si="112"/>
        <v>0</v>
      </c>
      <c r="R180" s="132">
        <f t="shared" si="113"/>
        <v>0</v>
      </c>
      <c r="S180" s="132">
        <f t="shared" si="114"/>
        <v>0</v>
      </c>
      <c r="T180" s="133">
        <f t="shared" si="115"/>
        <v>0</v>
      </c>
      <c r="U180" s="134">
        <f t="shared" si="3"/>
        <v>0</v>
      </c>
      <c r="V180" s="135"/>
      <c r="W180" s="136"/>
      <c r="X180" s="2"/>
      <c r="Y180" s="111"/>
      <c r="Z180" s="3"/>
    </row>
    <row r="181" ht="14.25" hidden="1" customHeight="1" outlineLevel="2">
      <c r="A181" s="124"/>
      <c r="B181" s="125" t="s">
        <v>393</v>
      </c>
      <c r="C181" s="126" t="s">
        <v>394</v>
      </c>
      <c r="D181" s="127" t="s">
        <v>76</v>
      </c>
      <c r="E181" s="35"/>
      <c r="F181" s="128"/>
      <c r="G181" s="128"/>
      <c r="H181" s="128"/>
      <c r="I181" s="127">
        <f t="shared" si="108"/>
        <v>0</v>
      </c>
      <c r="J181" s="88"/>
      <c r="K181" s="129">
        <f t="shared" si="109"/>
        <v>75.561822</v>
      </c>
      <c r="L181" s="130">
        <v>0.6</v>
      </c>
      <c r="M181" s="129">
        <f t="shared" si="110"/>
        <v>50.374548</v>
      </c>
      <c r="N181" s="130">
        <f t="shared" si="111"/>
        <v>0.4</v>
      </c>
      <c r="O181" s="131">
        <f t="array" ref="O181">INDEX('LPU Regionalizada'!$B$3:$N$785,MATCH($B181,'LPU Regionalizada'!$B$3:$B$785,0),MATCH(INDEX(CTRL!$F$3:$F$29,CTRL!$E$1),'LPU Regionalizada'!$B$3:$N$3,0))</f>
        <v>125.93637</v>
      </c>
      <c r="P181" s="88"/>
      <c r="Q181" s="132">
        <f t="shared" si="112"/>
        <v>0</v>
      </c>
      <c r="R181" s="132">
        <f t="shared" si="113"/>
        <v>0</v>
      </c>
      <c r="S181" s="132">
        <f t="shared" si="114"/>
        <v>0</v>
      </c>
      <c r="T181" s="133">
        <f t="shared" si="115"/>
        <v>0</v>
      </c>
      <c r="U181" s="134">
        <f t="shared" si="3"/>
        <v>0</v>
      </c>
      <c r="V181" s="135"/>
      <c r="W181" s="136"/>
      <c r="X181" s="2"/>
      <c r="Y181" s="111"/>
      <c r="Z181" s="3"/>
    </row>
    <row r="182" ht="14.25" hidden="1" customHeight="1" outlineLevel="2">
      <c r="A182" s="124"/>
      <c r="B182" s="125" t="s">
        <v>395</v>
      </c>
      <c r="C182" s="126" t="s">
        <v>396</v>
      </c>
      <c r="D182" s="127" t="s">
        <v>76</v>
      </c>
      <c r="E182" s="35"/>
      <c r="F182" s="128"/>
      <c r="G182" s="128"/>
      <c r="H182" s="128"/>
      <c r="I182" s="127">
        <f t="shared" si="108"/>
        <v>0</v>
      </c>
      <c r="J182" s="88"/>
      <c r="K182" s="129">
        <f t="shared" si="109"/>
        <v>63.97678058</v>
      </c>
      <c r="L182" s="130">
        <v>0.6</v>
      </c>
      <c r="M182" s="129">
        <f t="shared" si="110"/>
        <v>42.65118706</v>
      </c>
      <c r="N182" s="130">
        <f t="shared" si="111"/>
        <v>0.4</v>
      </c>
      <c r="O182" s="131">
        <f t="array" ref="O182">INDEX('LPU Regionalizada'!$B$3:$N$785,MATCH($B182,'LPU Regionalizada'!$B$3:$B$785,0),MATCH(INDEX(CTRL!$F$3:$F$29,CTRL!$E$1),'LPU Regionalizada'!$B$3:$N$3,0))</f>
        <v>106.6279676</v>
      </c>
      <c r="P182" s="88"/>
      <c r="Q182" s="132">
        <f t="shared" si="112"/>
        <v>0</v>
      </c>
      <c r="R182" s="132">
        <f t="shared" si="113"/>
        <v>0</v>
      </c>
      <c r="S182" s="132">
        <f t="shared" si="114"/>
        <v>0</v>
      </c>
      <c r="T182" s="133">
        <f t="shared" si="115"/>
        <v>0</v>
      </c>
      <c r="U182" s="134">
        <f t="shared" si="3"/>
        <v>0</v>
      </c>
      <c r="V182" s="135"/>
      <c r="W182" s="136"/>
      <c r="X182" s="2"/>
      <c r="Y182" s="111"/>
      <c r="Z182" s="3"/>
    </row>
    <row r="183" ht="14.25" hidden="1" customHeight="1" outlineLevel="2">
      <c r="A183" s="124"/>
      <c r="B183" s="125" t="s">
        <v>397</v>
      </c>
      <c r="C183" s="126" t="s">
        <v>398</v>
      </c>
      <c r="D183" s="127" t="s">
        <v>76</v>
      </c>
      <c r="E183" s="35"/>
      <c r="F183" s="128"/>
      <c r="G183" s="128"/>
      <c r="H183" s="128"/>
      <c r="I183" s="127">
        <f t="shared" si="108"/>
        <v>0</v>
      </c>
      <c r="J183" s="88"/>
      <c r="K183" s="129">
        <f t="shared" si="109"/>
        <v>88.14453317</v>
      </c>
      <c r="L183" s="130">
        <v>0.6</v>
      </c>
      <c r="M183" s="129">
        <f t="shared" si="110"/>
        <v>58.76302211</v>
      </c>
      <c r="N183" s="130">
        <f t="shared" si="111"/>
        <v>0.4</v>
      </c>
      <c r="O183" s="131">
        <f t="array" ref="O183">INDEX('LPU Regionalizada'!$B$3:$N$785,MATCH($B183,'LPU Regionalizada'!$B$3:$B$785,0),MATCH(INDEX(CTRL!$F$3:$F$29,CTRL!$E$1),'LPU Regionalizada'!$B$3:$N$3,0))</f>
        <v>146.9075553</v>
      </c>
      <c r="P183" s="88"/>
      <c r="Q183" s="132">
        <f t="shared" si="112"/>
        <v>0</v>
      </c>
      <c r="R183" s="132">
        <f t="shared" si="113"/>
        <v>0</v>
      </c>
      <c r="S183" s="132">
        <f t="shared" si="114"/>
        <v>0</v>
      </c>
      <c r="T183" s="133">
        <f t="shared" si="115"/>
        <v>0</v>
      </c>
      <c r="U183" s="134">
        <f t="shared" si="3"/>
        <v>0</v>
      </c>
      <c r="V183" s="135"/>
      <c r="W183" s="136"/>
      <c r="X183" s="2"/>
      <c r="Y183" s="111"/>
      <c r="Z183" s="3"/>
    </row>
    <row r="184" ht="14.25" hidden="1" customHeight="1" outlineLevel="2">
      <c r="A184" s="124"/>
      <c r="B184" s="125" t="s">
        <v>399</v>
      </c>
      <c r="C184" s="126" t="s">
        <v>400</v>
      </c>
      <c r="D184" s="127" t="s">
        <v>180</v>
      </c>
      <c r="E184" s="35"/>
      <c r="F184" s="128"/>
      <c r="G184" s="128"/>
      <c r="H184" s="128"/>
      <c r="I184" s="127">
        <f t="shared" si="108"/>
        <v>0</v>
      </c>
      <c r="J184" s="88"/>
      <c r="K184" s="129">
        <f t="shared" si="109"/>
        <v>24.396</v>
      </c>
      <c r="L184" s="130">
        <v>0.6</v>
      </c>
      <c r="M184" s="129">
        <f t="shared" si="110"/>
        <v>16.264</v>
      </c>
      <c r="N184" s="130">
        <f t="shared" si="111"/>
        <v>0.4</v>
      </c>
      <c r="O184" s="131">
        <f t="array" ref="O184">INDEX('LPU Regionalizada'!$B$3:$N$785,MATCH($B184,'LPU Regionalizada'!$B$3:$B$785,0),MATCH(INDEX(CTRL!$F$3:$F$29,CTRL!$E$1),'LPU Regionalizada'!$B$3:$N$3,0))</f>
        <v>40.66</v>
      </c>
      <c r="P184" s="88"/>
      <c r="Q184" s="132">
        <f t="shared" si="112"/>
        <v>0</v>
      </c>
      <c r="R184" s="132">
        <f t="shared" si="113"/>
        <v>0</v>
      </c>
      <c r="S184" s="132">
        <f t="shared" si="114"/>
        <v>0</v>
      </c>
      <c r="T184" s="133">
        <f t="shared" si="115"/>
        <v>0</v>
      </c>
      <c r="U184" s="134">
        <f t="shared" si="3"/>
        <v>0</v>
      </c>
      <c r="V184" s="135"/>
      <c r="W184" s="136"/>
      <c r="X184" s="2"/>
      <c r="Y184" s="111"/>
      <c r="Z184" s="3"/>
    </row>
    <row r="185" ht="14.25" hidden="1" customHeight="1" outlineLevel="2">
      <c r="A185" s="124"/>
      <c r="B185" s="125" t="s">
        <v>401</v>
      </c>
      <c r="C185" s="126" t="s">
        <v>402</v>
      </c>
      <c r="D185" s="127" t="s">
        <v>180</v>
      </c>
      <c r="E185" s="35"/>
      <c r="F185" s="128"/>
      <c r="G185" s="128"/>
      <c r="H185" s="128"/>
      <c r="I185" s="127">
        <f t="shared" si="108"/>
        <v>0</v>
      </c>
      <c r="J185" s="88"/>
      <c r="K185" s="129">
        <f t="shared" si="109"/>
        <v>38.038</v>
      </c>
      <c r="L185" s="130">
        <v>0.6</v>
      </c>
      <c r="M185" s="129">
        <f t="shared" si="110"/>
        <v>25.35866667</v>
      </c>
      <c r="N185" s="130">
        <f t="shared" si="111"/>
        <v>0.4</v>
      </c>
      <c r="O185" s="131">
        <f t="array" ref="O185">INDEX('LPU Regionalizada'!$B$3:$N$785,MATCH($B185,'LPU Regionalizada'!$B$3:$B$785,0),MATCH(INDEX(CTRL!$F$3:$F$29,CTRL!$E$1),'LPU Regionalizada'!$B$3:$N$3,0))</f>
        <v>63.39666667</v>
      </c>
      <c r="P185" s="88"/>
      <c r="Q185" s="132">
        <f t="shared" si="112"/>
        <v>0</v>
      </c>
      <c r="R185" s="132">
        <f t="shared" si="113"/>
        <v>0</v>
      </c>
      <c r="S185" s="132">
        <f t="shared" si="114"/>
        <v>0</v>
      </c>
      <c r="T185" s="133">
        <f t="shared" si="115"/>
        <v>0</v>
      </c>
      <c r="U185" s="134">
        <f t="shared" si="3"/>
        <v>0</v>
      </c>
      <c r="V185" s="135"/>
      <c r="W185" s="136"/>
      <c r="X185" s="2"/>
      <c r="Y185" s="111"/>
      <c r="Z185" s="3"/>
    </row>
    <row r="186" ht="14.25" hidden="1" customHeight="1" outlineLevel="2">
      <c r="A186" s="124"/>
      <c r="B186" s="125" t="s">
        <v>403</v>
      </c>
      <c r="C186" s="126" t="s">
        <v>404</v>
      </c>
      <c r="D186" s="127" t="s">
        <v>180</v>
      </c>
      <c r="E186" s="35"/>
      <c r="F186" s="128"/>
      <c r="G186" s="128"/>
      <c r="H186" s="128"/>
      <c r="I186" s="127">
        <f t="shared" si="108"/>
        <v>0</v>
      </c>
      <c r="J186" s="88"/>
      <c r="K186" s="129">
        <f t="shared" si="109"/>
        <v>25.68544364</v>
      </c>
      <c r="L186" s="130">
        <v>0.6</v>
      </c>
      <c r="M186" s="129">
        <f t="shared" si="110"/>
        <v>17.12362909</v>
      </c>
      <c r="N186" s="130">
        <f t="shared" si="111"/>
        <v>0.4</v>
      </c>
      <c r="O186" s="131">
        <f t="array" ref="O186">INDEX('LPU Regionalizada'!$B$3:$N$785,MATCH($B186,'LPU Regionalizada'!$B$3:$B$785,0),MATCH(INDEX(CTRL!$F$3:$F$29,CTRL!$E$1),'LPU Regionalizada'!$B$3:$N$3,0))</f>
        <v>42.80907273</v>
      </c>
      <c r="P186" s="88"/>
      <c r="Q186" s="132">
        <f t="shared" si="112"/>
        <v>0</v>
      </c>
      <c r="R186" s="132">
        <f t="shared" si="113"/>
        <v>0</v>
      </c>
      <c r="S186" s="132">
        <f t="shared" si="114"/>
        <v>0</v>
      </c>
      <c r="T186" s="133">
        <f t="shared" si="115"/>
        <v>0</v>
      </c>
      <c r="U186" s="134">
        <f t="shared" si="3"/>
        <v>0</v>
      </c>
      <c r="V186" s="135"/>
      <c r="W186" s="136"/>
      <c r="X186" s="2"/>
      <c r="Y186" s="111"/>
      <c r="Z186" s="3"/>
    </row>
    <row r="187" ht="14.25" hidden="1" customHeight="1" outlineLevel="2">
      <c r="A187" s="124"/>
      <c r="B187" s="125" t="s">
        <v>405</v>
      </c>
      <c r="C187" s="126" t="s">
        <v>406</v>
      </c>
      <c r="D187" s="127" t="s">
        <v>180</v>
      </c>
      <c r="E187" s="35"/>
      <c r="F187" s="128"/>
      <c r="G187" s="128"/>
      <c r="H187" s="128"/>
      <c r="I187" s="127">
        <f t="shared" si="108"/>
        <v>0</v>
      </c>
      <c r="J187" s="88"/>
      <c r="K187" s="129">
        <f t="shared" si="109"/>
        <v>18.956245</v>
      </c>
      <c r="L187" s="130">
        <v>0.6</v>
      </c>
      <c r="M187" s="129">
        <f t="shared" si="110"/>
        <v>12.63749666</v>
      </c>
      <c r="N187" s="130">
        <f t="shared" si="111"/>
        <v>0.4</v>
      </c>
      <c r="O187" s="131">
        <f t="array" ref="O187">INDEX('LPU Regionalizada'!$B$3:$N$785,MATCH($B187,'LPU Regionalizada'!$B$3:$B$785,0),MATCH(INDEX(CTRL!$F$3:$F$29,CTRL!$E$1),'LPU Regionalizada'!$B$3:$N$3,0))</f>
        <v>31.59374166</v>
      </c>
      <c r="P187" s="88"/>
      <c r="Q187" s="132">
        <f t="shared" si="112"/>
        <v>0</v>
      </c>
      <c r="R187" s="132">
        <f t="shared" si="113"/>
        <v>0</v>
      </c>
      <c r="S187" s="132">
        <f t="shared" si="114"/>
        <v>0</v>
      </c>
      <c r="T187" s="133">
        <f t="shared" si="115"/>
        <v>0</v>
      </c>
      <c r="U187" s="134">
        <f t="shared" si="3"/>
        <v>0</v>
      </c>
      <c r="V187" s="135"/>
      <c r="W187" s="136"/>
      <c r="X187" s="2"/>
      <c r="Y187" s="111"/>
      <c r="Z187" s="3"/>
    </row>
    <row r="188" ht="14.25" customHeight="1" outlineLevel="1">
      <c r="A188" s="112"/>
      <c r="B188" s="113" t="s">
        <v>407</v>
      </c>
      <c r="C188" s="114" t="s">
        <v>408</v>
      </c>
      <c r="D188" s="115"/>
      <c r="E188" s="35"/>
      <c r="F188" s="113"/>
      <c r="G188" s="116"/>
      <c r="H188" s="116"/>
      <c r="I188" s="115"/>
      <c r="J188" s="88"/>
      <c r="K188" s="117"/>
      <c r="L188" s="118"/>
      <c r="M188" s="118"/>
      <c r="N188" s="118"/>
      <c r="O188" s="119"/>
      <c r="P188" s="88"/>
      <c r="Q188" s="120"/>
      <c r="R188" s="120"/>
      <c r="S188" s="120"/>
      <c r="T188" s="120">
        <f>SUM(T189:T196)</f>
        <v>3925.387582</v>
      </c>
      <c r="U188" s="121">
        <f t="shared" si="3"/>
        <v>3925.387582</v>
      </c>
      <c r="V188" s="122"/>
      <c r="W188" s="123"/>
      <c r="X188" s="2"/>
      <c r="Y188" s="111"/>
      <c r="Z188" s="3"/>
    </row>
    <row r="189" ht="14.25" hidden="1" customHeight="1" outlineLevel="2">
      <c r="A189" s="124"/>
      <c r="B189" s="125" t="s">
        <v>409</v>
      </c>
      <c r="C189" s="126" t="s">
        <v>410</v>
      </c>
      <c r="D189" s="127" t="s">
        <v>76</v>
      </c>
      <c r="E189" s="35"/>
      <c r="F189" s="128"/>
      <c r="G189" s="128"/>
      <c r="H189" s="128"/>
      <c r="I189" s="127">
        <f t="shared" ref="I189:I196" si="116">F189+G189+H189</f>
        <v>0</v>
      </c>
      <c r="J189" s="88"/>
      <c r="K189" s="129">
        <f t="shared" ref="K189:K196" si="117">L189*O189</f>
        <v>13.34112</v>
      </c>
      <c r="L189" s="130">
        <v>0.6</v>
      </c>
      <c r="M189" s="129">
        <f t="shared" ref="M189:M196" si="118">N189*O189</f>
        <v>8.89408</v>
      </c>
      <c r="N189" s="130">
        <f t="shared" ref="N189:N196" si="119">100%-L189</f>
        <v>0.4</v>
      </c>
      <c r="O189" s="131">
        <f t="array" ref="O189">INDEX('LPU Regionalizada'!$B$3:$N$785,MATCH($B189,'LPU Regionalizada'!$B$3:$B$785,0),MATCH(INDEX(CTRL!$F$3:$F$29,CTRL!$E$1),'LPU Regionalizada'!$B$3:$N$3,0))</f>
        <v>22.2352</v>
      </c>
      <c r="P189" s="88"/>
      <c r="Q189" s="132">
        <f t="shared" ref="Q189:Q196" si="120">F189*O189</f>
        <v>0</v>
      </c>
      <c r="R189" s="132">
        <f t="shared" ref="R189:R196" si="121">G189*O189</f>
        <v>0</v>
      </c>
      <c r="S189" s="132">
        <f t="shared" ref="S189:S196" si="122">H189*O189</f>
        <v>0</v>
      </c>
      <c r="T189" s="133">
        <f t="shared" ref="T189:T196" si="123">SUM(Q189:S189)</f>
        <v>0</v>
      </c>
      <c r="U189" s="134">
        <f t="shared" si="3"/>
        <v>0</v>
      </c>
      <c r="V189" s="135"/>
      <c r="W189" s="136"/>
      <c r="X189" s="2"/>
      <c r="Y189" s="111"/>
      <c r="Z189" s="3"/>
    </row>
    <row r="190" ht="14.25" hidden="1" customHeight="1" outlineLevel="2">
      <c r="A190" s="124"/>
      <c r="B190" s="125" t="s">
        <v>411</v>
      </c>
      <c r="C190" s="126" t="s">
        <v>412</v>
      </c>
      <c r="D190" s="127" t="s">
        <v>76</v>
      </c>
      <c r="E190" s="35"/>
      <c r="F190" s="128"/>
      <c r="G190" s="128"/>
      <c r="H190" s="128"/>
      <c r="I190" s="127">
        <f t="shared" si="116"/>
        <v>0</v>
      </c>
      <c r="J190" s="88"/>
      <c r="K190" s="129">
        <f t="shared" si="117"/>
        <v>17.37216</v>
      </c>
      <c r="L190" s="130">
        <v>0.6</v>
      </c>
      <c r="M190" s="129">
        <f t="shared" si="118"/>
        <v>11.58144</v>
      </c>
      <c r="N190" s="130">
        <f t="shared" si="119"/>
        <v>0.4</v>
      </c>
      <c r="O190" s="131">
        <f t="array" ref="O190">INDEX('LPU Regionalizada'!$B$3:$N$785,MATCH($B190,'LPU Regionalizada'!$B$3:$B$785,0),MATCH(INDEX(CTRL!$F$3:$F$29,CTRL!$E$1),'LPU Regionalizada'!$B$3:$N$3,0))</f>
        <v>28.9536</v>
      </c>
      <c r="P190" s="88"/>
      <c r="Q190" s="132">
        <f t="shared" si="120"/>
        <v>0</v>
      </c>
      <c r="R190" s="132">
        <f t="shared" si="121"/>
        <v>0</v>
      </c>
      <c r="S190" s="132">
        <f t="shared" si="122"/>
        <v>0</v>
      </c>
      <c r="T190" s="133">
        <f t="shared" si="123"/>
        <v>0</v>
      </c>
      <c r="U190" s="134">
        <f t="shared" si="3"/>
        <v>0</v>
      </c>
      <c r="V190" s="135"/>
      <c r="W190" s="136"/>
      <c r="X190" s="2"/>
      <c r="Y190" s="111"/>
      <c r="Z190" s="3"/>
    </row>
    <row r="191" ht="14.25" customHeight="1" outlineLevel="2">
      <c r="A191" s="124"/>
      <c r="B191" s="125" t="s">
        <v>413</v>
      </c>
      <c r="C191" s="126" t="s">
        <v>414</v>
      </c>
      <c r="D191" s="127" t="s">
        <v>76</v>
      </c>
      <c r="E191" s="35"/>
      <c r="F191" s="128"/>
      <c r="G191" s="128">
        <v>0.0</v>
      </c>
      <c r="H191" s="128">
        <v>130.0</v>
      </c>
      <c r="I191" s="127">
        <f t="shared" si="116"/>
        <v>130</v>
      </c>
      <c r="J191" s="88"/>
      <c r="K191" s="129">
        <f t="shared" si="117"/>
        <v>18.11717345</v>
      </c>
      <c r="L191" s="130">
        <v>0.6</v>
      </c>
      <c r="M191" s="129">
        <f t="shared" si="118"/>
        <v>12.07811564</v>
      </c>
      <c r="N191" s="130">
        <f t="shared" si="119"/>
        <v>0.4</v>
      </c>
      <c r="O191" s="131">
        <f t="array" ref="O191">INDEX('LPU Regionalizada'!$B$3:$N$785,MATCH($B191,'LPU Regionalizada'!$B$3:$B$785,0),MATCH(INDEX(CTRL!$F$3:$F$29,CTRL!$E$1),'LPU Regionalizada'!$B$3:$N$3,0))</f>
        <v>30.19528909</v>
      </c>
      <c r="P191" s="88"/>
      <c r="Q191" s="132">
        <f t="shared" si="120"/>
        <v>0</v>
      </c>
      <c r="R191" s="132">
        <f t="shared" si="121"/>
        <v>0</v>
      </c>
      <c r="S191" s="132">
        <f t="shared" si="122"/>
        <v>3925.387582</v>
      </c>
      <c r="T191" s="133">
        <f t="shared" si="123"/>
        <v>3925.387582</v>
      </c>
      <c r="U191" s="134">
        <f t="shared" si="3"/>
        <v>3925.387582</v>
      </c>
      <c r="V191" s="135"/>
      <c r="W191" s="136"/>
      <c r="X191" s="2"/>
      <c r="Y191" s="111"/>
      <c r="Z191" s="3"/>
    </row>
    <row r="192" ht="14.25" hidden="1" customHeight="1" outlineLevel="2">
      <c r="A192" s="124"/>
      <c r="B192" s="125" t="s">
        <v>415</v>
      </c>
      <c r="C192" s="126" t="s">
        <v>416</v>
      </c>
      <c r="D192" s="127" t="s">
        <v>76</v>
      </c>
      <c r="E192" s="35"/>
      <c r="F192" s="128"/>
      <c r="G192" s="128"/>
      <c r="H192" s="128"/>
      <c r="I192" s="127">
        <f t="shared" si="116"/>
        <v>0</v>
      </c>
      <c r="J192" s="88"/>
      <c r="K192" s="129">
        <f t="shared" si="117"/>
        <v>51.821588</v>
      </c>
      <c r="L192" s="130">
        <v>0.6</v>
      </c>
      <c r="M192" s="129">
        <f t="shared" si="118"/>
        <v>34.54772533</v>
      </c>
      <c r="N192" s="130">
        <f t="shared" si="119"/>
        <v>0.4</v>
      </c>
      <c r="O192" s="131">
        <f t="array" ref="O192">INDEX('LPU Regionalizada'!$B$3:$N$785,MATCH($B192,'LPU Regionalizada'!$B$3:$B$785,0),MATCH(INDEX(CTRL!$F$3:$F$29,CTRL!$E$1),'LPU Regionalizada'!$B$3:$N$3,0))</f>
        <v>86.36931333</v>
      </c>
      <c r="P192" s="88"/>
      <c r="Q192" s="132">
        <f t="shared" si="120"/>
        <v>0</v>
      </c>
      <c r="R192" s="132">
        <f t="shared" si="121"/>
        <v>0</v>
      </c>
      <c r="S192" s="132">
        <f t="shared" si="122"/>
        <v>0</v>
      </c>
      <c r="T192" s="133">
        <f t="shared" si="123"/>
        <v>0</v>
      </c>
      <c r="U192" s="134">
        <f t="shared" si="3"/>
        <v>0</v>
      </c>
      <c r="V192" s="135"/>
      <c r="W192" s="136"/>
      <c r="X192" s="2"/>
      <c r="Y192" s="111"/>
      <c r="Z192" s="3"/>
    </row>
    <row r="193" ht="14.25" hidden="1" customHeight="1" outlineLevel="2">
      <c r="A193" s="124"/>
      <c r="B193" s="125" t="s">
        <v>417</v>
      </c>
      <c r="C193" s="126" t="s">
        <v>418</v>
      </c>
      <c r="D193" s="127" t="s">
        <v>76</v>
      </c>
      <c r="E193" s="35"/>
      <c r="F193" s="128"/>
      <c r="G193" s="128"/>
      <c r="H193" s="128"/>
      <c r="I193" s="127">
        <f t="shared" si="116"/>
        <v>0</v>
      </c>
      <c r="J193" s="88"/>
      <c r="K193" s="129">
        <f t="shared" si="117"/>
        <v>65.3294096</v>
      </c>
      <c r="L193" s="130">
        <v>0.6</v>
      </c>
      <c r="M193" s="129">
        <f t="shared" si="118"/>
        <v>43.55293973</v>
      </c>
      <c r="N193" s="130">
        <f t="shared" si="119"/>
        <v>0.4</v>
      </c>
      <c r="O193" s="131">
        <f t="array" ref="O193">INDEX('LPU Regionalizada'!$B$3:$N$785,MATCH($B193,'LPU Regionalizada'!$B$3:$B$785,0),MATCH(INDEX(CTRL!$F$3:$F$29,CTRL!$E$1),'LPU Regionalizada'!$B$3:$N$3,0))</f>
        <v>108.8823493</v>
      </c>
      <c r="P193" s="88"/>
      <c r="Q193" s="132">
        <f t="shared" si="120"/>
        <v>0</v>
      </c>
      <c r="R193" s="132">
        <f t="shared" si="121"/>
        <v>0</v>
      </c>
      <c r="S193" s="132">
        <f t="shared" si="122"/>
        <v>0</v>
      </c>
      <c r="T193" s="133">
        <f t="shared" si="123"/>
        <v>0</v>
      </c>
      <c r="U193" s="134">
        <f t="shared" si="3"/>
        <v>0</v>
      </c>
      <c r="V193" s="135"/>
      <c r="W193" s="136"/>
      <c r="X193" s="2"/>
      <c r="Y193" s="111"/>
      <c r="Z193" s="3"/>
    </row>
    <row r="194" ht="14.25" hidden="1" customHeight="1" outlineLevel="2">
      <c r="A194" s="124"/>
      <c r="B194" s="125" t="s">
        <v>419</v>
      </c>
      <c r="C194" s="126" t="s">
        <v>420</v>
      </c>
      <c r="D194" s="127" t="s">
        <v>76</v>
      </c>
      <c r="E194" s="35"/>
      <c r="F194" s="128"/>
      <c r="G194" s="128"/>
      <c r="H194" s="128"/>
      <c r="I194" s="127">
        <f t="shared" si="116"/>
        <v>0</v>
      </c>
      <c r="J194" s="88"/>
      <c r="K194" s="129">
        <f t="shared" si="117"/>
        <v>51.821588</v>
      </c>
      <c r="L194" s="130">
        <v>0.6</v>
      </c>
      <c r="M194" s="129">
        <f t="shared" si="118"/>
        <v>34.54772533</v>
      </c>
      <c r="N194" s="130">
        <f t="shared" si="119"/>
        <v>0.4</v>
      </c>
      <c r="O194" s="131">
        <f t="array" ref="O194">INDEX('LPU Regionalizada'!$B$3:$N$785,MATCH($B194,'LPU Regionalizada'!$B$3:$B$785,0),MATCH(INDEX(CTRL!$F$3:$F$29,CTRL!$E$1),'LPU Regionalizada'!$B$3:$N$3,0))</f>
        <v>86.36931333</v>
      </c>
      <c r="P194" s="88"/>
      <c r="Q194" s="132">
        <f t="shared" si="120"/>
        <v>0</v>
      </c>
      <c r="R194" s="132">
        <f t="shared" si="121"/>
        <v>0</v>
      </c>
      <c r="S194" s="132">
        <f t="shared" si="122"/>
        <v>0</v>
      </c>
      <c r="T194" s="133">
        <f t="shared" si="123"/>
        <v>0</v>
      </c>
      <c r="U194" s="134">
        <f t="shared" si="3"/>
        <v>0</v>
      </c>
      <c r="V194" s="135"/>
      <c r="W194" s="136"/>
      <c r="X194" s="2"/>
      <c r="Y194" s="111"/>
      <c r="Z194" s="3"/>
    </row>
    <row r="195" ht="14.25" hidden="1" customHeight="1" outlineLevel="2">
      <c r="A195" s="124"/>
      <c r="B195" s="125" t="s">
        <v>421</v>
      </c>
      <c r="C195" s="126" t="s">
        <v>422</v>
      </c>
      <c r="D195" s="127" t="s">
        <v>76</v>
      </c>
      <c r="E195" s="35"/>
      <c r="F195" s="128"/>
      <c r="G195" s="128"/>
      <c r="H195" s="128"/>
      <c r="I195" s="127">
        <f t="shared" si="116"/>
        <v>0</v>
      </c>
      <c r="J195" s="88"/>
      <c r="K195" s="129">
        <f t="shared" si="117"/>
        <v>66.22107377</v>
      </c>
      <c r="L195" s="130">
        <v>0.6</v>
      </c>
      <c r="M195" s="129">
        <f t="shared" si="118"/>
        <v>44.14738251</v>
      </c>
      <c r="N195" s="130">
        <f t="shared" si="119"/>
        <v>0.4</v>
      </c>
      <c r="O195" s="131">
        <f t="array" ref="O195">INDEX('LPU Regionalizada'!$B$3:$N$785,MATCH($B195,'LPU Regionalizada'!$B$3:$B$785,0),MATCH(INDEX(CTRL!$F$3:$F$29,CTRL!$E$1),'LPU Regionalizada'!$B$3:$N$3,0))</f>
        <v>110.3684563</v>
      </c>
      <c r="P195" s="88"/>
      <c r="Q195" s="132">
        <f t="shared" si="120"/>
        <v>0</v>
      </c>
      <c r="R195" s="132">
        <f t="shared" si="121"/>
        <v>0</v>
      </c>
      <c r="S195" s="132">
        <f t="shared" si="122"/>
        <v>0</v>
      </c>
      <c r="T195" s="133">
        <f t="shared" si="123"/>
        <v>0</v>
      </c>
      <c r="U195" s="134">
        <f t="shared" si="3"/>
        <v>0</v>
      </c>
      <c r="V195" s="135"/>
      <c r="W195" s="136"/>
      <c r="X195" s="2"/>
      <c r="Y195" s="111"/>
      <c r="Z195" s="3"/>
    </row>
    <row r="196" ht="14.25" hidden="1" customHeight="1" outlineLevel="2">
      <c r="A196" s="124"/>
      <c r="B196" s="125" t="s">
        <v>423</v>
      </c>
      <c r="C196" s="126" t="s">
        <v>424</v>
      </c>
      <c r="D196" s="127" t="s">
        <v>425</v>
      </c>
      <c r="E196" s="35"/>
      <c r="F196" s="128"/>
      <c r="G196" s="128"/>
      <c r="H196" s="128"/>
      <c r="I196" s="127">
        <f t="shared" si="116"/>
        <v>0</v>
      </c>
      <c r="J196" s="88"/>
      <c r="K196" s="129">
        <f t="shared" si="117"/>
        <v>1.3482</v>
      </c>
      <c r="L196" s="130">
        <v>0.6</v>
      </c>
      <c r="M196" s="129">
        <f t="shared" si="118"/>
        <v>0.8988</v>
      </c>
      <c r="N196" s="130">
        <f t="shared" si="119"/>
        <v>0.4</v>
      </c>
      <c r="O196" s="131">
        <f t="array" ref="O196">INDEX('LPU Regionalizada'!$B$3:$N$785,MATCH($B196,'LPU Regionalizada'!$B$3:$B$785,0),MATCH(INDEX(CTRL!$F$3:$F$29,CTRL!$E$1),'LPU Regionalizada'!$B$3:$N$3,0))</f>
        <v>2.247</v>
      </c>
      <c r="P196" s="88"/>
      <c r="Q196" s="132">
        <f t="shared" si="120"/>
        <v>0</v>
      </c>
      <c r="R196" s="132">
        <f t="shared" si="121"/>
        <v>0</v>
      </c>
      <c r="S196" s="132">
        <f t="shared" si="122"/>
        <v>0</v>
      </c>
      <c r="T196" s="133">
        <f t="shared" si="123"/>
        <v>0</v>
      </c>
      <c r="U196" s="134">
        <f t="shared" si="3"/>
        <v>0</v>
      </c>
      <c r="V196" s="135"/>
      <c r="W196" s="136"/>
      <c r="X196" s="2"/>
      <c r="Y196" s="111"/>
      <c r="Z196" s="3"/>
    </row>
    <row r="197" ht="14.25" hidden="1" customHeight="1" outlineLevel="1">
      <c r="A197" s="112"/>
      <c r="B197" s="113" t="s">
        <v>426</v>
      </c>
      <c r="C197" s="114" t="s">
        <v>427</v>
      </c>
      <c r="D197" s="115"/>
      <c r="E197" s="35"/>
      <c r="F197" s="113"/>
      <c r="G197" s="116"/>
      <c r="H197" s="116"/>
      <c r="I197" s="115"/>
      <c r="J197" s="88"/>
      <c r="K197" s="117"/>
      <c r="L197" s="118"/>
      <c r="M197" s="118"/>
      <c r="N197" s="118"/>
      <c r="O197" s="119"/>
      <c r="P197" s="88"/>
      <c r="Q197" s="120"/>
      <c r="R197" s="120"/>
      <c r="S197" s="120"/>
      <c r="T197" s="120">
        <f>SUM(T198:T210)</f>
        <v>0</v>
      </c>
      <c r="U197" s="121">
        <f t="shared" si="3"/>
        <v>0</v>
      </c>
      <c r="V197" s="122"/>
      <c r="W197" s="123"/>
      <c r="X197" s="2"/>
      <c r="Y197" s="111"/>
      <c r="Z197" s="3"/>
    </row>
    <row r="198" ht="14.25" hidden="1" customHeight="1" outlineLevel="2">
      <c r="A198" s="124"/>
      <c r="B198" s="125" t="s">
        <v>428</v>
      </c>
      <c r="C198" s="126" t="s">
        <v>429</v>
      </c>
      <c r="D198" s="127" t="s">
        <v>76</v>
      </c>
      <c r="E198" s="35"/>
      <c r="F198" s="128"/>
      <c r="G198" s="128"/>
      <c r="H198" s="128"/>
      <c r="I198" s="127">
        <f t="shared" ref="I198:I210" si="124">F198+G198+H198</f>
        <v>0</v>
      </c>
      <c r="J198" s="88"/>
      <c r="K198" s="129">
        <f t="shared" ref="K198:K210" si="125">L198*O198</f>
        <v>3.02365063</v>
      </c>
      <c r="L198" s="130">
        <v>0.6</v>
      </c>
      <c r="M198" s="129">
        <f t="shared" ref="M198:M210" si="126">N198*O198</f>
        <v>2.015767087</v>
      </c>
      <c r="N198" s="130">
        <f t="shared" ref="N198:N210" si="127">100%-L198</f>
        <v>0.4</v>
      </c>
      <c r="O198" s="131">
        <f t="array" ref="O198">INDEX('LPU Regionalizada'!$B$3:$N$785,MATCH($B198,'LPU Regionalizada'!$B$3:$B$785,0),MATCH(INDEX(CTRL!$F$3:$F$29,CTRL!$E$1),'LPU Regionalizada'!$B$3:$N$3,0))</f>
        <v>5.039417717</v>
      </c>
      <c r="P198" s="88"/>
      <c r="Q198" s="132">
        <f t="shared" ref="Q198:Q210" si="128">F198*O198</f>
        <v>0</v>
      </c>
      <c r="R198" s="132">
        <f t="shared" ref="R198:R210" si="129">G198*O198</f>
        <v>0</v>
      </c>
      <c r="S198" s="132">
        <f t="shared" ref="S198:S210" si="130">H198*O198</f>
        <v>0</v>
      </c>
      <c r="T198" s="133">
        <f t="shared" ref="T198:T210" si="131">SUM(Q198:S198)</f>
        <v>0</v>
      </c>
      <c r="U198" s="134">
        <f t="shared" si="3"/>
        <v>0</v>
      </c>
      <c r="V198" s="135"/>
      <c r="W198" s="136"/>
      <c r="X198" s="2"/>
      <c r="Y198" s="111"/>
      <c r="Z198" s="3"/>
    </row>
    <row r="199" ht="14.25" hidden="1" customHeight="1" outlineLevel="2">
      <c r="A199" s="124"/>
      <c r="B199" s="125" t="s">
        <v>430</v>
      </c>
      <c r="C199" s="126" t="s">
        <v>431</v>
      </c>
      <c r="D199" s="127" t="s">
        <v>76</v>
      </c>
      <c r="E199" s="35"/>
      <c r="F199" s="128"/>
      <c r="G199" s="128"/>
      <c r="H199" s="128"/>
      <c r="I199" s="127">
        <f t="shared" si="124"/>
        <v>0</v>
      </c>
      <c r="J199" s="88"/>
      <c r="K199" s="129">
        <f t="shared" si="125"/>
        <v>10.2</v>
      </c>
      <c r="L199" s="130">
        <v>0.6</v>
      </c>
      <c r="M199" s="129">
        <f t="shared" si="126"/>
        <v>6.8</v>
      </c>
      <c r="N199" s="130">
        <f t="shared" si="127"/>
        <v>0.4</v>
      </c>
      <c r="O199" s="131">
        <f t="array" ref="O199">INDEX('LPU Regionalizada'!$B$3:$N$785,MATCH($B199,'LPU Regionalizada'!$B$3:$B$785,0),MATCH(INDEX(CTRL!$F$3:$F$29,CTRL!$E$1),'LPU Regionalizada'!$B$3:$N$3,0))</f>
        <v>17</v>
      </c>
      <c r="P199" s="88"/>
      <c r="Q199" s="132">
        <f t="shared" si="128"/>
        <v>0</v>
      </c>
      <c r="R199" s="132">
        <f t="shared" si="129"/>
        <v>0</v>
      </c>
      <c r="S199" s="132">
        <f t="shared" si="130"/>
        <v>0</v>
      </c>
      <c r="T199" s="133">
        <f t="shared" si="131"/>
        <v>0</v>
      </c>
      <c r="U199" s="134">
        <f t="shared" si="3"/>
        <v>0</v>
      </c>
      <c r="V199" s="135"/>
      <c r="W199" s="136"/>
      <c r="X199" s="2"/>
      <c r="Y199" s="111"/>
      <c r="Z199" s="3"/>
    </row>
    <row r="200" ht="14.25" hidden="1" customHeight="1" outlineLevel="2">
      <c r="A200" s="124"/>
      <c r="B200" s="125" t="s">
        <v>432</v>
      </c>
      <c r="C200" s="126" t="s">
        <v>433</v>
      </c>
      <c r="D200" s="127" t="s">
        <v>76</v>
      </c>
      <c r="E200" s="35"/>
      <c r="F200" s="128"/>
      <c r="G200" s="128"/>
      <c r="H200" s="128"/>
      <c r="I200" s="127">
        <f t="shared" si="124"/>
        <v>0</v>
      </c>
      <c r="J200" s="88"/>
      <c r="K200" s="129">
        <f t="shared" si="125"/>
        <v>15.34725</v>
      </c>
      <c r="L200" s="130">
        <v>0.6</v>
      </c>
      <c r="M200" s="129">
        <f t="shared" si="126"/>
        <v>10.2315</v>
      </c>
      <c r="N200" s="130">
        <f t="shared" si="127"/>
        <v>0.4</v>
      </c>
      <c r="O200" s="131">
        <f t="array" ref="O200">INDEX('LPU Regionalizada'!$B$3:$N$785,MATCH($B200,'LPU Regionalizada'!$B$3:$B$785,0),MATCH(INDEX(CTRL!$F$3:$F$29,CTRL!$E$1),'LPU Regionalizada'!$B$3:$N$3,0))</f>
        <v>25.57875</v>
      </c>
      <c r="P200" s="88"/>
      <c r="Q200" s="132">
        <f t="shared" si="128"/>
        <v>0</v>
      </c>
      <c r="R200" s="132">
        <f t="shared" si="129"/>
        <v>0</v>
      </c>
      <c r="S200" s="132">
        <f t="shared" si="130"/>
        <v>0</v>
      </c>
      <c r="T200" s="133">
        <f t="shared" si="131"/>
        <v>0</v>
      </c>
      <c r="U200" s="134">
        <f t="shared" si="3"/>
        <v>0</v>
      </c>
      <c r="V200" s="135"/>
      <c r="W200" s="136"/>
      <c r="X200" s="2"/>
      <c r="Y200" s="111"/>
      <c r="Z200" s="3"/>
    </row>
    <row r="201" ht="14.25" hidden="1" customHeight="1" outlineLevel="2">
      <c r="A201" s="124"/>
      <c r="B201" s="125" t="s">
        <v>434</v>
      </c>
      <c r="C201" s="126" t="s">
        <v>435</v>
      </c>
      <c r="D201" s="127" t="s">
        <v>76</v>
      </c>
      <c r="E201" s="35"/>
      <c r="F201" s="128"/>
      <c r="G201" s="128"/>
      <c r="H201" s="128"/>
      <c r="I201" s="127">
        <f t="shared" si="124"/>
        <v>0</v>
      </c>
      <c r="J201" s="88"/>
      <c r="K201" s="129">
        <f t="shared" si="125"/>
        <v>21.834</v>
      </c>
      <c r="L201" s="130">
        <v>0.6</v>
      </c>
      <c r="M201" s="129">
        <f t="shared" si="126"/>
        <v>14.556</v>
      </c>
      <c r="N201" s="130">
        <f t="shared" si="127"/>
        <v>0.4</v>
      </c>
      <c r="O201" s="131">
        <f t="array" ref="O201">INDEX('LPU Regionalizada'!$B$3:$N$785,MATCH($B201,'LPU Regionalizada'!$B$3:$B$785,0),MATCH(INDEX(CTRL!$F$3:$F$29,CTRL!$E$1),'LPU Regionalizada'!$B$3:$N$3,0))</f>
        <v>36.39</v>
      </c>
      <c r="P201" s="88"/>
      <c r="Q201" s="132">
        <f t="shared" si="128"/>
        <v>0</v>
      </c>
      <c r="R201" s="132">
        <f t="shared" si="129"/>
        <v>0</v>
      </c>
      <c r="S201" s="132">
        <f t="shared" si="130"/>
        <v>0</v>
      </c>
      <c r="T201" s="133">
        <f t="shared" si="131"/>
        <v>0</v>
      </c>
      <c r="U201" s="134">
        <f t="shared" si="3"/>
        <v>0</v>
      </c>
      <c r="V201" s="135"/>
      <c r="W201" s="136"/>
      <c r="X201" s="2"/>
      <c r="Y201" s="111"/>
      <c r="Z201" s="3"/>
    </row>
    <row r="202" ht="14.25" hidden="1" customHeight="1" outlineLevel="2">
      <c r="A202" s="124"/>
      <c r="B202" s="125" t="s">
        <v>436</v>
      </c>
      <c r="C202" s="126" t="s">
        <v>437</v>
      </c>
      <c r="D202" s="127" t="s">
        <v>180</v>
      </c>
      <c r="E202" s="35"/>
      <c r="F202" s="128"/>
      <c r="G202" s="128"/>
      <c r="H202" s="128"/>
      <c r="I202" s="127">
        <f t="shared" si="124"/>
        <v>0</v>
      </c>
      <c r="J202" s="88"/>
      <c r="K202" s="129">
        <f t="shared" si="125"/>
        <v>13.50828123</v>
      </c>
      <c r="L202" s="130">
        <v>0.6</v>
      </c>
      <c r="M202" s="129">
        <f t="shared" si="126"/>
        <v>9.005520822</v>
      </c>
      <c r="N202" s="130">
        <f t="shared" si="127"/>
        <v>0.4</v>
      </c>
      <c r="O202" s="131">
        <f t="array" ref="O202">INDEX('LPU Regionalizada'!$B$3:$N$785,MATCH($B202,'LPU Regionalizada'!$B$3:$B$785,0),MATCH(INDEX(CTRL!$F$3:$F$29,CTRL!$E$1),'LPU Regionalizada'!$B$3:$N$3,0))</f>
        <v>22.51380205</v>
      </c>
      <c r="P202" s="88"/>
      <c r="Q202" s="132">
        <f t="shared" si="128"/>
        <v>0</v>
      </c>
      <c r="R202" s="132">
        <f t="shared" si="129"/>
        <v>0</v>
      </c>
      <c r="S202" s="132">
        <f t="shared" si="130"/>
        <v>0</v>
      </c>
      <c r="T202" s="133">
        <f t="shared" si="131"/>
        <v>0</v>
      </c>
      <c r="U202" s="134">
        <f t="shared" si="3"/>
        <v>0</v>
      </c>
      <c r="V202" s="135"/>
      <c r="W202" s="136"/>
      <c r="X202" s="2"/>
      <c r="Y202" s="111"/>
      <c r="Z202" s="3"/>
    </row>
    <row r="203" ht="14.25" hidden="1" customHeight="1" outlineLevel="2">
      <c r="A203" s="124"/>
      <c r="B203" s="125" t="s">
        <v>438</v>
      </c>
      <c r="C203" s="126" t="s">
        <v>439</v>
      </c>
      <c r="D203" s="127" t="s">
        <v>76</v>
      </c>
      <c r="E203" s="35"/>
      <c r="F203" s="128"/>
      <c r="G203" s="128"/>
      <c r="H203" s="128"/>
      <c r="I203" s="127">
        <f t="shared" si="124"/>
        <v>0</v>
      </c>
      <c r="J203" s="88"/>
      <c r="K203" s="129">
        <f t="shared" si="125"/>
        <v>38.388</v>
      </c>
      <c r="L203" s="130">
        <v>0.6</v>
      </c>
      <c r="M203" s="129">
        <f t="shared" si="126"/>
        <v>25.592</v>
      </c>
      <c r="N203" s="130">
        <f t="shared" si="127"/>
        <v>0.4</v>
      </c>
      <c r="O203" s="131">
        <f t="array" ref="O203">INDEX('LPU Regionalizada'!$B$3:$N$785,MATCH($B203,'LPU Regionalizada'!$B$3:$B$785,0),MATCH(INDEX(CTRL!$F$3:$F$29,CTRL!$E$1),'LPU Regionalizada'!$B$3:$N$3,0))</f>
        <v>63.98</v>
      </c>
      <c r="P203" s="88"/>
      <c r="Q203" s="132">
        <f t="shared" si="128"/>
        <v>0</v>
      </c>
      <c r="R203" s="132">
        <f t="shared" si="129"/>
        <v>0</v>
      </c>
      <c r="S203" s="132">
        <f t="shared" si="130"/>
        <v>0</v>
      </c>
      <c r="T203" s="133">
        <f t="shared" si="131"/>
        <v>0</v>
      </c>
      <c r="U203" s="134">
        <f t="shared" si="3"/>
        <v>0</v>
      </c>
      <c r="V203" s="135"/>
      <c r="W203" s="136"/>
      <c r="X203" s="2"/>
      <c r="Y203" s="111"/>
      <c r="Z203" s="3"/>
    </row>
    <row r="204" ht="14.25" hidden="1" customHeight="1" outlineLevel="2">
      <c r="A204" s="124"/>
      <c r="B204" s="125" t="s">
        <v>440</v>
      </c>
      <c r="C204" s="126" t="s">
        <v>441</v>
      </c>
      <c r="D204" s="127" t="s">
        <v>76</v>
      </c>
      <c r="E204" s="35"/>
      <c r="F204" s="128"/>
      <c r="G204" s="128"/>
      <c r="H204" s="128"/>
      <c r="I204" s="127">
        <f t="shared" si="124"/>
        <v>0</v>
      </c>
      <c r="J204" s="88"/>
      <c r="K204" s="129">
        <f t="shared" si="125"/>
        <v>37.44</v>
      </c>
      <c r="L204" s="130">
        <v>0.6</v>
      </c>
      <c r="M204" s="129">
        <f t="shared" si="126"/>
        <v>24.96</v>
      </c>
      <c r="N204" s="130">
        <f t="shared" si="127"/>
        <v>0.4</v>
      </c>
      <c r="O204" s="131">
        <f t="array" ref="O204">INDEX('LPU Regionalizada'!$B$3:$N$785,MATCH($B204,'LPU Regionalizada'!$B$3:$B$785,0),MATCH(INDEX(CTRL!$F$3:$F$29,CTRL!$E$1),'LPU Regionalizada'!$B$3:$N$3,0))</f>
        <v>62.4</v>
      </c>
      <c r="P204" s="88"/>
      <c r="Q204" s="132">
        <f t="shared" si="128"/>
        <v>0</v>
      </c>
      <c r="R204" s="132">
        <f t="shared" si="129"/>
        <v>0</v>
      </c>
      <c r="S204" s="132">
        <f t="shared" si="130"/>
        <v>0</v>
      </c>
      <c r="T204" s="133">
        <f t="shared" si="131"/>
        <v>0</v>
      </c>
      <c r="U204" s="134">
        <f t="shared" si="3"/>
        <v>0</v>
      </c>
      <c r="V204" s="135"/>
      <c r="W204" s="136"/>
      <c r="X204" s="2"/>
      <c r="Y204" s="111"/>
      <c r="Z204" s="3"/>
    </row>
    <row r="205" ht="14.25" hidden="1" customHeight="1" outlineLevel="2">
      <c r="A205" s="124"/>
      <c r="B205" s="125" t="s">
        <v>442</v>
      </c>
      <c r="C205" s="126" t="s">
        <v>443</v>
      </c>
      <c r="D205" s="127" t="s">
        <v>76</v>
      </c>
      <c r="E205" s="35"/>
      <c r="F205" s="128"/>
      <c r="G205" s="128"/>
      <c r="H205" s="128"/>
      <c r="I205" s="127">
        <f t="shared" si="124"/>
        <v>0</v>
      </c>
      <c r="J205" s="88"/>
      <c r="K205" s="129">
        <f t="shared" si="125"/>
        <v>109.3341</v>
      </c>
      <c r="L205" s="130">
        <v>0.6</v>
      </c>
      <c r="M205" s="129">
        <f t="shared" si="126"/>
        <v>72.8894</v>
      </c>
      <c r="N205" s="130">
        <f t="shared" si="127"/>
        <v>0.4</v>
      </c>
      <c r="O205" s="131">
        <f t="array" ref="O205">INDEX('LPU Regionalizada'!$B$3:$N$785,MATCH($B205,'LPU Regionalizada'!$B$3:$B$785,0),MATCH(INDEX(CTRL!$F$3:$F$29,CTRL!$E$1),'LPU Regionalizada'!$B$3:$N$3,0))</f>
        <v>182.2235</v>
      </c>
      <c r="P205" s="88"/>
      <c r="Q205" s="132">
        <f t="shared" si="128"/>
        <v>0</v>
      </c>
      <c r="R205" s="132">
        <f t="shared" si="129"/>
        <v>0</v>
      </c>
      <c r="S205" s="132">
        <f t="shared" si="130"/>
        <v>0</v>
      </c>
      <c r="T205" s="133">
        <f t="shared" si="131"/>
        <v>0</v>
      </c>
      <c r="U205" s="134">
        <f t="shared" si="3"/>
        <v>0</v>
      </c>
      <c r="V205" s="135"/>
      <c r="W205" s="136"/>
      <c r="X205" s="2"/>
      <c r="Y205" s="111"/>
      <c r="Z205" s="3"/>
    </row>
    <row r="206" ht="14.25" hidden="1" customHeight="1" outlineLevel="2">
      <c r="A206" s="124"/>
      <c r="B206" s="125" t="s">
        <v>444</v>
      </c>
      <c r="C206" s="126" t="s">
        <v>445</v>
      </c>
      <c r="D206" s="127" t="s">
        <v>76</v>
      </c>
      <c r="E206" s="35"/>
      <c r="F206" s="128"/>
      <c r="G206" s="128"/>
      <c r="H206" s="128"/>
      <c r="I206" s="127">
        <f t="shared" si="124"/>
        <v>0</v>
      </c>
      <c r="J206" s="88"/>
      <c r="K206" s="129">
        <f t="shared" si="125"/>
        <v>243.36</v>
      </c>
      <c r="L206" s="130">
        <v>0.6</v>
      </c>
      <c r="M206" s="129">
        <f t="shared" si="126"/>
        <v>162.24</v>
      </c>
      <c r="N206" s="130">
        <f t="shared" si="127"/>
        <v>0.4</v>
      </c>
      <c r="O206" s="131">
        <f t="array" ref="O206">INDEX('LPU Regionalizada'!$B$3:$N$785,MATCH($B206,'LPU Regionalizada'!$B$3:$B$785,0),MATCH(INDEX(CTRL!$F$3:$F$29,CTRL!$E$1),'LPU Regionalizada'!$B$3:$N$3,0))</f>
        <v>405.6</v>
      </c>
      <c r="P206" s="88"/>
      <c r="Q206" s="132">
        <f t="shared" si="128"/>
        <v>0</v>
      </c>
      <c r="R206" s="132">
        <f t="shared" si="129"/>
        <v>0</v>
      </c>
      <c r="S206" s="132">
        <f t="shared" si="130"/>
        <v>0</v>
      </c>
      <c r="T206" s="133">
        <f t="shared" si="131"/>
        <v>0</v>
      </c>
      <c r="U206" s="134">
        <f t="shared" si="3"/>
        <v>0</v>
      </c>
      <c r="V206" s="135"/>
      <c r="W206" s="136"/>
      <c r="X206" s="2"/>
      <c r="Y206" s="111"/>
      <c r="Z206" s="3"/>
    </row>
    <row r="207" ht="14.25" hidden="1" customHeight="1" outlineLevel="2">
      <c r="A207" s="124"/>
      <c r="B207" s="125" t="s">
        <v>446</v>
      </c>
      <c r="C207" s="126" t="s">
        <v>447</v>
      </c>
      <c r="D207" s="127" t="s">
        <v>76</v>
      </c>
      <c r="E207" s="35"/>
      <c r="F207" s="128"/>
      <c r="G207" s="128"/>
      <c r="H207" s="128"/>
      <c r="I207" s="127">
        <f t="shared" si="124"/>
        <v>0</v>
      </c>
      <c r="J207" s="88"/>
      <c r="K207" s="129">
        <f t="shared" si="125"/>
        <v>312.7310261</v>
      </c>
      <c r="L207" s="130">
        <v>0.6</v>
      </c>
      <c r="M207" s="129">
        <f t="shared" si="126"/>
        <v>208.4873507</v>
      </c>
      <c r="N207" s="130">
        <f t="shared" si="127"/>
        <v>0.4</v>
      </c>
      <c r="O207" s="131">
        <f t="array" ref="O207">INDEX('LPU Regionalizada'!$B$3:$N$785,MATCH($B207,'LPU Regionalizada'!$B$3:$B$785,0),MATCH(INDEX(CTRL!$F$3:$F$29,CTRL!$E$1),'LPU Regionalizada'!$B$3:$N$3,0))</f>
        <v>521.2183768</v>
      </c>
      <c r="P207" s="88"/>
      <c r="Q207" s="132">
        <f t="shared" si="128"/>
        <v>0</v>
      </c>
      <c r="R207" s="132">
        <f t="shared" si="129"/>
        <v>0</v>
      </c>
      <c r="S207" s="132">
        <f t="shared" si="130"/>
        <v>0</v>
      </c>
      <c r="T207" s="133">
        <f t="shared" si="131"/>
        <v>0</v>
      </c>
      <c r="U207" s="134">
        <f t="shared" si="3"/>
        <v>0</v>
      </c>
      <c r="V207" s="135"/>
      <c r="W207" s="136"/>
      <c r="X207" s="2"/>
      <c r="Y207" s="111"/>
      <c r="Z207" s="3"/>
    </row>
    <row r="208" ht="14.25" hidden="1" customHeight="1" outlineLevel="2">
      <c r="A208" s="124"/>
      <c r="B208" s="125" t="s">
        <v>448</v>
      </c>
      <c r="C208" s="126" t="s">
        <v>449</v>
      </c>
      <c r="D208" s="127" t="s">
        <v>76</v>
      </c>
      <c r="E208" s="35"/>
      <c r="F208" s="128"/>
      <c r="G208" s="128"/>
      <c r="H208" s="128"/>
      <c r="I208" s="127">
        <f t="shared" si="124"/>
        <v>0</v>
      </c>
      <c r="J208" s="88"/>
      <c r="K208" s="129">
        <f t="shared" si="125"/>
        <v>65.337</v>
      </c>
      <c r="L208" s="130">
        <v>0.6</v>
      </c>
      <c r="M208" s="129">
        <f t="shared" si="126"/>
        <v>43.558</v>
      </c>
      <c r="N208" s="130">
        <f t="shared" si="127"/>
        <v>0.4</v>
      </c>
      <c r="O208" s="131">
        <f t="array" ref="O208">INDEX('LPU Regionalizada'!$B$3:$N$785,MATCH($B208,'LPU Regionalizada'!$B$3:$B$785,0),MATCH(INDEX(CTRL!$F$3:$F$29,CTRL!$E$1),'LPU Regionalizada'!$B$3:$N$3,0))</f>
        <v>108.895</v>
      </c>
      <c r="P208" s="88"/>
      <c r="Q208" s="132">
        <f t="shared" si="128"/>
        <v>0</v>
      </c>
      <c r="R208" s="132">
        <f t="shared" si="129"/>
        <v>0</v>
      </c>
      <c r="S208" s="132">
        <f t="shared" si="130"/>
        <v>0</v>
      </c>
      <c r="T208" s="133">
        <f t="shared" si="131"/>
        <v>0</v>
      </c>
      <c r="U208" s="134">
        <f t="shared" si="3"/>
        <v>0</v>
      </c>
      <c r="V208" s="135"/>
      <c r="W208" s="136"/>
      <c r="X208" s="2"/>
      <c r="Y208" s="111"/>
      <c r="Z208" s="3"/>
    </row>
    <row r="209" ht="14.25" hidden="1" customHeight="1" outlineLevel="2">
      <c r="A209" s="124"/>
      <c r="B209" s="125" t="s">
        <v>450</v>
      </c>
      <c r="C209" s="126" t="s">
        <v>451</v>
      </c>
      <c r="D209" s="127" t="s">
        <v>76</v>
      </c>
      <c r="E209" s="35"/>
      <c r="F209" s="128"/>
      <c r="G209" s="128"/>
      <c r="H209" s="128"/>
      <c r="I209" s="127">
        <f t="shared" si="124"/>
        <v>0</v>
      </c>
      <c r="J209" s="88"/>
      <c r="K209" s="129">
        <f t="shared" si="125"/>
        <v>86.09085</v>
      </c>
      <c r="L209" s="130">
        <v>0.6</v>
      </c>
      <c r="M209" s="129">
        <f t="shared" si="126"/>
        <v>57.3939</v>
      </c>
      <c r="N209" s="130">
        <f t="shared" si="127"/>
        <v>0.4</v>
      </c>
      <c r="O209" s="131">
        <f t="array" ref="O209">INDEX('LPU Regionalizada'!$B$3:$N$785,MATCH($B209,'LPU Regionalizada'!$B$3:$B$785,0),MATCH(INDEX(CTRL!$F$3:$F$29,CTRL!$E$1),'LPU Regionalizada'!$B$3:$N$3,0))</f>
        <v>143.48475</v>
      </c>
      <c r="P209" s="88"/>
      <c r="Q209" s="132">
        <f t="shared" si="128"/>
        <v>0</v>
      </c>
      <c r="R209" s="132">
        <f t="shared" si="129"/>
        <v>0</v>
      </c>
      <c r="S209" s="132">
        <f t="shared" si="130"/>
        <v>0</v>
      </c>
      <c r="T209" s="133">
        <f t="shared" si="131"/>
        <v>0</v>
      </c>
      <c r="U209" s="134">
        <f t="shared" si="3"/>
        <v>0</v>
      </c>
      <c r="V209" s="135"/>
      <c r="W209" s="136"/>
      <c r="X209" s="2"/>
      <c r="Y209" s="111"/>
      <c r="Z209" s="3"/>
    </row>
    <row r="210" ht="14.25" hidden="1" customHeight="1" outlineLevel="2">
      <c r="A210" s="124"/>
      <c r="B210" s="125" t="s">
        <v>452</v>
      </c>
      <c r="C210" s="126" t="s">
        <v>453</v>
      </c>
      <c r="D210" s="127" t="s">
        <v>180</v>
      </c>
      <c r="E210" s="35"/>
      <c r="F210" s="128"/>
      <c r="G210" s="128"/>
      <c r="H210" s="128"/>
      <c r="I210" s="127">
        <f t="shared" si="124"/>
        <v>0</v>
      </c>
      <c r="J210" s="88"/>
      <c r="K210" s="129">
        <f t="shared" si="125"/>
        <v>73.632195</v>
      </c>
      <c r="L210" s="130">
        <v>0.6</v>
      </c>
      <c r="M210" s="129">
        <f t="shared" si="126"/>
        <v>49.08813</v>
      </c>
      <c r="N210" s="130">
        <f t="shared" si="127"/>
        <v>0.4</v>
      </c>
      <c r="O210" s="131">
        <f t="array" ref="O210">INDEX('LPU Regionalizada'!$B$3:$N$785,MATCH($B210,'LPU Regionalizada'!$B$3:$B$785,0),MATCH(INDEX(CTRL!$F$3:$F$29,CTRL!$E$1),'LPU Regionalizada'!$B$3:$N$3,0))</f>
        <v>122.720325</v>
      </c>
      <c r="P210" s="88"/>
      <c r="Q210" s="132">
        <f t="shared" si="128"/>
        <v>0</v>
      </c>
      <c r="R210" s="132">
        <f t="shared" si="129"/>
        <v>0</v>
      </c>
      <c r="S210" s="132">
        <f t="shared" si="130"/>
        <v>0</v>
      </c>
      <c r="T210" s="133">
        <f t="shared" si="131"/>
        <v>0</v>
      </c>
      <c r="U210" s="134">
        <f t="shared" si="3"/>
        <v>0</v>
      </c>
      <c r="V210" s="135"/>
      <c r="W210" s="136"/>
      <c r="X210" s="2"/>
      <c r="Y210" s="111"/>
      <c r="Z210" s="3"/>
    </row>
    <row r="211" ht="14.25" hidden="1" customHeight="1" outlineLevel="1">
      <c r="A211" s="112"/>
      <c r="B211" s="113" t="s">
        <v>454</v>
      </c>
      <c r="C211" s="114" t="s">
        <v>455</v>
      </c>
      <c r="D211" s="115"/>
      <c r="E211" s="35"/>
      <c r="F211" s="113"/>
      <c r="G211" s="116"/>
      <c r="H211" s="116"/>
      <c r="I211" s="115"/>
      <c r="J211" s="88"/>
      <c r="K211" s="117"/>
      <c r="L211" s="118"/>
      <c r="M211" s="118"/>
      <c r="N211" s="118"/>
      <c r="O211" s="119"/>
      <c r="P211" s="88"/>
      <c r="Q211" s="120"/>
      <c r="R211" s="120"/>
      <c r="S211" s="120"/>
      <c r="T211" s="120">
        <f>SUM(T212:T224)</f>
        <v>0</v>
      </c>
      <c r="U211" s="121">
        <f t="shared" si="3"/>
        <v>0</v>
      </c>
      <c r="V211" s="122"/>
      <c r="W211" s="123"/>
      <c r="X211" s="2"/>
      <c r="Y211" s="111"/>
      <c r="Z211" s="3"/>
    </row>
    <row r="212" ht="14.25" hidden="1" customHeight="1" outlineLevel="2">
      <c r="A212" s="124"/>
      <c r="B212" s="125" t="s">
        <v>456</v>
      </c>
      <c r="C212" s="126" t="s">
        <v>457</v>
      </c>
      <c r="D212" s="127" t="s">
        <v>76</v>
      </c>
      <c r="E212" s="35"/>
      <c r="F212" s="128"/>
      <c r="G212" s="128"/>
      <c r="H212" s="128"/>
      <c r="I212" s="127">
        <f t="shared" ref="I212:I224" si="132">F212+G212+H212</f>
        <v>0</v>
      </c>
      <c r="J212" s="88"/>
      <c r="K212" s="129">
        <f t="shared" ref="K212:K224" si="133">L212*O212</f>
        <v>1.335</v>
      </c>
      <c r="L212" s="130">
        <v>0.6</v>
      </c>
      <c r="M212" s="129">
        <f t="shared" ref="M212:M224" si="134">N212*O212</f>
        <v>0.89</v>
      </c>
      <c r="N212" s="130">
        <f t="shared" ref="N212:N224" si="135">100%-L212</f>
        <v>0.4</v>
      </c>
      <c r="O212" s="131">
        <f t="array" ref="O212">INDEX('LPU Regionalizada'!$B$3:$N$785,MATCH($B212,'LPU Regionalizada'!$B$3:$B$785,0),MATCH(INDEX(CTRL!$F$3:$F$29,CTRL!$E$1),'LPU Regionalizada'!$B$3:$N$3,0))</f>
        <v>2.225</v>
      </c>
      <c r="P212" s="88"/>
      <c r="Q212" s="132">
        <f t="shared" ref="Q212:Q224" si="136">F212*O212</f>
        <v>0</v>
      </c>
      <c r="R212" s="132">
        <f t="shared" ref="R212:R224" si="137">G212*O212</f>
        <v>0</v>
      </c>
      <c r="S212" s="132">
        <f t="shared" ref="S212:S224" si="138">H212*O212</f>
        <v>0</v>
      </c>
      <c r="T212" s="133">
        <f t="shared" ref="T212:T224" si="139">SUM(Q212:S212)</f>
        <v>0</v>
      </c>
      <c r="U212" s="134">
        <f t="shared" si="3"/>
        <v>0</v>
      </c>
      <c r="V212" s="135"/>
      <c r="W212" s="136"/>
      <c r="X212" s="2"/>
      <c r="Y212" s="111"/>
      <c r="Z212" s="3"/>
    </row>
    <row r="213" ht="14.25" hidden="1" customHeight="1" outlineLevel="2">
      <c r="A213" s="124"/>
      <c r="B213" s="125" t="s">
        <v>458</v>
      </c>
      <c r="C213" s="126" t="s">
        <v>459</v>
      </c>
      <c r="D213" s="127" t="s">
        <v>460</v>
      </c>
      <c r="E213" s="35"/>
      <c r="F213" s="128"/>
      <c r="G213" s="128"/>
      <c r="H213" s="128"/>
      <c r="I213" s="127">
        <f t="shared" si="132"/>
        <v>0</v>
      </c>
      <c r="J213" s="88"/>
      <c r="K213" s="129">
        <f t="shared" si="133"/>
        <v>5.336997363</v>
      </c>
      <c r="L213" s="130">
        <v>0.6</v>
      </c>
      <c r="M213" s="129">
        <f t="shared" si="134"/>
        <v>3.557998242</v>
      </c>
      <c r="N213" s="130">
        <f t="shared" si="135"/>
        <v>0.4</v>
      </c>
      <c r="O213" s="131">
        <f t="array" ref="O213">INDEX('LPU Regionalizada'!$B$3:$N$785,MATCH($B213,'LPU Regionalizada'!$B$3:$B$785,0),MATCH(INDEX(CTRL!$F$3:$F$29,CTRL!$E$1),'LPU Regionalizada'!$B$3:$N$3,0))</f>
        <v>8.894995605</v>
      </c>
      <c r="P213" s="88"/>
      <c r="Q213" s="132">
        <f t="shared" si="136"/>
        <v>0</v>
      </c>
      <c r="R213" s="132">
        <f t="shared" si="137"/>
        <v>0</v>
      </c>
      <c r="S213" s="132">
        <f t="shared" si="138"/>
        <v>0</v>
      </c>
      <c r="T213" s="133">
        <f t="shared" si="139"/>
        <v>0</v>
      </c>
      <c r="U213" s="134">
        <f t="shared" si="3"/>
        <v>0</v>
      </c>
      <c r="V213" s="135"/>
      <c r="W213" s="136"/>
      <c r="X213" s="2"/>
      <c r="Y213" s="111"/>
      <c r="Z213" s="3"/>
    </row>
    <row r="214" ht="14.25" hidden="1" customHeight="1" outlineLevel="2">
      <c r="A214" s="124"/>
      <c r="B214" s="125" t="s">
        <v>461</v>
      </c>
      <c r="C214" s="126" t="s">
        <v>462</v>
      </c>
      <c r="D214" s="127" t="s">
        <v>460</v>
      </c>
      <c r="E214" s="35"/>
      <c r="F214" s="128"/>
      <c r="G214" s="128"/>
      <c r="H214" s="128"/>
      <c r="I214" s="127">
        <f t="shared" si="132"/>
        <v>0</v>
      </c>
      <c r="J214" s="88"/>
      <c r="K214" s="129">
        <f t="shared" si="133"/>
        <v>113.5224</v>
      </c>
      <c r="L214" s="130">
        <v>0.6</v>
      </c>
      <c r="M214" s="129">
        <f t="shared" si="134"/>
        <v>75.6816</v>
      </c>
      <c r="N214" s="130">
        <f t="shared" si="135"/>
        <v>0.4</v>
      </c>
      <c r="O214" s="131">
        <f t="array" ref="O214">INDEX('LPU Regionalizada'!$B$3:$N$785,MATCH($B214,'LPU Regionalizada'!$B$3:$B$785,0),MATCH(INDEX(CTRL!$F$3:$F$29,CTRL!$E$1),'LPU Regionalizada'!$B$3:$N$3,0))</f>
        <v>189.204</v>
      </c>
      <c r="P214" s="88"/>
      <c r="Q214" s="132">
        <f t="shared" si="136"/>
        <v>0</v>
      </c>
      <c r="R214" s="132">
        <f t="shared" si="137"/>
        <v>0</v>
      </c>
      <c r="S214" s="132">
        <f t="shared" si="138"/>
        <v>0</v>
      </c>
      <c r="T214" s="133">
        <f t="shared" si="139"/>
        <v>0</v>
      </c>
      <c r="U214" s="134">
        <f t="shared" si="3"/>
        <v>0</v>
      </c>
      <c r="V214" s="135"/>
      <c r="W214" s="136"/>
      <c r="X214" s="2"/>
      <c r="Y214" s="111"/>
      <c r="Z214" s="3"/>
    </row>
    <row r="215" ht="14.25" hidden="1" customHeight="1" outlineLevel="2">
      <c r="A215" s="124"/>
      <c r="B215" s="125" t="s">
        <v>463</v>
      </c>
      <c r="C215" s="126" t="s">
        <v>464</v>
      </c>
      <c r="D215" s="127" t="s">
        <v>76</v>
      </c>
      <c r="E215" s="35"/>
      <c r="F215" s="128"/>
      <c r="G215" s="128"/>
      <c r="H215" s="128"/>
      <c r="I215" s="127">
        <f t="shared" si="132"/>
        <v>0</v>
      </c>
      <c r="J215" s="88"/>
      <c r="K215" s="129">
        <f t="shared" si="133"/>
        <v>27.14088131</v>
      </c>
      <c r="L215" s="130">
        <v>0.6</v>
      </c>
      <c r="M215" s="129">
        <f t="shared" si="134"/>
        <v>18.09392087</v>
      </c>
      <c r="N215" s="130">
        <f t="shared" si="135"/>
        <v>0.4</v>
      </c>
      <c r="O215" s="131">
        <f t="array" ref="O215">INDEX('LPU Regionalizada'!$B$3:$N$785,MATCH($B215,'LPU Regionalizada'!$B$3:$B$785,0),MATCH(INDEX(CTRL!$F$3:$F$29,CTRL!$E$1),'LPU Regionalizada'!$B$3:$N$3,0))</f>
        <v>45.23480218</v>
      </c>
      <c r="P215" s="88"/>
      <c r="Q215" s="132">
        <f t="shared" si="136"/>
        <v>0</v>
      </c>
      <c r="R215" s="132">
        <f t="shared" si="137"/>
        <v>0</v>
      </c>
      <c r="S215" s="132">
        <f t="shared" si="138"/>
        <v>0</v>
      </c>
      <c r="T215" s="133">
        <f t="shared" si="139"/>
        <v>0</v>
      </c>
      <c r="U215" s="134">
        <f t="shared" si="3"/>
        <v>0</v>
      </c>
      <c r="V215" s="135"/>
      <c r="W215" s="136"/>
      <c r="X215" s="2"/>
      <c r="Y215" s="111"/>
      <c r="Z215" s="3"/>
    </row>
    <row r="216" ht="14.25" hidden="1" customHeight="1" outlineLevel="2">
      <c r="A216" s="124"/>
      <c r="B216" s="125" t="s">
        <v>465</v>
      </c>
      <c r="C216" s="126" t="s">
        <v>466</v>
      </c>
      <c r="D216" s="127" t="s">
        <v>76</v>
      </c>
      <c r="E216" s="35"/>
      <c r="F216" s="128"/>
      <c r="G216" s="128"/>
      <c r="H216" s="128"/>
      <c r="I216" s="127">
        <f t="shared" si="132"/>
        <v>0</v>
      </c>
      <c r="J216" s="88"/>
      <c r="K216" s="129">
        <f t="shared" si="133"/>
        <v>27.3577767</v>
      </c>
      <c r="L216" s="130">
        <v>0.6</v>
      </c>
      <c r="M216" s="129">
        <f t="shared" si="134"/>
        <v>18.2385178</v>
      </c>
      <c r="N216" s="130">
        <f t="shared" si="135"/>
        <v>0.4</v>
      </c>
      <c r="O216" s="131">
        <f t="array" ref="O216">INDEX('LPU Regionalizada'!$B$3:$N$785,MATCH($B216,'LPU Regionalizada'!$B$3:$B$785,0),MATCH(INDEX(CTRL!$F$3:$F$29,CTRL!$E$1),'LPU Regionalizada'!$B$3:$N$3,0))</f>
        <v>45.5962945</v>
      </c>
      <c r="P216" s="88"/>
      <c r="Q216" s="132">
        <f t="shared" si="136"/>
        <v>0</v>
      </c>
      <c r="R216" s="132">
        <f t="shared" si="137"/>
        <v>0</v>
      </c>
      <c r="S216" s="132">
        <f t="shared" si="138"/>
        <v>0</v>
      </c>
      <c r="T216" s="133">
        <f t="shared" si="139"/>
        <v>0</v>
      </c>
      <c r="U216" s="134">
        <f t="shared" si="3"/>
        <v>0</v>
      </c>
      <c r="V216" s="135"/>
      <c r="W216" s="136"/>
      <c r="X216" s="2"/>
      <c r="Y216" s="111"/>
      <c r="Z216" s="3"/>
    </row>
    <row r="217" ht="14.25" hidden="1" customHeight="1" outlineLevel="2">
      <c r="A217" s="124"/>
      <c r="B217" s="125" t="s">
        <v>467</v>
      </c>
      <c r="C217" s="126" t="s">
        <v>468</v>
      </c>
      <c r="D217" s="127" t="s">
        <v>76</v>
      </c>
      <c r="E217" s="35"/>
      <c r="F217" s="128"/>
      <c r="G217" s="128"/>
      <c r="H217" s="128"/>
      <c r="I217" s="127">
        <f t="shared" si="132"/>
        <v>0</v>
      </c>
      <c r="J217" s="88"/>
      <c r="K217" s="129">
        <f t="shared" si="133"/>
        <v>48.52545525</v>
      </c>
      <c r="L217" s="130">
        <v>0.6</v>
      </c>
      <c r="M217" s="129">
        <f t="shared" si="134"/>
        <v>32.3503035</v>
      </c>
      <c r="N217" s="130">
        <f t="shared" si="135"/>
        <v>0.4</v>
      </c>
      <c r="O217" s="131">
        <f t="array" ref="O217">INDEX('LPU Regionalizada'!$B$3:$N$785,MATCH($B217,'LPU Regionalizada'!$B$3:$B$785,0),MATCH(INDEX(CTRL!$F$3:$F$29,CTRL!$E$1),'LPU Regionalizada'!$B$3:$N$3,0))</f>
        <v>80.87575875</v>
      </c>
      <c r="P217" s="88"/>
      <c r="Q217" s="132">
        <f t="shared" si="136"/>
        <v>0</v>
      </c>
      <c r="R217" s="132">
        <f t="shared" si="137"/>
        <v>0</v>
      </c>
      <c r="S217" s="132">
        <f t="shared" si="138"/>
        <v>0</v>
      </c>
      <c r="T217" s="133">
        <f t="shared" si="139"/>
        <v>0</v>
      </c>
      <c r="U217" s="134">
        <f t="shared" si="3"/>
        <v>0</v>
      </c>
      <c r="V217" s="135"/>
      <c r="W217" s="136"/>
      <c r="X217" s="2"/>
      <c r="Y217" s="111"/>
      <c r="Z217" s="3"/>
    </row>
    <row r="218" ht="14.25" hidden="1" customHeight="1" outlineLevel="2">
      <c r="A218" s="124"/>
      <c r="B218" s="125" t="s">
        <v>469</v>
      </c>
      <c r="C218" s="126" t="s">
        <v>470</v>
      </c>
      <c r="D218" s="127" t="s">
        <v>76</v>
      </c>
      <c r="E218" s="35"/>
      <c r="F218" s="128"/>
      <c r="G218" s="128"/>
      <c r="H218" s="128"/>
      <c r="I218" s="127">
        <f t="shared" si="132"/>
        <v>0</v>
      </c>
      <c r="J218" s="88"/>
      <c r="K218" s="129">
        <f t="shared" si="133"/>
        <v>56.57988692</v>
      </c>
      <c r="L218" s="130">
        <v>0.6</v>
      </c>
      <c r="M218" s="129">
        <f t="shared" si="134"/>
        <v>37.71992462</v>
      </c>
      <c r="N218" s="130">
        <f t="shared" si="135"/>
        <v>0.4</v>
      </c>
      <c r="O218" s="131">
        <f t="array" ref="O218">INDEX('LPU Regionalizada'!$B$3:$N$785,MATCH($B218,'LPU Regionalizada'!$B$3:$B$785,0),MATCH(INDEX(CTRL!$F$3:$F$29,CTRL!$E$1),'LPU Regionalizada'!$B$3:$N$3,0))</f>
        <v>94.29981154</v>
      </c>
      <c r="P218" s="88"/>
      <c r="Q218" s="132">
        <f t="shared" si="136"/>
        <v>0</v>
      </c>
      <c r="R218" s="132">
        <f t="shared" si="137"/>
        <v>0</v>
      </c>
      <c r="S218" s="132">
        <f t="shared" si="138"/>
        <v>0</v>
      </c>
      <c r="T218" s="133">
        <f t="shared" si="139"/>
        <v>0</v>
      </c>
      <c r="U218" s="134">
        <f t="shared" si="3"/>
        <v>0</v>
      </c>
      <c r="V218" s="135"/>
      <c r="W218" s="136"/>
      <c r="X218" s="2"/>
      <c r="Y218" s="111"/>
      <c r="Z218" s="3"/>
    </row>
    <row r="219" ht="14.25" hidden="1" customHeight="1" outlineLevel="2">
      <c r="A219" s="124"/>
      <c r="B219" s="125" t="s">
        <v>471</v>
      </c>
      <c r="C219" s="126" t="s">
        <v>472</v>
      </c>
      <c r="D219" s="127" t="s">
        <v>76</v>
      </c>
      <c r="E219" s="35"/>
      <c r="F219" s="128"/>
      <c r="G219" s="128"/>
      <c r="H219" s="128"/>
      <c r="I219" s="127">
        <f t="shared" si="132"/>
        <v>0</v>
      </c>
      <c r="J219" s="88"/>
      <c r="K219" s="129">
        <f t="shared" si="133"/>
        <v>52.63788</v>
      </c>
      <c r="L219" s="130">
        <v>0.6</v>
      </c>
      <c r="M219" s="129">
        <f t="shared" si="134"/>
        <v>35.09192</v>
      </c>
      <c r="N219" s="130">
        <f t="shared" si="135"/>
        <v>0.4</v>
      </c>
      <c r="O219" s="131">
        <f t="array" ref="O219">INDEX('LPU Regionalizada'!$B$3:$N$785,MATCH($B219,'LPU Regionalizada'!$B$3:$B$785,0),MATCH(INDEX(CTRL!$F$3:$F$29,CTRL!$E$1),'LPU Regionalizada'!$B$3:$N$3,0))</f>
        <v>87.7298</v>
      </c>
      <c r="P219" s="88"/>
      <c r="Q219" s="132">
        <f t="shared" si="136"/>
        <v>0</v>
      </c>
      <c r="R219" s="132">
        <f t="shared" si="137"/>
        <v>0</v>
      </c>
      <c r="S219" s="132">
        <f t="shared" si="138"/>
        <v>0</v>
      </c>
      <c r="T219" s="133">
        <f t="shared" si="139"/>
        <v>0</v>
      </c>
      <c r="U219" s="134">
        <f t="shared" si="3"/>
        <v>0</v>
      </c>
      <c r="V219" s="135"/>
      <c r="W219" s="136"/>
      <c r="X219" s="2"/>
      <c r="Y219" s="111"/>
      <c r="Z219" s="3"/>
    </row>
    <row r="220" ht="14.25" hidden="1" customHeight="1" outlineLevel="2">
      <c r="A220" s="124"/>
      <c r="B220" s="125" t="s">
        <v>473</v>
      </c>
      <c r="C220" s="126" t="s">
        <v>474</v>
      </c>
      <c r="D220" s="127" t="s">
        <v>475</v>
      </c>
      <c r="E220" s="35"/>
      <c r="F220" s="128"/>
      <c r="G220" s="128"/>
      <c r="H220" s="128"/>
      <c r="I220" s="127">
        <f t="shared" si="132"/>
        <v>0</v>
      </c>
      <c r="J220" s="88"/>
      <c r="K220" s="129">
        <f t="shared" si="133"/>
        <v>109.7848033</v>
      </c>
      <c r="L220" s="130">
        <v>0.6</v>
      </c>
      <c r="M220" s="129">
        <f t="shared" si="134"/>
        <v>73.18986887</v>
      </c>
      <c r="N220" s="130">
        <f t="shared" si="135"/>
        <v>0.4</v>
      </c>
      <c r="O220" s="131">
        <f t="array" ref="O220">INDEX('LPU Regionalizada'!$B$3:$N$785,MATCH($B220,'LPU Regionalizada'!$B$3:$B$785,0),MATCH(INDEX(CTRL!$F$3:$F$29,CTRL!$E$1),'LPU Regionalizada'!$B$3:$N$3,0))</f>
        <v>182.9746722</v>
      </c>
      <c r="P220" s="88"/>
      <c r="Q220" s="132">
        <f t="shared" si="136"/>
        <v>0</v>
      </c>
      <c r="R220" s="132">
        <f t="shared" si="137"/>
        <v>0</v>
      </c>
      <c r="S220" s="132">
        <f t="shared" si="138"/>
        <v>0</v>
      </c>
      <c r="T220" s="133">
        <f t="shared" si="139"/>
        <v>0</v>
      </c>
      <c r="U220" s="134">
        <f t="shared" si="3"/>
        <v>0</v>
      </c>
      <c r="V220" s="135"/>
      <c r="W220" s="136"/>
      <c r="X220" s="2"/>
      <c r="Y220" s="111"/>
      <c r="Z220" s="3"/>
    </row>
    <row r="221" ht="14.25" hidden="1" customHeight="1" outlineLevel="2">
      <c r="A221" s="124"/>
      <c r="B221" s="125" t="s">
        <v>476</v>
      </c>
      <c r="C221" s="126" t="s">
        <v>477</v>
      </c>
      <c r="D221" s="127" t="s">
        <v>76</v>
      </c>
      <c r="E221" s="35"/>
      <c r="F221" s="128"/>
      <c r="G221" s="128"/>
      <c r="H221" s="128">
        <v>0.0</v>
      </c>
      <c r="I221" s="127">
        <f t="shared" si="132"/>
        <v>0</v>
      </c>
      <c r="J221" s="88"/>
      <c r="K221" s="129">
        <f t="shared" si="133"/>
        <v>84.50676293</v>
      </c>
      <c r="L221" s="130">
        <v>0.6</v>
      </c>
      <c r="M221" s="129">
        <f t="shared" si="134"/>
        <v>56.33784195</v>
      </c>
      <c r="N221" s="130">
        <f t="shared" si="135"/>
        <v>0.4</v>
      </c>
      <c r="O221" s="131">
        <f t="array" ref="O221">INDEX('LPU Regionalizada'!$B$3:$N$785,MATCH($B221,'LPU Regionalizada'!$B$3:$B$785,0),MATCH(INDEX(CTRL!$F$3:$F$29,CTRL!$E$1),'LPU Regionalizada'!$B$3:$N$3,0))</f>
        <v>140.8446049</v>
      </c>
      <c r="P221" s="88"/>
      <c r="Q221" s="132">
        <f t="shared" si="136"/>
        <v>0</v>
      </c>
      <c r="R221" s="132">
        <f t="shared" si="137"/>
        <v>0</v>
      </c>
      <c r="S221" s="132">
        <f t="shared" si="138"/>
        <v>0</v>
      </c>
      <c r="T221" s="133">
        <f t="shared" si="139"/>
        <v>0</v>
      </c>
      <c r="U221" s="134">
        <f t="shared" si="3"/>
        <v>0</v>
      </c>
      <c r="V221" s="135"/>
      <c r="W221" s="136"/>
      <c r="X221" s="2"/>
      <c r="Y221" s="111"/>
      <c r="Z221" s="3"/>
    </row>
    <row r="222" ht="14.25" hidden="1" customHeight="1" outlineLevel="2">
      <c r="A222" s="124"/>
      <c r="B222" s="125" t="s">
        <v>478</v>
      </c>
      <c r="C222" s="126" t="s">
        <v>479</v>
      </c>
      <c r="D222" s="127" t="s">
        <v>76</v>
      </c>
      <c r="E222" s="35"/>
      <c r="F222" s="128"/>
      <c r="G222" s="128"/>
      <c r="H222" s="128"/>
      <c r="I222" s="127">
        <f t="shared" si="132"/>
        <v>0</v>
      </c>
      <c r="J222" s="88"/>
      <c r="K222" s="129">
        <f t="shared" si="133"/>
        <v>58.6416</v>
      </c>
      <c r="L222" s="130">
        <v>0.6</v>
      </c>
      <c r="M222" s="129">
        <f t="shared" si="134"/>
        <v>39.0944</v>
      </c>
      <c r="N222" s="130">
        <f t="shared" si="135"/>
        <v>0.4</v>
      </c>
      <c r="O222" s="131">
        <f t="array" ref="O222">INDEX('LPU Regionalizada'!$B$3:$N$785,MATCH($B222,'LPU Regionalizada'!$B$3:$B$785,0),MATCH(INDEX(CTRL!$F$3:$F$29,CTRL!$E$1),'LPU Regionalizada'!$B$3:$N$3,0))</f>
        <v>97.736</v>
      </c>
      <c r="P222" s="88"/>
      <c r="Q222" s="132">
        <f t="shared" si="136"/>
        <v>0</v>
      </c>
      <c r="R222" s="132">
        <f t="shared" si="137"/>
        <v>0</v>
      </c>
      <c r="S222" s="132">
        <f t="shared" si="138"/>
        <v>0</v>
      </c>
      <c r="T222" s="133">
        <f t="shared" si="139"/>
        <v>0</v>
      </c>
      <c r="U222" s="134">
        <f t="shared" si="3"/>
        <v>0</v>
      </c>
      <c r="V222" s="135"/>
      <c r="W222" s="136"/>
      <c r="X222" s="2"/>
      <c r="Y222" s="111"/>
      <c r="Z222" s="3"/>
    </row>
    <row r="223" ht="14.25" hidden="1" customHeight="1" outlineLevel="2">
      <c r="A223" s="124"/>
      <c r="B223" s="125" t="s">
        <v>480</v>
      </c>
      <c r="C223" s="126" t="s">
        <v>481</v>
      </c>
      <c r="D223" s="127" t="s">
        <v>76</v>
      </c>
      <c r="E223" s="35"/>
      <c r="F223" s="128"/>
      <c r="G223" s="128"/>
      <c r="H223" s="128"/>
      <c r="I223" s="127">
        <f t="shared" si="132"/>
        <v>0</v>
      </c>
      <c r="J223" s="88"/>
      <c r="K223" s="129">
        <f t="shared" si="133"/>
        <v>41.2902</v>
      </c>
      <c r="L223" s="130">
        <v>0.6</v>
      </c>
      <c r="M223" s="129">
        <f t="shared" si="134"/>
        <v>27.5268</v>
      </c>
      <c r="N223" s="130">
        <f t="shared" si="135"/>
        <v>0.4</v>
      </c>
      <c r="O223" s="131">
        <f t="array" ref="O223">INDEX('LPU Regionalizada'!$B$3:$N$785,MATCH($B223,'LPU Regionalizada'!$B$3:$B$785,0),MATCH(INDEX(CTRL!$F$3:$F$29,CTRL!$E$1),'LPU Regionalizada'!$B$3:$N$3,0))</f>
        <v>68.817</v>
      </c>
      <c r="P223" s="88"/>
      <c r="Q223" s="132">
        <f t="shared" si="136"/>
        <v>0</v>
      </c>
      <c r="R223" s="132">
        <f t="shared" si="137"/>
        <v>0</v>
      </c>
      <c r="S223" s="132">
        <f t="shared" si="138"/>
        <v>0</v>
      </c>
      <c r="T223" s="133">
        <f t="shared" si="139"/>
        <v>0</v>
      </c>
      <c r="U223" s="134">
        <f t="shared" si="3"/>
        <v>0</v>
      </c>
      <c r="V223" s="135"/>
      <c r="W223" s="136"/>
      <c r="X223" s="2"/>
      <c r="Y223" s="111"/>
      <c r="Z223" s="3"/>
    </row>
    <row r="224" ht="14.25" hidden="1" customHeight="1" outlineLevel="2">
      <c r="A224" s="124"/>
      <c r="B224" s="125" t="s">
        <v>482</v>
      </c>
      <c r="C224" s="126" t="s">
        <v>483</v>
      </c>
      <c r="D224" s="127" t="s">
        <v>180</v>
      </c>
      <c r="E224" s="35"/>
      <c r="F224" s="128"/>
      <c r="G224" s="128"/>
      <c r="H224" s="128"/>
      <c r="I224" s="127">
        <f t="shared" si="132"/>
        <v>0</v>
      </c>
      <c r="J224" s="88"/>
      <c r="K224" s="129">
        <f t="shared" si="133"/>
        <v>45</v>
      </c>
      <c r="L224" s="130">
        <v>0.6</v>
      </c>
      <c r="M224" s="129">
        <f t="shared" si="134"/>
        <v>30</v>
      </c>
      <c r="N224" s="130">
        <f t="shared" si="135"/>
        <v>0.4</v>
      </c>
      <c r="O224" s="131">
        <f t="array" ref="O224">INDEX('LPU Regionalizada'!$B$3:$N$785,MATCH($B224,'LPU Regionalizada'!$B$3:$B$785,0),MATCH(INDEX(CTRL!$F$3:$F$29,CTRL!$E$1),'LPU Regionalizada'!$B$3:$N$3,0))</f>
        <v>75</v>
      </c>
      <c r="P224" s="88"/>
      <c r="Q224" s="132">
        <f t="shared" si="136"/>
        <v>0</v>
      </c>
      <c r="R224" s="132">
        <f t="shared" si="137"/>
        <v>0</v>
      </c>
      <c r="S224" s="132">
        <f t="shared" si="138"/>
        <v>0</v>
      </c>
      <c r="T224" s="133">
        <f t="shared" si="139"/>
        <v>0</v>
      </c>
      <c r="U224" s="134">
        <f t="shared" si="3"/>
        <v>0</v>
      </c>
      <c r="V224" s="135"/>
      <c r="W224" s="136"/>
      <c r="X224" s="2"/>
      <c r="Y224" s="111"/>
      <c r="Z224" s="3"/>
    </row>
    <row r="225" ht="14.25" customHeight="1" outlineLevel="1">
      <c r="A225" s="112"/>
      <c r="B225" s="113" t="s">
        <v>484</v>
      </c>
      <c r="C225" s="114" t="s">
        <v>485</v>
      </c>
      <c r="D225" s="115"/>
      <c r="E225" s="35"/>
      <c r="F225" s="113"/>
      <c r="G225" s="116"/>
      <c r="H225" s="116"/>
      <c r="I225" s="115"/>
      <c r="J225" s="88"/>
      <c r="K225" s="117"/>
      <c r="L225" s="118"/>
      <c r="M225" s="118"/>
      <c r="N225" s="118"/>
      <c r="O225" s="119"/>
      <c r="P225" s="88"/>
      <c r="Q225" s="120"/>
      <c r="R225" s="120"/>
      <c r="S225" s="120"/>
      <c r="T225" s="120">
        <f>SUM(T226:T260)</f>
        <v>14421.36578</v>
      </c>
      <c r="U225" s="121">
        <f t="shared" si="3"/>
        <v>14421.36578</v>
      </c>
      <c r="V225" s="122"/>
      <c r="W225" s="123"/>
      <c r="X225" s="2"/>
      <c r="Y225" s="111"/>
      <c r="Z225" s="3"/>
    </row>
    <row r="226" ht="14.25" customHeight="1" outlineLevel="2">
      <c r="A226" s="124"/>
      <c r="B226" s="125" t="s">
        <v>486</v>
      </c>
      <c r="C226" s="126" t="s">
        <v>487</v>
      </c>
      <c r="D226" s="127" t="s">
        <v>76</v>
      </c>
      <c r="E226" s="35"/>
      <c r="F226" s="128"/>
      <c r="G226" s="128"/>
      <c r="H226" s="128">
        <v>50.0</v>
      </c>
      <c r="I226" s="127">
        <f t="shared" ref="I226:I260" si="140">F226+G226+H226</f>
        <v>50</v>
      </c>
      <c r="J226" s="88"/>
      <c r="K226" s="129">
        <f t="shared" ref="K226:K260" si="141">L226*O226</f>
        <v>10.65883202</v>
      </c>
      <c r="L226" s="130">
        <v>0.6</v>
      </c>
      <c r="M226" s="129">
        <f t="shared" ref="M226:M260" si="142">N226*O226</f>
        <v>7.105888012</v>
      </c>
      <c r="N226" s="130">
        <f t="shared" ref="N226:N260" si="143">100%-L226</f>
        <v>0.4</v>
      </c>
      <c r="O226" s="131">
        <f t="array" ref="O226">INDEX('LPU Regionalizada'!$B$3:$N$785,MATCH($B226,'LPU Regionalizada'!$B$3:$B$785,0),MATCH(INDEX(CTRL!$F$3:$F$29,CTRL!$E$1),'LPU Regionalizada'!$B$3:$N$3,0))</f>
        <v>17.76472003</v>
      </c>
      <c r="P226" s="88"/>
      <c r="Q226" s="132">
        <f t="shared" ref="Q226:Q260" si="144">F226*O226</f>
        <v>0</v>
      </c>
      <c r="R226" s="132">
        <f t="shared" ref="R226:R260" si="145">G226*O226</f>
        <v>0</v>
      </c>
      <c r="S226" s="132">
        <f t="shared" ref="S226:S260" si="146">H226*O226</f>
        <v>888.2360015</v>
      </c>
      <c r="T226" s="133">
        <f t="shared" ref="T226:T260" si="147">SUM(Q226:S226)</f>
        <v>888.2360015</v>
      </c>
      <c r="U226" s="134">
        <f t="shared" si="3"/>
        <v>888.2360015</v>
      </c>
      <c r="V226" s="135"/>
      <c r="W226" s="136"/>
      <c r="X226" s="2"/>
      <c r="Y226" s="111"/>
      <c r="Z226" s="3"/>
    </row>
    <row r="227" ht="14.25" customHeight="1" outlineLevel="2">
      <c r="A227" s="124"/>
      <c r="B227" s="125" t="s">
        <v>488</v>
      </c>
      <c r="C227" s="126" t="s">
        <v>489</v>
      </c>
      <c r="D227" s="127" t="s">
        <v>76</v>
      </c>
      <c r="E227" s="35"/>
      <c r="F227" s="128"/>
      <c r="G227" s="128"/>
      <c r="H227" s="128">
        <v>50.0</v>
      </c>
      <c r="I227" s="127">
        <f t="shared" si="140"/>
        <v>50</v>
      </c>
      <c r="J227" s="88"/>
      <c r="K227" s="129">
        <f t="shared" si="141"/>
        <v>10.65770318</v>
      </c>
      <c r="L227" s="130">
        <v>0.6</v>
      </c>
      <c r="M227" s="129">
        <f t="shared" si="142"/>
        <v>7.105135455</v>
      </c>
      <c r="N227" s="130">
        <f t="shared" si="143"/>
        <v>0.4</v>
      </c>
      <c r="O227" s="131">
        <f t="array" ref="O227">INDEX('LPU Regionalizada'!$B$3:$N$785,MATCH($B227,'LPU Regionalizada'!$B$3:$B$785,0),MATCH(INDEX(CTRL!$F$3:$F$29,CTRL!$E$1),'LPU Regionalizada'!$B$3:$N$3,0))</f>
        <v>17.76283864</v>
      </c>
      <c r="P227" s="88"/>
      <c r="Q227" s="132">
        <f t="shared" si="144"/>
        <v>0</v>
      </c>
      <c r="R227" s="132">
        <f t="shared" si="145"/>
        <v>0</v>
      </c>
      <c r="S227" s="132">
        <f t="shared" si="146"/>
        <v>888.1419319</v>
      </c>
      <c r="T227" s="133">
        <f t="shared" si="147"/>
        <v>888.1419319</v>
      </c>
      <c r="U227" s="134">
        <f t="shared" si="3"/>
        <v>888.1419319</v>
      </c>
      <c r="V227" s="135"/>
      <c r="W227" s="136"/>
      <c r="X227" s="2"/>
      <c r="Y227" s="111"/>
      <c r="Z227" s="3"/>
    </row>
    <row r="228" ht="14.25" hidden="1" customHeight="1" outlineLevel="2">
      <c r="A228" s="124"/>
      <c r="B228" s="125" t="s">
        <v>490</v>
      </c>
      <c r="C228" s="126" t="s">
        <v>491</v>
      </c>
      <c r="D228" s="127" t="s">
        <v>180</v>
      </c>
      <c r="E228" s="35"/>
      <c r="F228" s="128"/>
      <c r="G228" s="128"/>
      <c r="H228" s="128"/>
      <c r="I228" s="127">
        <f t="shared" si="140"/>
        <v>0</v>
      </c>
      <c r="J228" s="88"/>
      <c r="K228" s="129">
        <f t="shared" si="141"/>
        <v>9.3</v>
      </c>
      <c r="L228" s="130">
        <v>0.6</v>
      </c>
      <c r="M228" s="129">
        <f t="shared" si="142"/>
        <v>6.2</v>
      </c>
      <c r="N228" s="130">
        <f t="shared" si="143"/>
        <v>0.4</v>
      </c>
      <c r="O228" s="131">
        <f t="array" ref="O228">INDEX('LPU Regionalizada'!$B$3:$N$785,MATCH($B228,'LPU Regionalizada'!$B$3:$B$785,0),MATCH(INDEX(CTRL!$F$3:$F$29,CTRL!$E$1),'LPU Regionalizada'!$B$3:$N$3,0))</f>
        <v>15.5</v>
      </c>
      <c r="P228" s="88"/>
      <c r="Q228" s="132">
        <f t="shared" si="144"/>
        <v>0</v>
      </c>
      <c r="R228" s="132">
        <f t="shared" si="145"/>
        <v>0</v>
      </c>
      <c r="S228" s="132">
        <f t="shared" si="146"/>
        <v>0</v>
      </c>
      <c r="T228" s="133">
        <f t="shared" si="147"/>
        <v>0</v>
      </c>
      <c r="U228" s="134">
        <f t="shared" si="3"/>
        <v>0</v>
      </c>
      <c r="V228" s="135"/>
      <c r="W228" s="136"/>
      <c r="X228" s="2"/>
      <c r="Y228" s="111"/>
      <c r="Z228" s="3"/>
    </row>
    <row r="229" ht="14.25" hidden="1" customHeight="1" outlineLevel="2">
      <c r="A229" s="124"/>
      <c r="B229" s="125" t="s">
        <v>492</v>
      </c>
      <c r="C229" s="126" t="s">
        <v>493</v>
      </c>
      <c r="D229" s="127" t="s">
        <v>180</v>
      </c>
      <c r="E229" s="35"/>
      <c r="F229" s="128"/>
      <c r="G229" s="128"/>
      <c r="H229" s="128"/>
      <c r="I229" s="127">
        <f t="shared" si="140"/>
        <v>0</v>
      </c>
      <c r="J229" s="88"/>
      <c r="K229" s="129">
        <f t="shared" si="141"/>
        <v>7.4985</v>
      </c>
      <c r="L229" s="130">
        <v>0.6</v>
      </c>
      <c r="M229" s="129">
        <f t="shared" si="142"/>
        <v>4.999</v>
      </c>
      <c r="N229" s="130">
        <f t="shared" si="143"/>
        <v>0.4</v>
      </c>
      <c r="O229" s="131">
        <f t="array" ref="O229">INDEX('LPU Regionalizada'!$B$3:$N$785,MATCH($B229,'LPU Regionalizada'!$B$3:$B$785,0),MATCH(INDEX(CTRL!$F$3:$F$29,CTRL!$E$1),'LPU Regionalizada'!$B$3:$N$3,0))</f>
        <v>12.4975</v>
      </c>
      <c r="P229" s="88"/>
      <c r="Q229" s="132">
        <f t="shared" si="144"/>
        <v>0</v>
      </c>
      <c r="R229" s="132">
        <f t="shared" si="145"/>
        <v>0</v>
      </c>
      <c r="S229" s="132">
        <f t="shared" si="146"/>
        <v>0</v>
      </c>
      <c r="T229" s="133">
        <f t="shared" si="147"/>
        <v>0</v>
      </c>
      <c r="U229" s="134">
        <f t="shared" si="3"/>
        <v>0</v>
      </c>
      <c r="V229" s="135"/>
      <c r="W229" s="136"/>
      <c r="X229" s="2"/>
      <c r="Y229" s="111"/>
      <c r="Z229" s="3"/>
    </row>
    <row r="230" ht="14.25" hidden="1" customHeight="1" outlineLevel="2">
      <c r="A230" s="124"/>
      <c r="B230" s="125" t="s">
        <v>494</v>
      </c>
      <c r="C230" s="126" t="s">
        <v>495</v>
      </c>
      <c r="D230" s="127" t="s">
        <v>76</v>
      </c>
      <c r="E230" s="35"/>
      <c r="F230" s="128"/>
      <c r="G230" s="128"/>
      <c r="H230" s="128"/>
      <c r="I230" s="127">
        <f t="shared" si="140"/>
        <v>0</v>
      </c>
      <c r="J230" s="88"/>
      <c r="K230" s="129">
        <f t="shared" si="141"/>
        <v>6.872996427</v>
      </c>
      <c r="L230" s="130">
        <v>0.6</v>
      </c>
      <c r="M230" s="129">
        <f t="shared" si="142"/>
        <v>4.581997618</v>
      </c>
      <c r="N230" s="130">
        <f t="shared" si="143"/>
        <v>0.4</v>
      </c>
      <c r="O230" s="131">
        <f t="array" ref="O230">INDEX('LPU Regionalizada'!$B$3:$N$785,MATCH($B230,'LPU Regionalizada'!$B$3:$B$785,0),MATCH(INDEX(CTRL!$F$3:$F$29,CTRL!$E$1),'LPU Regionalizada'!$B$3:$N$3,0))</f>
        <v>11.45499405</v>
      </c>
      <c r="P230" s="88"/>
      <c r="Q230" s="132">
        <f t="shared" si="144"/>
        <v>0</v>
      </c>
      <c r="R230" s="132">
        <f t="shared" si="145"/>
        <v>0</v>
      </c>
      <c r="S230" s="132">
        <f t="shared" si="146"/>
        <v>0</v>
      </c>
      <c r="T230" s="133">
        <f t="shared" si="147"/>
        <v>0</v>
      </c>
      <c r="U230" s="134">
        <f t="shared" si="3"/>
        <v>0</v>
      </c>
      <c r="V230" s="135"/>
      <c r="W230" s="136"/>
      <c r="X230" s="2"/>
      <c r="Y230" s="111"/>
      <c r="Z230" s="3"/>
    </row>
    <row r="231" ht="14.25" customHeight="1" outlineLevel="2">
      <c r="A231" s="124"/>
      <c r="B231" s="125" t="s">
        <v>496</v>
      </c>
      <c r="C231" s="126" t="s">
        <v>497</v>
      </c>
      <c r="D231" s="127" t="s">
        <v>76</v>
      </c>
      <c r="E231" s="35"/>
      <c r="F231" s="128"/>
      <c r="G231" s="128"/>
      <c r="H231" s="128">
        <v>250.0</v>
      </c>
      <c r="I231" s="127">
        <f t="shared" si="140"/>
        <v>250</v>
      </c>
      <c r="J231" s="88"/>
      <c r="K231" s="129">
        <f t="shared" si="141"/>
        <v>4.814354536</v>
      </c>
      <c r="L231" s="130">
        <v>0.6</v>
      </c>
      <c r="M231" s="129">
        <f t="shared" si="142"/>
        <v>3.209569691</v>
      </c>
      <c r="N231" s="130">
        <f t="shared" si="143"/>
        <v>0.4</v>
      </c>
      <c r="O231" s="131">
        <f t="array" ref="O231">INDEX('LPU Regionalizada'!$B$3:$N$785,MATCH($B231,'LPU Regionalizada'!$B$3:$B$785,0),MATCH(INDEX(CTRL!$F$3:$F$29,CTRL!$E$1),'LPU Regionalizada'!$B$3:$N$3,0))</f>
        <v>8.023924227</v>
      </c>
      <c r="P231" s="88"/>
      <c r="Q231" s="132">
        <f t="shared" si="144"/>
        <v>0</v>
      </c>
      <c r="R231" s="132">
        <f t="shared" si="145"/>
        <v>0</v>
      </c>
      <c r="S231" s="132">
        <f t="shared" si="146"/>
        <v>2005.981057</v>
      </c>
      <c r="T231" s="133">
        <f t="shared" si="147"/>
        <v>2005.981057</v>
      </c>
      <c r="U231" s="134">
        <f t="shared" si="3"/>
        <v>2005.981057</v>
      </c>
      <c r="V231" s="135"/>
      <c r="W231" s="136"/>
      <c r="X231" s="2"/>
      <c r="Y231" s="111"/>
      <c r="Z231" s="3"/>
    </row>
    <row r="232" ht="14.25" hidden="1" customHeight="1" outlineLevel="2">
      <c r="A232" s="124"/>
      <c r="B232" s="125" t="s">
        <v>498</v>
      </c>
      <c r="C232" s="126" t="s">
        <v>499</v>
      </c>
      <c r="D232" s="127" t="s">
        <v>76</v>
      </c>
      <c r="E232" s="35"/>
      <c r="F232" s="128"/>
      <c r="G232" s="128"/>
      <c r="H232" s="128"/>
      <c r="I232" s="127">
        <f t="shared" si="140"/>
        <v>0</v>
      </c>
      <c r="J232" s="88"/>
      <c r="K232" s="129">
        <f t="shared" si="141"/>
        <v>13.15024736</v>
      </c>
      <c r="L232" s="130">
        <v>0.6</v>
      </c>
      <c r="M232" s="129">
        <f t="shared" si="142"/>
        <v>8.766831574</v>
      </c>
      <c r="N232" s="130">
        <f t="shared" si="143"/>
        <v>0.4</v>
      </c>
      <c r="O232" s="131">
        <f t="array" ref="O232">INDEX('LPU Regionalizada'!$B$3:$N$785,MATCH($B232,'LPU Regionalizada'!$B$3:$B$785,0),MATCH(INDEX(CTRL!$F$3:$F$29,CTRL!$E$1),'LPU Regionalizada'!$B$3:$N$3,0))</f>
        <v>21.91707894</v>
      </c>
      <c r="P232" s="88"/>
      <c r="Q232" s="132">
        <f t="shared" si="144"/>
        <v>0</v>
      </c>
      <c r="R232" s="132">
        <f t="shared" si="145"/>
        <v>0</v>
      </c>
      <c r="S232" s="132">
        <f t="shared" si="146"/>
        <v>0</v>
      </c>
      <c r="T232" s="133">
        <f t="shared" si="147"/>
        <v>0</v>
      </c>
      <c r="U232" s="134">
        <f t="shared" si="3"/>
        <v>0</v>
      </c>
      <c r="V232" s="135"/>
      <c r="W232" s="136"/>
      <c r="X232" s="2"/>
      <c r="Y232" s="111"/>
      <c r="Z232" s="3"/>
    </row>
    <row r="233" ht="14.25" hidden="1" customHeight="1" outlineLevel="2">
      <c r="A233" s="124"/>
      <c r="B233" s="125" t="s">
        <v>500</v>
      </c>
      <c r="C233" s="126" t="s">
        <v>501</v>
      </c>
      <c r="D233" s="127" t="s">
        <v>76</v>
      </c>
      <c r="E233" s="35"/>
      <c r="F233" s="128"/>
      <c r="G233" s="128"/>
      <c r="H233" s="128"/>
      <c r="I233" s="127">
        <f t="shared" si="140"/>
        <v>0</v>
      </c>
      <c r="J233" s="88"/>
      <c r="K233" s="129">
        <f t="shared" si="141"/>
        <v>18.657732</v>
      </c>
      <c r="L233" s="130">
        <v>0.6</v>
      </c>
      <c r="M233" s="129">
        <f t="shared" si="142"/>
        <v>12.438488</v>
      </c>
      <c r="N233" s="130">
        <f t="shared" si="143"/>
        <v>0.4</v>
      </c>
      <c r="O233" s="131">
        <f t="array" ref="O233">INDEX('LPU Regionalizada'!$B$3:$N$785,MATCH($B233,'LPU Regionalizada'!$B$3:$B$785,0),MATCH(INDEX(CTRL!$F$3:$F$29,CTRL!$E$1),'LPU Regionalizada'!$B$3:$N$3,0))</f>
        <v>31.09622</v>
      </c>
      <c r="P233" s="88"/>
      <c r="Q233" s="132">
        <f t="shared" si="144"/>
        <v>0</v>
      </c>
      <c r="R233" s="132">
        <f t="shared" si="145"/>
        <v>0</v>
      </c>
      <c r="S233" s="132">
        <f t="shared" si="146"/>
        <v>0</v>
      </c>
      <c r="T233" s="133">
        <f t="shared" si="147"/>
        <v>0</v>
      </c>
      <c r="U233" s="134">
        <f t="shared" si="3"/>
        <v>0</v>
      </c>
      <c r="V233" s="135"/>
      <c r="W233" s="136"/>
      <c r="X233" s="2"/>
      <c r="Y233" s="111"/>
      <c r="Z233" s="3"/>
    </row>
    <row r="234" ht="14.25" customHeight="1" outlineLevel="2">
      <c r="A234" s="124"/>
      <c r="B234" s="125" t="s">
        <v>502</v>
      </c>
      <c r="C234" s="126" t="s">
        <v>503</v>
      </c>
      <c r="D234" s="127" t="s">
        <v>76</v>
      </c>
      <c r="E234" s="35"/>
      <c r="F234" s="128">
        <v>0.0</v>
      </c>
      <c r="G234" s="128"/>
      <c r="H234" s="128">
        <v>250.0</v>
      </c>
      <c r="I234" s="127">
        <f t="shared" si="140"/>
        <v>250</v>
      </c>
      <c r="J234" s="88"/>
      <c r="K234" s="129">
        <f t="shared" si="141"/>
        <v>15.51545699</v>
      </c>
      <c r="L234" s="130">
        <v>0.6</v>
      </c>
      <c r="M234" s="129">
        <f t="shared" si="142"/>
        <v>10.34363799</v>
      </c>
      <c r="N234" s="130">
        <f t="shared" si="143"/>
        <v>0.4</v>
      </c>
      <c r="O234" s="131">
        <f t="array" ref="O234">INDEX('LPU Regionalizada'!$B$3:$N$785,MATCH($B234,'LPU Regionalizada'!$B$3:$B$785,0),MATCH(INDEX(CTRL!$F$3:$F$29,CTRL!$E$1),'LPU Regionalizada'!$B$3:$N$3,0))</f>
        <v>25.85909498</v>
      </c>
      <c r="P234" s="88"/>
      <c r="Q234" s="132">
        <f t="shared" si="144"/>
        <v>0</v>
      </c>
      <c r="R234" s="132">
        <f t="shared" si="145"/>
        <v>0</v>
      </c>
      <c r="S234" s="132">
        <f t="shared" si="146"/>
        <v>6464.773744</v>
      </c>
      <c r="T234" s="133">
        <f t="shared" si="147"/>
        <v>6464.773744</v>
      </c>
      <c r="U234" s="134">
        <f t="shared" si="3"/>
        <v>6464.773744</v>
      </c>
      <c r="V234" s="135"/>
      <c r="W234" s="136"/>
      <c r="X234" s="2"/>
      <c r="Y234" s="111"/>
      <c r="Z234" s="3"/>
    </row>
    <row r="235" ht="14.25" hidden="1" customHeight="1" outlineLevel="2">
      <c r="A235" s="124"/>
      <c r="B235" s="125" t="s">
        <v>504</v>
      </c>
      <c r="C235" s="126" t="s">
        <v>505</v>
      </c>
      <c r="D235" s="127" t="s">
        <v>76</v>
      </c>
      <c r="E235" s="35"/>
      <c r="F235" s="128"/>
      <c r="G235" s="128"/>
      <c r="H235" s="128"/>
      <c r="I235" s="127">
        <f t="shared" si="140"/>
        <v>0</v>
      </c>
      <c r="J235" s="88"/>
      <c r="K235" s="129">
        <f t="shared" si="141"/>
        <v>16.4136501</v>
      </c>
      <c r="L235" s="130">
        <v>0.6</v>
      </c>
      <c r="M235" s="129">
        <f t="shared" si="142"/>
        <v>10.9424334</v>
      </c>
      <c r="N235" s="130">
        <f t="shared" si="143"/>
        <v>0.4</v>
      </c>
      <c r="O235" s="131">
        <f t="array" ref="O235">INDEX('LPU Regionalizada'!$B$3:$N$785,MATCH($B235,'LPU Regionalizada'!$B$3:$B$785,0),MATCH(INDEX(CTRL!$F$3:$F$29,CTRL!$E$1),'LPU Regionalizada'!$B$3:$N$3,0))</f>
        <v>27.3560835</v>
      </c>
      <c r="P235" s="88"/>
      <c r="Q235" s="132">
        <f t="shared" si="144"/>
        <v>0</v>
      </c>
      <c r="R235" s="132">
        <f t="shared" si="145"/>
        <v>0</v>
      </c>
      <c r="S235" s="132">
        <f t="shared" si="146"/>
        <v>0</v>
      </c>
      <c r="T235" s="133">
        <f t="shared" si="147"/>
        <v>0</v>
      </c>
      <c r="U235" s="134">
        <f t="shared" si="3"/>
        <v>0</v>
      </c>
      <c r="V235" s="135"/>
      <c r="W235" s="136"/>
      <c r="X235" s="2"/>
      <c r="Y235" s="111"/>
      <c r="Z235" s="3"/>
    </row>
    <row r="236" ht="14.25" hidden="1" customHeight="1" outlineLevel="2">
      <c r="A236" s="124"/>
      <c r="B236" s="125" t="s">
        <v>506</v>
      </c>
      <c r="C236" s="126" t="s">
        <v>507</v>
      </c>
      <c r="D236" s="127" t="s">
        <v>76</v>
      </c>
      <c r="E236" s="35"/>
      <c r="F236" s="128"/>
      <c r="G236" s="128"/>
      <c r="H236" s="128"/>
      <c r="I236" s="127">
        <f t="shared" si="140"/>
        <v>0</v>
      </c>
      <c r="J236" s="88"/>
      <c r="K236" s="129">
        <f t="shared" si="141"/>
        <v>33.55963748</v>
      </c>
      <c r="L236" s="130">
        <v>0.6</v>
      </c>
      <c r="M236" s="129">
        <f t="shared" si="142"/>
        <v>22.37309166</v>
      </c>
      <c r="N236" s="130">
        <f t="shared" si="143"/>
        <v>0.4</v>
      </c>
      <c r="O236" s="131">
        <f t="array" ref="O236">INDEX('LPU Regionalizada'!$B$3:$N$785,MATCH($B236,'LPU Regionalizada'!$B$3:$B$785,0),MATCH(INDEX(CTRL!$F$3:$F$29,CTRL!$E$1),'LPU Regionalizada'!$B$3:$N$3,0))</f>
        <v>55.93272914</v>
      </c>
      <c r="P236" s="88"/>
      <c r="Q236" s="132">
        <f t="shared" si="144"/>
        <v>0</v>
      </c>
      <c r="R236" s="132">
        <f t="shared" si="145"/>
        <v>0</v>
      </c>
      <c r="S236" s="132">
        <f t="shared" si="146"/>
        <v>0</v>
      </c>
      <c r="T236" s="133">
        <f t="shared" si="147"/>
        <v>0</v>
      </c>
      <c r="U236" s="134">
        <f t="shared" si="3"/>
        <v>0</v>
      </c>
      <c r="V236" s="135"/>
      <c r="W236" s="136"/>
      <c r="X236" s="2"/>
      <c r="Y236" s="111"/>
      <c r="Z236" s="3"/>
    </row>
    <row r="237" ht="14.25" hidden="1" customHeight="1" outlineLevel="2">
      <c r="A237" s="124"/>
      <c r="B237" s="125" t="s">
        <v>508</v>
      </c>
      <c r="C237" s="126" t="s">
        <v>509</v>
      </c>
      <c r="D237" s="127" t="s">
        <v>76</v>
      </c>
      <c r="E237" s="35"/>
      <c r="F237" s="128"/>
      <c r="G237" s="128"/>
      <c r="H237" s="128"/>
      <c r="I237" s="127">
        <f t="shared" si="140"/>
        <v>0</v>
      </c>
      <c r="J237" s="88"/>
      <c r="K237" s="129">
        <f t="shared" si="141"/>
        <v>17.3885609</v>
      </c>
      <c r="L237" s="130">
        <v>0.6</v>
      </c>
      <c r="M237" s="129">
        <f t="shared" si="142"/>
        <v>11.59237393</v>
      </c>
      <c r="N237" s="130">
        <f t="shared" si="143"/>
        <v>0.4</v>
      </c>
      <c r="O237" s="131">
        <f t="array" ref="O237">INDEX('LPU Regionalizada'!$B$3:$N$785,MATCH($B237,'LPU Regionalizada'!$B$3:$B$785,0),MATCH(INDEX(CTRL!$F$3:$F$29,CTRL!$E$1),'LPU Regionalizada'!$B$3:$N$3,0))</f>
        <v>28.98093483</v>
      </c>
      <c r="P237" s="88"/>
      <c r="Q237" s="132">
        <f t="shared" si="144"/>
        <v>0</v>
      </c>
      <c r="R237" s="132">
        <f t="shared" si="145"/>
        <v>0</v>
      </c>
      <c r="S237" s="132">
        <f t="shared" si="146"/>
        <v>0</v>
      </c>
      <c r="T237" s="133">
        <f t="shared" si="147"/>
        <v>0</v>
      </c>
      <c r="U237" s="134">
        <f t="shared" si="3"/>
        <v>0</v>
      </c>
      <c r="V237" s="135"/>
      <c r="W237" s="136"/>
      <c r="X237" s="2"/>
      <c r="Y237" s="111"/>
      <c r="Z237" s="3"/>
    </row>
    <row r="238" ht="14.25" hidden="1" customHeight="1" outlineLevel="2">
      <c r="A238" s="124"/>
      <c r="B238" s="125" t="s">
        <v>510</v>
      </c>
      <c r="C238" s="126" t="s">
        <v>511</v>
      </c>
      <c r="D238" s="127" t="s">
        <v>76</v>
      </c>
      <c r="E238" s="35"/>
      <c r="F238" s="128"/>
      <c r="G238" s="128"/>
      <c r="H238" s="128">
        <v>0.0</v>
      </c>
      <c r="I238" s="127">
        <f t="shared" si="140"/>
        <v>0</v>
      </c>
      <c r="J238" s="88"/>
      <c r="K238" s="129">
        <f t="shared" si="141"/>
        <v>12.98750563</v>
      </c>
      <c r="L238" s="130">
        <v>0.6</v>
      </c>
      <c r="M238" s="129">
        <f t="shared" si="142"/>
        <v>8.658337085</v>
      </c>
      <c r="N238" s="130">
        <f t="shared" si="143"/>
        <v>0.4</v>
      </c>
      <c r="O238" s="131">
        <f t="array" ref="O238">INDEX('LPU Regionalizada'!$B$3:$N$785,MATCH($B238,'LPU Regionalizada'!$B$3:$B$785,0),MATCH(INDEX(CTRL!$F$3:$F$29,CTRL!$E$1),'LPU Regionalizada'!$B$3:$N$3,0))</f>
        <v>21.64584271</v>
      </c>
      <c r="P238" s="88"/>
      <c r="Q238" s="132">
        <f t="shared" si="144"/>
        <v>0</v>
      </c>
      <c r="R238" s="132">
        <f t="shared" si="145"/>
        <v>0</v>
      </c>
      <c r="S238" s="132">
        <f t="shared" si="146"/>
        <v>0</v>
      </c>
      <c r="T238" s="133">
        <f t="shared" si="147"/>
        <v>0</v>
      </c>
      <c r="U238" s="134">
        <f t="shared" si="3"/>
        <v>0</v>
      </c>
      <c r="V238" s="135"/>
      <c r="W238" s="136"/>
      <c r="X238" s="2"/>
      <c r="Y238" s="111"/>
      <c r="Z238" s="3"/>
    </row>
    <row r="239" ht="14.25" hidden="1" customHeight="1" outlineLevel="2">
      <c r="A239" s="124"/>
      <c r="B239" s="125" t="s">
        <v>512</v>
      </c>
      <c r="C239" s="126" t="s">
        <v>513</v>
      </c>
      <c r="D239" s="127" t="s">
        <v>76</v>
      </c>
      <c r="E239" s="35"/>
      <c r="F239" s="128"/>
      <c r="G239" s="128"/>
      <c r="H239" s="128"/>
      <c r="I239" s="127">
        <f t="shared" si="140"/>
        <v>0</v>
      </c>
      <c r="J239" s="88"/>
      <c r="K239" s="129">
        <f t="shared" si="141"/>
        <v>17.3885609</v>
      </c>
      <c r="L239" s="130">
        <v>0.6</v>
      </c>
      <c r="M239" s="129">
        <f t="shared" si="142"/>
        <v>11.59237393</v>
      </c>
      <c r="N239" s="130">
        <f t="shared" si="143"/>
        <v>0.4</v>
      </c>
      <c r="O239" s="131">
        <f t="array" ref="O239">INDEX('LPU Regionalizada'!$B$3:$N$785,MATCH($B239,'LPU Regionalizada'!$B$3:$B$785,0),MATCH(INDEX(CTRL!$F$3:$F$29,CTRL!$E$1),'LPU Regionalizada'!$B$3:$N$3,0))</f>
        <v>28.98093483</v>
      </c>
      <c r="P239" s="88"/>
      <c r="Q239" s="132">
        <f t="shared" si="144"/>
        <v>0</v>
      </c>
      <c r="R239" s="132">
        <f t="shared" si="145"/>
        <v>0</v>
      </c>
      <c r="S239" s="132">
        <f t="shared" si="146"/>
        <v>0</v>
      </c>
      <c r="T239" s="133">
        <f t="shared" si="147"/>
        <v>0</v>
      </c>
      <c r="U239" s="134">
        <f t="shared" si="3"/>
        <v>0</v>
      </c>
      <c r="V239" s="135"/>
      <c r="W239" s="136"/>
      <c r="X239" s="2"/>
      <c r="Y239" s="111"/>
      <c r="Z239" s="3"/>
    </row>
    <row r="240" ht="14.25" hidden="1" customHeight="1" outlineLevel="2">
      <c r="A240" s="124"/>
      <c r="B240" s="125" t="s">
        <v>514</v>
      </c>
      <c r="C240" s="126" t="s">
        <v>515</v>
      </c>
      <c r="D240" s="127" t="s">
        <v>76</v>
      </c>
      <c r="E240" s="35"/>
      <c r="F240" s="128"/>
      <c r="G240" s="128"/>
      <c r="H240" s="128"/>
      <c r="I240" s="127">
        <f t="shared" si="140"/>
        <v>0</v>
      </c>
      <c r="J240" s="88"/>
      <c r="K240" s="129">
        <f t="shared" si="141"/>
        <v>9.867</v>
      </c>
      <c r="L240" s="130">
        <v>0.6</v>
      </c>
      <c r="M240" s="129">
        <f t="shared" si="142"/>
        <v>6.578</v>
      </c>
      <c r="N240" s="130">
        <f t="shared" si="143"/>
        <v>0.4</v>
      </c>
      <c r="O240" s="131">
        <f t="array" ref="O240">INDEX('LPU Regionalizada'!$B$3:$N$785,MATCH($B240,'LPU Regionalizada'!$B$3:$B$785,0),MATCH(INDEX(CTRL!$F$3:$F$29,CTRL!$E$1),'LPU Regionalizada'!$B$3:$N$3,0))</f>
        <v>16.445</v>
      </c>
      <c r="P240" s="88"/>
      <c r="Q240" s="132">
        <f t="shared" si="144"/>
        <v>0</v>
      </c>
      <c r="R240" s="132">
        <f t="shared" si="145"/>
        <v>0</v>
      </c>
      <c r="S240" s="132">
        <f t="shared" si="146"/>
        <v>0</v>
      </c>
      <c r="T240" s="133">
        <f t="shared" si="147"/>
        <v>0</v>
      </c>
      <c r="U240" s="134">
        <f t="shared" si="3"/>
        <v>0</v>
      </c>
      <c r="V240" s="135"/>
      <c r="W240" s="136"/>
      <c r="X240" s="2"/>
      <c r="Y240" s="111"/>
      <c r="Z240" s="3"/>
    </row>
    <row r="241" ht="14.25" customHeight="1" outlineLevel="2">
      <c r="A241" s="124"/>
      <c r="B241" s="125" t="s">
        <v>516</v>
      </c>
      <c r="C241" s="126" t="s">
        <v>517</v>
      </c>
      <c r="D241" s="127" t="s">
        <v>76</v>
      </c>
      <c r="E241" s="35"/>
      <c r="F241" s="128">
        <v>0.0</v>
      </c>
      <c r="G241" s="128"/>
      <c r="H241" s="128">
        <v>250.0</v>
      </c>
      <c r="I241" s="127">
        <f t="shared" si="140"/>
        <v>250</v>
      </c>
      <c r="J241" s="88"/>
      <c r="K241" s="129">
        <f t="shared" si="141"/>
        <v>10.01815931</v>
      </c>
      <c r="L241" s="130">
        <v>0.6</v>
      </c>
      <c r="M241" s="129">
        <f t="shared" si="142"/>
        <v>6.678772877</v>
      </c>
      <c r="N241" s="130">
        <f t="shared" si="143"/>
        <v>0.4</v>
      </c>
      <c r="O241" s="131">
        <f t="array" ref="O241">INDEX('LPU Regionalizada'!$B$3:$N$785,MATCH($B241,'LPU Regionalizada'!$B$3:$B$785,0),MATCH(INDEX(CTRL!$F$3:$F$29,CTRL!$E$1),'LPU Regionalizada'!$B$3:$N$3,0))</f>
        <v>16.69693219</v>
      </c>
      <c r="P241" s="88"/>
      <c r="Q241" s="132">
        <f t="shared" si="144"/>
        <v>0</v>
      </c>
      <c r="R241" s="132">
        <f t="shared" si="145"/>
        <v>0</v>
      </c>
      <c r="S241" s="132">
        <f t="shared" si="146"/>
        <v>4174.233048</v>
      </c>
      <c r="T241" s="133">
        <f t="shared" si="147"/>
        <v>4174.233048</v>
      </c>
      <c r="U241" s="134">
        <f t="shared" si="3"/>
        <v>4174.233048</v>
      </c>
      <c r="V241" s="135"/>
      <c r="W241" s="136"/>
      <c r="X241" s="2"/>
      <c r="Y241" s="111"/>
      <c r="Z241" s="3"/>
    </row>
    <row r="242" ht="14.25" hidden="1" customHeight="1" outlineLevel="2">
      <c r="A242" s="124"/>
      <c r="B242" s="125" t="s">
        <v>518</v>
      </c>
      <c r="C242" s="126" t="s">
        <v>519</v>
      </c>
      <c r="D242" s="127" t="s">
        <v>76</v>
      </c>
      <c r="E242" s="35"/>
      <c r="F242" s="128"/>
      <c r="G242" s="128"/>
      <c r="H242" s="128"/>
      <c r="I242" s="127">
        <f t="shared" si="140"/>
        <v>0</v>
      </c>
      <c r="J242" s="88"/>
      <c r="K242" s="129">
        <f t="shared" si="141"/>
        <v>8.601134934</v>
      </c>
      <c r="L242" s="130">
        <v>0.6</v>
      </c>
      <c r="M242" s="129">
        <f t="shared" si="142"/>
        <v>5.734089956</v>
      </c>
      <c r="N242" s="130">
        <f t="shared" si="143"/>
        <v>0.4</v>
      </c>
      <c r="O242" s="131">
        <f t="array" ref="O242">INDEX('LPU Regionalizada'!$B$3:$N$785,MATCH($B242,'LPU Regionalizada'!$B$3:$B$785,0),MATCH(INDEX(CTRL!$F$3:$F$29,CTRL!$E$1),'LPU Regionalizada'!$B$3:$N$3,0))</f>
        <v>14.33522489</v>
      </c>
      <c r="P242" s="88"/>
      <c r="Q242" s="132">
        <f t="shared" si="144"/>
        <v>0</v>
      </c>
      <c r="R242" s="132">
        <f t="shared" si="145"/>
        <v>0</v>
      </c>
      <c r="S242" s="132">
        <f t="shared" si="146"/>
        <v>0</v>
      </c>
      <c r="T242" s="133">
        <f t="shared" si="147"/>
        <v>0</v>
      </c>
      <c r="U242" s="134">
        <f t="shared" si="3"/>
        <v>0</v>
      </c>
      <c r="V242" s="135"/>
      <c r="W242" s="136"/>
      <c r="X242" s="2"/>
      <c r="Y242" s="111"/>
      <c r="Z242" s="3"/>
    </row>
    <row r="243" ht="14.25" hidden="1" customHeight="1" outlineLevel="2">
      <c r="A243" s="124"/>
      <c r="B243" s="125" t="s">
        <v>520</v>
      </c>
      <c r="C243" s="126" t="s">
        <v>521</v>
      </c>
      <c r="D243" s="127" t="s">
        <v>76</v>
      </c>
      <c r="E243" s="35"/>
      <c r="F243" s="128"/>
      <c r="G243" s="128"/>
      <c r="H243" s="128"/>
      <c r="I243" s="127">
        <f t="shared" si="140"/>
        <v>0</v>
      </c>
      <c r="J243" s="88"/>
      <c r="K243" s="129">
        <f t="shared" si="141"/>
        <v>8.977388835</v>
      </c>
      <c r="L243" s="130">
        <v>0.6</v>
      </c>
      <c r="M243" s="129">
        <f t="shared" si="142"/>
        <v>5.98492589</v>
      </c>
      <c r="N243" s="130">
        <f t="shared" si="143"/>
        <v>0.4</v>
      </c>
      <c r="O243" s="131">
        <f t="array" ref="O243">INDEX('LPU Regionalizada'!$B$3:$N$785,MATCH($B243,'LPU Regionalizada'!$B$3:$B$785,0),MATCH(INDEX(CTRL!$F$3:$F$29,CTRL!$E$1),'LPU Regionalizada'!$B$3:$N$3,0))</f>
        <v>14.96231473</v>
      </c>
      <c r="P243" s="88"/>
      <c r="Q243" s="132">
        <f t="shared" si="144"/>
        <v>0</v>
      </c>
      <c r="R243" s="132">
        <f t="shared" si="145"/>
        <v>0</v>
      </c>
      <c r="S243" s="132">
        <f t="shared" si="146"/>
        <v>0</v>
      </c>
      <c r="T243" s="133">
        <f t="shared" si="147"/>
        <v>0</v>
      </c>
      <c r="U243" s="134">
        <f t="shared" si="3"/>
        <v>0</v>
      </c>
      <c r="V243" s="135"/>
      <c r="W243" s="136"/>
      <c r="X243" s="2"/>
      <c r="Y243" s="111"/>
      <c r="Z243" s="3"/>
    </row>
    <row r="244" ht="14.25" hidden="1" customHeight="1" outlineLevel="2">
      <c r="A244" s="124"/>
      <c r="B244" s="125" t="s">
        <v>522</v>
      </c>
      <c r="C244" s="126" t="s">
        <v>523</v>
      </c>
      <c r="D244" s="127" t="s">
        <v>76</v>
      </c>
      <c r="E244" s="35"/>
      <c r="F244" s="128"/>
      <c r="G244" s="128"/>
      <c r="H244" s="128"/>
      <c r="I244" s="127">
        <f t="shared" si="140"/>
        <v>0</v>
      </c>
      <c r="J244" s="88"/>
      <c r="K244" s="129">
        <f t="shared" si="141"/>
        <v>26.93721356</v>
      </c>
      <c r="L244" s="130">
        <v>0.6</v>
      </c>
      <c r="M244" s="129">
        <f t="shared" si="142"/>
        <v>17.95814237</v>
      </c>
      <c r="N244" s="130">
        <f t="shared" si="143"/>
        <v>0.4</v>
      </c>
      <c r="O244" s="131">
        <f t="array" ref="O244">INDEX('LPU Regionalizada'!$B$3:$N$785,MATCH($B244,'LPU Regionalizada'!$B$3:$B$785,0),MATCH(INDEX(CTRL!$F$3:$F$29,CTRL!$E$1),'LPU Regionalizada'!$B$3:$N$3,0))</f>
        <v>44.89535593</v>
      </c>
      <c r="P244" s="88"/>
      <c r="Q244" s="132">
        <f t="shared" si="144"/>
        <v>0</v>
      </c>
      <c r="R244" s="132">
        <f t="shared" si="145"/>
        <v>0</v>
      </c>
      <c r="S244" s="132">
        <f t="shared" si="146"/>
        <v>0</v>
      </c>
      <c r="T244" s="133">
        <f t="shared" si="147"/>
        <v>0</v>
      </c>
      <c r="U244" s="134">
        <f t="shared" si="3"/>
        <v>0</v>
      </c>
      <c r="V244" s="135"/>
      <c r="W244" s="136"/>
      <c r="X244" s="2"/>
      <c r="Y244" s="111"/>
      <c r="Z244" s="3"/>
    </row>
    <row r="245" ht="14.25" hidden="1" customHeight="1" outlineLevel="2">
      <c r="A245" s="124"/>
      <c r="B245" s="125" t="s">
        <v>524</v>
      </c>
      <c r="C245" s="126" t="s">
        <v>525</v>
      </c>
      <c r="D245" s="127" t="s">
        <v>76</v>
      </c>
      <c r="E245" s="35"/>
      <c r="F245" s="128"/>
      <c r="G245" s="128"/>
      <c r="H245" s="128"/>
      <c r="I245" s="127">
        <f t="shared" si="140"/>
        <v>0</v>
      </c>
      <c r="J245" s="88"/>
      <c r="K245" s="129">
        <f t="shared" si="141"/>
        <v>18.522</v>
      </c>
      <c r="L245" s="130">
        <v>0.6</v>
      </c>
      <c r="M245" s="129">
        <f t="shared" si="142"/>
        <v>12.348</v>
      </c>
      <c r="N245" s="130">
        <f t="shared" si="143"/>
        <v>0.4</v>
      </c>
      <c r="O245" s="131">
        <f t="array" ref="O245">INDEX('LPU Regionalizada'!$B$3:$N$785,MATCH($B245,'LPU Regionalizada'!$B$3:$B$785,0),MATCH(INDEX(CTRL!$F$3:$F$29,CTRL!$E$1),'LPU Regionalizada'!$B$3:$N$3,0))</f>
        <v>30.87</v>
      </c>
      <c r="P245" s="88"/>
      <c r="Q245" s="132">
        <f t="shared" si="144"/>
        <v>0</v>
      </c>
      <c r="R245" s="132">
        <f t="shared" si="145"/>
        <v>0</v>
      </c>
      <c r="S245" s="132">
        <f t="shared" si="146"/>
        <v>0</v>
      </c>
      <c r="T245" s="133">
        <f t="shared" si="147"/>
        <v>0</v>
      </c>
      <c r="U245" s="134">
        <f t="shared" si="3"/>
        <v>0</v>
      </c>
      <c r="V245" s="135"/>
      <c r="W245" s="136"/>
      <c r="X245" s="2"/>
      <c r="Y245" s="111"/>
      <c r="Z245" s="3"/>
    </row>
    <row r="246" ht="14.25" hidden="1" customHeight="1" outlineLevel="2">
      <c r="A246" s="124"/>
      <c r="B246" s="125" t="s">
        <v>526</v>
      </c>
      <c r="C246" s="126" t="s">
        <v>527</v>
      </c>
      <c r="D246" s="127" t="s">
        <v>76</v>
      </c>
      <c r="E246" s="35"/>
      <c r="F246" s="128"/>
      <c r="G246" s="128"/>
      <c r="H246" s="128">
        <v>0.0</v>
      </c>
      <c r="I246" s="127">
        <f t="shared" si="140"/>
        <v>0</v>
      </c>
      <c r="J246" s="88"/>
      <c r="K246" s="129">
        <f t="shared" si="141"/>
        <v>26.39121917</v>
      </c>
      <c r="L246" s="130">
        <v>0.6</v>
      </c>
      <c r="M246" s="129">
        <f t="shared" si="142"/>
        <v>17.59414611</v>
      </c>
      <c r="N246" s="130">
        <f t="shared" si="143"/>
        <v>0.4</v>
      </c>
      <c r="O246" s="131">
        <f t="array" ref="O246">INDEX('LPU Regionalizada'!$B$3:$N$785,MATCH($B246,'LPU Regionalizada'!$B$3:$B$785,0),MATCH(INDEX(CTRL!$F$3:$F$29,CTRL!$E$1),'LPU Regionalizada'!$B$3:$N$3,0))</f>
        <v>43.98536528</v>
      </c>
      <c r="P246" s="88"/>
      <c r="Q246" s="132">
        <f t="shared" si="144"/>
        <v>0</v>
      </c>
      <c r="R246" s="132">
        <f t="shared" si="145"/>
        <v>0</v>
      </c>
      <c r="S246" s="132">
        <f t="shared" si="146"/>
        <v>0</v>
      </c>
      <c r="T246" s="133">
        <f t="shared" si="147"/>
        <v>0</v>
      </c>
      <c r="U246" s="134">
        <f t="shared" si="3"/>
        <v>0</v>
      </c>
      <c r="V246" s="135"/>
      <c r="W246" s="136"/>
      <c r="X246" s="2"/>
      <c r="Y246" s="111"/>
      <c r="Z246" s="3"/>
    </row>
    <row r="247" ht="14.25" hidden="1" customHeight="1" outlineLevel="2">
      <c r="A247" s="124"/>
      <c r="B247" s="125" t="s">
        <v>528</v>
      </c>
      <c r="C247" s="126" t="s">
        <v>529</v>
      </c>
      <c r="D247" s="127" t="s">
        <v>76</v>
      </c>
      <c r="E247" s="35"/>
      <c r="F247" s="128"/>
      <c r="G247" s="128"/>
      <c r="H247" s="128"/>
      <c r="I247" s="127">
        <f t="shared" si="140"/>
        <v>0</v>
      </c>
      <c r="J247" s="88"/>
      <c r="K247" s="129">
        <f t="shared" si="141"/>
        <v>17.916</v>
      </c>
      <c r="L247" s="130">
        <v>0.6</v>
      </c>
      <c r="M247" s="129">
        <f t="shared" si="142"/>
        <v>11.944</v>
      </c>
      <c r="N247" s="130">
        <f t="shared" si="143"/>
        <v>0.4</v>
      </c>
      <c r="O247" s="131">
        <f t="array" ref="O247">INDEX('LPU Regionalizada'!$B$3:$N$785,MATCH($B247,'LPU Regionalizada'!$B$3:$B$785,0),MATCH(INDEX(CTRL!$F$3:$F$29,CTRL!$E$1),'LPU Regionalizada'!$B$3:$N$3,0))</f>
        <v>29.86</v>
      </c>
      <c r="P247" s="88"/>
      <c r="Q247" s="132">
        <f t="shared" si="144"/>
        <v>0</v>
      </c>
      <c r="R247" s="132">
        <f t="shared" si="145"/>
        <v>0</v>
      </c>
      <c r="S247" s="132">
        <f t="shared" si="146"/>
        <v>0</v>
      </c>
      <c r="T247" s="133">
        <f t="shared" si="147"/>
        <v>0</v>
      </c>
      <c r="U247" s="134">
        <f t="shared" si="3"/>
        <v>0</v>
      </c>
      <c r="V247" s="135"/>
      <c r="W247" s="136"/>
      <c r="X247" s="2"/>
      <c r="Y247" s="111"/>
      <c r="Z247" s="3"/>
    </row>
    <row r="248" ht="14.25" hidden="1" customHeight="1" outlineLevel="2">
      <c r="A248" s="124"/>
      <c r="B248" s="125" t="s">
        <v>530</v>
      </c>
      <c r="C248" s="126" t="s">
        <v>531</v>
      </c>
      <c r="D248" s="127" t="s">
        <v>76</v>
      </c>
      <c r="E248" s="35"/>
      <c r="F248" s="128"/>
      <c r="G248" s="128"/>
      <c r="H248" s="128"/>
      <c r="I248" s="127">
        <f t="shared" si="140"/>
        <v>0</v>
      </c>
      <c r="J248" s="88"/>
      <c r="K248" s="129">
        <f t="shared" si="141"/>
        <v>14.48905124</v>
      </c>
      <c r="L248" s="130">
        <v>0.6</v>
      </c>
      <c r="M248" s="129">
        <f t="shared" si="142"/>
        <v>9.659367491</v>
      </c>
      <c r="N248" s="130">
        <f t="shared" si="143"/>
        <v>0.4</v>
      </c>
      <c r="O248" s="131">
        <f t="array" ref="O248">INDEX('LPU Regionalizada'!$B$3:$N$785,MATCH($B248,'LPU Regionalizada'!$B$3:$B$785,0),MATCH(INDEX(CTRL!$F$3:$F$29,CTRL!$E$1),'LPU Regionalizada'!$B$3:$N$3,0))</f>
        <v>24.14841873</v>
      </c>
      <c r="P248" s="88"/>
      <c r="Q248" s="132">
        <f t="shared" si="144"/>
        <v>0</v>
      </c>
      <c r="R248" s="132">
        <f t="shared" si="145"/>
        <v>0</v>
      </c>
      <c r="S248" s="132">
        <f t="shared" si="146"/>
        <v>0</v>
      </c>
      <c r="T248" s="133">
        <f t="shared" si="147"/>
        <v>0</v>
      </c>
      <c r="U248" s="134">
        <f t="shared" si="3"/>
        <v>0</v>
      </c>
      <c r="V248" s="135"/>
      <c r="W248" s="136"/>
      <c r="X248" s="2"/>
      <c r="Y248" s="111"/>
      <c r="Z248" s="3"/>
    </row>
    <row r="249" ht="14.25" hidden="1" customHeight="1" outlineLevel="2">
      <c r="A249" s="124"/>
      <c r="B249" s="125" t="s">
        <v>532</v>
      </c>
      <c r="C249" s="126" t="s">
        <v>533</v>
      </c>
      <c r="D249" s="127" t="s">
        <v>76</v>
      </c>
      <c r="E249" s="35"/>
      <c r="F249" s="128"/>
      <c r="G249" s="128"/>
      <c r="H249" s="128"/>
      <c r="I249" s="127">
        <f t="shared" si="140"/>
        <v>0</v>
      </c>
      <c r="J249" s="88"/>
      <c r="K249" s="129">
        <f t="shared" si="141"/>
        <v>18.07847637</v>
      </c>
      <c r="L249" s="130">
        <v>0.6</v>
      </c>
      <c r="M249" s="129">
        <f t="shared" si="142"/>
        <v>12.05231758</v>
      </c>
      <c r="N249" s="130">
        <f t="shared" si="143"/>
        <v>0.4</v>
      </c>
      <c r="O249" s="131">
        <f t="array" ref="O249">INDEX('LPU Regionalizada'!$B$3:$N$785,MATCH($B249,'LPU Regionalizada'!$B$3:$B$785,0),MATCH(INDEX(CTRL!$F$3:$F$29,CTRL!$E$1),'LPU Regionalizada'!$B$3:$N$3,0))</f>
        <v>30.13079395</v>
      </c>
      <c r="P249" s="88"/>
      <c r="Q249" s="132">
        <f t="shared" si="144"/>
        <v>0</v>
      </c>
      <c r="R249" s="132">
        <f t="shared" si="145"/>
        <v>0</v>
      </c>
      <c r="S249" s="132">
        <f t="shared" si="146"/>
        <v>0</v>
      </c>
      <c r="T249" s="133">
        <f t="shared" si="147"/>
        <v>0</v>
      </c>
      <c r="U249" s="134">
        <f t="shared" si="3"/>
        <v>0</v>
      </c>
      <c r="V249" s="135"/>
      <c r="W249" s="136"/>
      <c r="X249" s="2"/>
      <c r="Y249" s="111"/>
      <c r="Z249" s="3"/>
    </row>
    <row r="250" ht="14.25" hidden="1" customHeight="1" outlineLevel="2">
      <c r="A250" s="124"/>
      <c r="B250" s="125" t="s">
        <v>534</v>
      </c>
      <c r="C250" s="126" t="s">
        <v>535</v>
      </c>
      <c r="D250" s="127" t="s">
        <v>76</v>
      </c>
      <c r="E250" s="35"/>
      <c r="F250" s="128"/>
      <c r="G250" s="128"/>
      <c r="H250" s="128"/>
      <c r="I250" s="127">
        <f t="shared" si="140"/>
        <v>0</v>
      </c>
      <c r="J250" s="88"/>
      <c r="K250" s="129">
        <f t="shared" si="141"/>
        <v>14.90606289</v>
      </c>
      <c r="L250" s="130">
        <v>0.6</v>
      </c>
      <c r="M250" s="129">
        <f t="shared" si="142"/>
        <v>9.937375263</v>
      </c>
      <c r="N250" s="130">
        <f t="shared" si="143"/>
        <v>0.4</v>
      </c>
      <c r="O250" s="131">
        <f t="array" ref="O250">INDEX('LPU Regionalizada'!$B$3:$N$785,MATCH($B250,'LPU Regionalizada'!$B$3:$B$785,0),MATCH(INDEX(CTRL!$F$3:$F$29,CTRL!$E$1),'LPU Regionalizada'!$B$3:$N$3,0))</f>
        <v>24.84343816</v>
      </c>
      <c r="P250" s="88"/>
      <c r="Q250" s="132">
        <f t="shared" si="144"/>
        <v>0</v>
      </c>
      <c r="R250" s="132">
        <f t="shared" si="145"/>
        <v>0</v>
      </c>
      <c r="S250" s="132">
        <f t="shared" si="146"/>
        <v>0</v>
      </c>
      <c r="T250" s="133">
        <f t="shared" si="147"/>
        <v>0</v>
      </c>
      <c r="U250" s="134">
        <f t="shared" si="3"/>
        <v>0</v>
      </c>
      <c r="V250" s="135"/>
      <c r="W250" s="136"/>
      <c r="X250" s="2"/>
      <c r="Y250" s="111"/>
      <c r="Z250" s="3"/>
    </row>
    <row r="251" ht="14.25" hidden="1" customHeight="1" outlineLevel="2">
      <c r="A251" s="124"/>
      <c r="B251" s="125" t="s">
        <v>536</v>
      </c>
      <c r="C251" s="126" t="s">
        <v>537</v>
      </c>
      <c r="D251" s="127" t="s">
        <v>76</v>
      </c>
      <c r="E251" s="35"/>
      <c r="F251" s="128"/>
      <c r="G251" s="128"/>
      <c r="H251" s="128"/>
      <c r="I251" s="127">
        <f t="shared" si="140"/>
        <v>0</v>
      </c>
      <c r="J251" s="88"/>
      <c r="K251" s="129">
        <f t="shared" si="141"/>
        <v>14.43624508</v>
      </c>
      <c r="L251" s="130">
        <v>0.6</v>
      </c>
      <c r="M251" s="129">
        <f t="shared" si="142"/>
        <v>9.624163385</v>
      </c>
      <c r="N251" s="130">
        <f t="shared" si="143"/>
        <v>0.4</v>
      </c>
      <c r="O251" s="131">
        <f t="array" ref="O251">INDEX('LPU Regionalizada'!$B$3:$N$785,MATCH($B251,'LPU Regionalizada'!$B$3:$B$785,0),MATCH(INDEX(CTRL!$F$3:$F$29,CTRL!$E$1),'LPU Regionalizada'!$B$3:$N$3,0))</f>
        <v>24.06040846</v>
      </c>
      <c r="P251" s="88"/>
      <c r="Q251" s="132">
        <f t="shared" si="144"/>
        <v>0</v>
      </c>
      <c r="R251" s="132">
        <f t="shared" si="145"/>
        <v>0</v>
      </c>
      <c r="S251" s="132">
        <f t="shared" si="146"/>
        <v>0</v>
      </c>
      <c r="T251" s="133">
        <f t="shared" si="147"/>
        <v>0</v>
      </c>
      <c r="U251" s="134">
        <f t="shared" si="3"/>
        <v>0</v>
      </c>
      <c r="V251" s="135"/>
      <c r="W251" s="136"/>
      <c r="X251" s="2"/>
      <c r="Y251" s="111"/>
      <c r="Z251" s="3"/>
    </row>
    <row r="252" ht="14.25" hidden="1" customHeight="1" outlineLevel="2">
      <c r="A252" s="124"/>
      <c r="B252" s="125" t="s">
        <v>538</v>
      </c>
      <c r="C252" s="126" t="s">
        <v>539</v>
      </c>
      <c r="D252" s="127" t="s">
        <v>76</v>
      </c>
      <c r="E252" s="35"/>
      <c r="F252" s="128"/>
      <c r="G252" s="128"/>
      <c r="H252" s="128"/>
      <c r="I252" s="127">
        <f t="shared" si="140"/>
        <v>0</v>
      </c>
      <c r="J252" s="88"/>
      <c r="K252" s="129">
        <f t="shared" si="141"/>
        <v>15.9043641</v>
      </c>
      <c r="L252" s="130">
        <v>0.6</v>
      </c>
      <c r="M252" s="129">
        <f t="shared" si="142"/>
        <v>10.6029094</v>
      </c>
      <c r="N252" s="130">
        <f t="shared" si="143"/>
        <v>0.4</v>
      </c>
      <c r="O252" s="131">
        <f t="array" ref="O252">INDEX('LPU Regionalizada'!$B$3:$N$785,MATCH($B252,'LPU Regionalizada'!$B$3:$B$785,0),MATCH(INDEX(CTRL!$F$3:$F$29,CTRL!$E$1),'LPU Regionalizada'!$B$3:$N$3,0))</f>
        <v>26.50727349</v>
      </c>
      <c r="P252" s="88"/>
      <c r="Q252" s="132">
        <f t="shared" si="144"/>
        <v>0</v>
      </c>
      <c r="R252" s="132">
        <f t="shared" si="145"/>
        <v>0</v>
      </c>
      <c r="S252" s="132">
        <f t="shared" si="146"/>
        <v>0</v>
      </c>
      <c r="T252" s="133">
        <f t="shared" si="147"/>
        <v>0</v>
      </c>
      <c r="U252" s="134">
        <f t="shared" si="3"/>
        <v>0</v>
      </c>
      <c r="V252" s="135"/>
      <c r="W252" s="136"/>
      <c r="X252" s="2"/>
      <c r="Y252" s="111"/>
      <c r="Z252" s="3"/>
    </row>
    <row r="253" ht="14.25" hidden="1" customHeight="1" outlineLevel="2">
      <c r="A253" s="124"/>
      <c r="B253" s="125" t="s">
        <v>540</v>
      </c>
      <c r="C253" s="126" t="s">
        <v>541</v>
      </c>
      <c r="D253" s="127" t="s">
        <v>76</v>
      </c>
      <c r="E253" s="35"/>
      <c r="F253" s="128"/>
      <c r="G253" s="128"/>
      <c r="H253" s="128"/>
      <c r="I253" s="127">
        <f t="shared" si="140"/>
        <v>0</v>
      </c>
      <c r="J253" s="88"/>
      <c r="K253" s="129">
        <f t="shared" si="141"/>
        <v>15.81553227</v>
      </c>
      <c r="L253" s="130">
        <v>0.6</v>
      </c>
      <c r="M253" s="129">
        <f t="shared" si="142"/>
        <v>10.54368818</v>
      </c>
      <c r="N253" s="130">
        <f t="shared" si="143"/>
        <v>0.4</v>
      </c>
      <c r="O253" s="131">
        <f t="array" ref="O253">INDEX('LPU Regionalizada'!$B$3:$N$785,MATCH($B253,'LPU Regionalizada'!$B$3:$B$785,0),MATCH(INDEX(CTRL!$F$3:$F$29,CTRL!$E$1),'LPU Regionalizada'!$B$3:$N$3,0))</f>
        <v>26.35922045</v>
      </c>
      <c r="P253" s="88"/>
      <c r="Q253" s="132">
        <f t="shared" si="144"/>
        <v>0</v>
      </c>
      <c r="R253" s="132">
        <f t="shared" si="145"/>
        <v>0</v>
      </c>
      <c r="S253" s="132">
        <f t="shared" si="146"/>
        <v>0</v>
      </c>
      <c r="T253" s="133">
        <f t="shared" si="147"/>
        <v>0</v>
      </c>
      <c r="U253" s="134">
        <f t="shared" si="3"/>
        <v>0</v>
      </c>
      <c r="V253" s="135"/>
      <c r="W253" s="136"/>
      <c r="X253" s="2"/>
      <c r="Y253" s="111"/>
      <c r="Z253" s="3"/>
    </row>
    <row r="254" ht="14.25" hidden="1" customHeight="1" outlineLevel="2">
      <c r="A254" s="124"/>
      <c r="B254" s="125" t="s">
        <v>542</v>
      </c>
      <c r="C254" s="126" t="s">
        <v>543</v>
      </c>
      <c r="D254" s="127" t="s">
        <v>76</v>
      </c>
      <c r="E254" s="35"/>
      <c r="F254" s="128"/>
      <c r="G254" s="128"/>
      <c r="H254" s="128"/>
      <c r="I254" s="127">
        <f t="shared" si="140"/>
        <v>0</v>
      </c>
      <c r="J254" s="88"/>
      <c r="K254" s="129">
        <f t="shared" si="141"/>
        <v>13.23</v>
      </c>
      <c r="L254" s="130">
        <v>0.6</v>
      </c>
      <c r="M254" s="129">
        <f t="shared" si="142"/>
        <v>8.82</v>
      </c>
      <c r="N254" s="130">
        <f t="shared" si="143"/>
        <v>0.4</v>
      </c>
      <c r="O254" s="131">
        <f t="array" ref="O254">INDEX('LPU Regionalizada'!$B$3:$N$785,MATCH($B254,'LPU Regionalizada'!$B$3:$B$785,0),MATCH(INDEX(CTRL!$F$3:$F$29,CTRL!$E$1),'LPU Regionalizada'!$B$3:$N$3,0))</f>
        <v>22.05</v>
      </c>
      <c r="P254" s="88"/>
      <c r="Q254" s="132">
        <f t="shared" si="144"/>
        <v>0</v>
      </c>
      <c r="R254" s="132">
        <f t="shared" si="145"/>
        <v>0</v>
      </c>
      <c r="S254" s="132">
        <f t="shared" si="146"/>
        <v>0</v>
      </c>
      <c r="T254" s="133">
        <f t="shared" si="147"/>
        <v>0</v>
      </c>
      <c r="U254" s="134">
        <f t="shared" si="3"/>
        <v>0</v>
      </c>
      <c r="V254" s="135"/>
      <c r="W254" s="136"/>
      <c r="X254" s="2"/>
      <c r="Y254" s="111"/>
      <c r="Z254" s="3"/>
    </row>
    <row r="255" ht="14.25" hidden="1" customHeight="1" outlineLevel="2">
      <c r="A255" s="124"/>
      <c r="B255" s="125" t="s">
        <v>544</v>
      </c>
      <c r="C255" s="126" t="s">
        <v>545</v>
      </c>
      <c r="D255" s="127" t="s">
        <v>142</v>
      </c>
      <c r="E255" s="35"/>
      <c r="F255" s="128"/>
      <c r="G255" s="128"/>
      <c r="H255" s="128"/>
      <c r="I255" s="127">
        <f t="shared" si="140"/>
        <v>0</v>
      </c>
      <c r="J255" s="88"/>
      <c r="K255" s="129">
        <f t="shared" si="141"/>
        <v>108</v>
      </c>
      <c r="L255" s="130">
        <v>0.6</v>
      </c>
      <c r="M255" s="129">
        <f t="shared" si="142"/>
        <v>72</v>
      </c>
      <c r="N255" s="130">
        <f t="shared" si="143"/>
        <v>0.4</v>
      </c>
      <c r="O255" s="131">
        <f t="array" ref="O255">INDEX('LPU Regionalizada'!$B$3:$N$785,MATCH($B255,'LPU Regionalizada'!$B$3:$B$785,0),MATCH(INDEX(CTRL!$F$3:$F$29,CTRL!$E$1),'LPU Regionalizada'!$B$3:$N$3,0))</f>
        <v>180</v>
      </c>
      <c r="P255" s="88"/>
      <c r="Q255" s="132">
        <f t="shared" si="144"/>
        <v>0</v>
      </c>
      <c r="R255" s="132">
        <f t="shared" si="145"/>
        <v>0</v>
      </c>
      <c r="S255" s="132">
        <f t="shared" si="146"/>
        <v>0</v>
      </c>
      <c r="T255" s="133">
        <f t="shared" si="147"/>
        <v>0</v>
      </c>
      <c r="U255" s="134">
        <f t="shared" si="3"/>
        <v>0</v>
      </c>
      <c r="V255" s="135"/>
      <c r="W255" s="136"/>
      <c r="X255" s="2"/>
      <c r="Y255" s="111"/>
      <c r="Z255" s="3"/>
    </row>
    <row r="256" ht="14.25" hidden="1" customHeight="1" outlineLevel="2">
      <c r="A256" s="124"/>
      <c r="B256" s="125" t="s">
        <v>546</v>
      </c>
      <c r="C256" s="126" t="s">
        <v>547</v>
      </c>
      <c r="D256" s="127" t="s">
        <v>76</v>
      </c>
      <c r="E256" s="35"/>
      <c r="F256" s="128"/>
      <c r="G256" s="128"/>
      <c r="H256" s="128"/>
      <c r="I256" s="127">
        <f t="shared" si="140"/>
        <v>0</v>
      </c>
      <c r="J256" s="88"/>
      <c r="K256" s="129">
        <f t="shared" si="141"/>
        <v>21.5334</v>
      </c>
      <c r="L256" s="130">
        <v>0.6</v>
      </c>
      <c r="M256" s="129">
        <f t="shared" si="142"/>
        <v>14.3556</v>
      </c>
      <c r="N256" s="130">
        <f t="shared" si="143"/>
        <v>0.4</v>
      </c>
      <c r="O256" s="131">
        <f t="array" ref="O256">INDEX('LPU Regionalizada'!$B$3:$N$785,MATCH($B256,'LPU Regionalizada'!$B$3:$B$785,0),MATCH(INDEX(CTRL!$F$3:$F$29,CTRL!$E$1),'LPU Regionalizada'!$B$3:$N$3,0))</f>
        <v>35.889</v>
      </c>
      <c r="P256" s="88"/>
      <c r="Q256" s="132">
        <f t="shared" si="144"/>
        <v>0</v>
      </c>
      <c r="R256" s="132">
        <f t="shared" si="145"/>
        <v>0</v>
      </c>
      <c r="S256" s="132">
        <f t="shared" si="146"/>
        <v>0</v>
      </c>
      <c r="T256" s="133">
        <f t="shared" si="147"/>
        <v>0</v>
      </c>
      <c r="U256" s="134">
        <f t="shared" si="3"/>
        <v>0</v>
      </c>
      <c r="V256" s="135"/>
      <c r="W256" s="136"/>
      <c r="X256" s="2"/>
      <c r="Y256" s="111"/>
      <c r="Z256" s="3"/>
    </row>
    <row r="257" ht="14.25" hidden="1" customHeight="1" outlineLevel="2">
      <c r="A257" s="124"/>
      <c r="B257" s="125" t="s">
        <v>548</v>
      </c>
      <c r="C257" s="126" t="s">
        <v>549</v>
      </c>
      <c r="D257" s="127" t="s">
        <v>76</v>
      </c>
      <c r="E257" s="35"/>
      <c r="F257" s="128"/>
      <c r="G257" s="128"/>
      <c r="H257" s="128"/>
      <c r="I257" s="127">
        <f t="shared" si="140"/>
        <v>0</v>
      </c>
      <c r="J257" s="88"/>
      <c r="K257" s="129">
        <f t="shared" si="141"/>
        <v>5.187752442</v>
      </c>
      <c r="L257" s="130">
        <v>0.6</v>
      </c>
      <c r="M257" s="129">
        <f t="shared" si="142"/>
        <v>3.458501628</v>
      </c>
      <c r="N257" s="130">
        <f t="shared" si="143"/>
        <v>0.4</v>
      </c>
      <c r="O257" s="131">
        <f t="array" ref="O257">INDEX('LPU Regionalizada'!$B$3:$N$785,MATCH($B257,'LPU Regionalizada'!$B$3:$B$785,0),MATCH(INDEX(CTRL!$F$3:$F$29,CTRL!$E$1),'LPU Regionalizada'!$B$3:$N$3,0))</f>
        <v>8.64625407</v>
      </c>
      <c r="P257" s="88"/>
      <c r="Q257" s="132">
        <f t="shared" si="144"/>
        <v>0</v>
      </c>
      <c r="R257" s="132">
        <f t="shared" si="145"/>
        <v>0</v>
      </c>
      <c r="S257" s="132">
        <f t="shared" si="146"/>
        <v>0</v>
      </c>
      <c r="T257" s="133">
        <f t="shared" si="147"/>
        <v>0</v>
      </c>
      <c r="U257" s="134">
        <f t="shared" si="3"/>
        <v>0</v>
      </c>
      <c r="V257" s="135"/>
      <c r="W257" s="136"/>
      <c r="X257" s="2"/>
      <c r="Y257" s="111"/>
      <c r="Z257" s="3"/>
    </row>
    <row r="258" ht="14.25" hidden="1" customHeight="1" outlineLevel="2">
      <c r="A258" s="124"/>
      <c r="B258" s="125" t="s">
        <v>550</v>
      </c>
      <c r="C258" s="126" t="s">
        <v>551</v>
      </c>
      <c r="D258" s="127" t="s">
        <v>76</v>
      </c>
      <c r="E258" s="35"/>
      <c r="F258" s="128"/>
      <c r="G258" s="128"/>
      <c r="H258" s="128">
        <v>0.0</v>
      </c>
      <c r="I258" s="127">
        <f t="shared" si="140"/>
        <v>0</v>
      </c>
      <c r="J258" s="88"/>
      <c r="K258" s="129">
        <f t="shared" si="141"/>
        <v>58.20967086</v>
      </c>
      <c r="L258" s="130">
        <v>0.6</v>
      </c>
      <c r="M258" s="129">
        <f t="shared" si="142"/>
        <v>38.80644724</v>
      </c>
      <c r="N258" s="130">
        <f t="shared" si="143"/>
        <v>0.4</v>
      </c>
      <c r="O258" s="131">
        <f t="array" ref="O258">INDEX('LPU Regionalizada'!$B$3:$N$785,MATCH($B258,'LPU Regionalizada'!$B$3:$B$785,0),MATCH(INDEX(CTRL!$F$3:$F$29,CTRL!$E$1),'LPU Regionalizada'!$B$3:$N$3,0))</f>
        <v>97.01611809</v>
      </c>
      <c r="P258" s="88"/>
      <c r="Q258" s="132">
        <f t="shared" si="144"/>
        <v>0</v>
      </c>
      <c r="R258" s="132">
        <f t="shared" si="145"/>
        <v>0</v>
      </c>
      <c r="S258" s="132">
        <f t="shared" si="146"/>
        <v>0</v>
      </c>
      <c r="T258" s="133">
        <f t="shared" si="147"/>
        <v>0</v>
      </c>
      <c r="U258" s="134">
        <f t="shared" si="3"/>
        <v>0</v>
      </c>
      <c r="V258" s="135"/>
      <c r="W258" s="136"/>
      <c r="X258" s="2"/>
      <c r="Y258" s="111"/>
      <c r="Z258" s="3"/>
    </row>
    <row r="259" ht="14.25" hidden="1" customHeight="1" outlineLevel="2">
      <c r="A259" s="124"/>
      <c r="B259" s="125" t="s">
        <v>552</v>
      </c>
      <c r="C259" s="126" t="s">
        <v>553</v>
      </c>
      <c r="D259" s="127" t="s">
        <v>76</v>
      </c>
      <c r="E259" s="35"/>
      <c r="F259" s="128"/>
      <c r="G259" s="128"/>
      <c r="H259" s="128"/>
      <c r="I259" s="127">
        <f t="shared" si="140"/>
        <v>0</v>
      </c>
      <c r="J259" s="88"/>
      <c r="K259" s="129">
        <f t="shared" si="141"/>
        <v>14.70376262</v>
      </c>
      <c r="L259" s="130">
        <v>0.6</v>
      </c>
      <c r="M259" s="129">
        <f t="shared" si="142"/>
        <v>9.802508415</v>
      </c>
      <c r="N259" s="130">
        <f t="shared" si="143"/>
        <v>0.4</v>
      </c>
      <c r="O259" s="131">
        <f t="array" ref="O259">INDEX('LPU Regionalizada'!$B$3:$N$785,MATCH($B259,'LPU Regionalizada'!$B$3:$B$785,0),MATCH(INDEX(CTRL!$F$3:$F$29,CTRL!$E$1),'LPU Regionalizada'!$B$3:$N$3,0))</f>
        <v>24.50627104</v>
      </c>
      <c r="P259" s="88"/>
      <c r="Q259" s="132">
        <f t="shared" si="144"/>
        <v>0</v>
      </c>
      <c r="R259" s="132">
        <f t="shared" si="145"/>
        <v>0</v>
      </c>
      <c r="S259" s="132">
        <f t="shared" si="146"/>
        <v>0</v>
      </c>
      <c r="T259" s="133">
        <f t="shared" si="147"/>
        <v>0</v>
      </c>
      <c r="U259" s="134">
        <f t="shared" si="3"/>
        <v>0</v>
      </c>
      <c r="V259" s="135"/>
      <c r="W259" s="136"/>
      <c r="X259" s="2"/>
      <c r="Y259" s="111"/>
      <c r="Z259" s="3"/>
    </row>
    <row r="260" ht="14.25" hidden="1" customHeight="1" outlineLevel="2">
      <c r="A260" s="124"/>
      <c r="B260" s="125" t="s">
        <v>554</v>
      </c>
      <c r="C260" s="126" t="s">
        <v>555</v>
      </c>
      <c r="D260" s="127" t="s">
        <v>76</v>
      </c>
      <c r="E260" s="35"/>
      <c r="F260" s="128"/>
      <c r="G260" s="128"/>
      <c r="H260" s="128"/>
      <c r="I260" s="127">
        <f t="shared" si="140"/>
        <v>0</v>
      </c>
      <c r="J260" s="88"/>
      <c r="K260" s="129">
        <f t="shared" si="141"/>
        <v>15.6947489</v>
      </c>
      <c r="L260" s="130">
        <v>0.6</v>
      </c>
      <c r="M260" s="129">
        <f t="shared" si="142"/>
        <v>10.46316593</v>
      </c>
      <c r="N260" s="130">
        <f t="shared" si="143"/>
        <v>0.4</v>
      </c>
      <c r="O260" s="131">
        <f t="array" ref="O260">INDEX('LPU Regionalizada'!$B$3:$N$785,MATCH($B260,'LPU Regionalizada'!$B$3:$B$785,0),MATCH(INDEX(CTRL!$F$3:$F$29,CTRL!$E$1),'LPU Regionalizada'!$B$3:$N$3,0))</f>
        <v>26.15791483</v>
      </c>
      <c r="P260" s="88"/>
      <c r="Q260" s="132">
        <f t="shared" si="144"/>
        <v>0</v>
      </c>
      <c r="R260" s="132">
        <f t="shared" si="145"/>
        <v>0</v>
      </c>
      <c r="S260" s="132">
        <f t="shared" si="146"/>
        <v>0</v>
      </c>
      <c r="T260" s="133">
        <f t="shared" si="147"/>
        <v>0</v>
      </c>
      <c r="U260" s="134">
        <f t="shared" si="3"/>
        <v>0</v>
      </c>
      <c r="V260" s="135"/>
      <c r="W260" s="136"/>
      <c r="X260" s="2"/>
      <c r="Y260" s="111"/>
      <c r="Z260" s="3"/>
    </row>
    <row r="261" ht="14.25" hidden="1" customHeight="1" outlineLevel="1">
      <c r="A261" s="112"/>
      <c r="B261" s="113" t="s">
        <v>556</v>
      </c>
      <c r="C261" s="114" t="s">
        <v>557</v>
      </c>
      <c r="D261" s="115"/>
      <c r="E261" s="35"/>
      <c r="F261" s="113"/>
      <c r="G261" s="116"/>
      <c r="H261" s="116"/>
      <c r="I261" s="115"/>
      <c r="J261" s="88"/>
      <c r="K261" s="117"/>
      <c r="L261" s="118"/>
      <c r="M261" s="118"/>
      <c r="N261" s="118"/>
      <c r="O261" s="119"/>
      <c r="P261" s="88"/>
      <c r="Q261" s="120"/>
      <c r="R261" s="120"/>
      <c r="S261" s="120"/>
      <c r="T261" s="120">
        <f>SUM(T262:T281)</f>
        <v>0</v>
      </c>
      <c r="U261" s="121">
        <f t="shared" si="3"/>
        <v>0</v>
      </c>
      <c r="V261" s="122"/>
      <c r="W261" s="123"/>
      <c r="X261" s="2"/>
      <c r="Y261" s="111"/>
      <c r="Z261" s="3"/>
    </row>
    <row r="262" ht="14.25" hidden="1" customHeight="1" outlineLevel="2">
      <c r="A262" s="124"/>
      <c r="B262" s="125" t="s">
        <v>558</v>
      </c>
      <c r="C262" s="126" t="s">
        <v>559</v>
      </c>
      <c r="D262" s="127" t="s">
        <v>142</v>
      </c>
      <c r="E262" s="35"/>
      <c r="F262" s="128"/>
      <c r="G262" s="128"/>
      <c r="H262" s="128"/>
      <c r="I262" s="127">
        <f t="shared" ref="I262:I281" si="148">F262+G262+H262</f>
        <v>0</v>
      </c>
      <c r="J262" s="88"/>
      <c r="K262" s="129">
        <f t="shared" ref="K262:K281" si="149">L262*O262</f>
        <v>378.1624644</v>
      </c>
      <c r="L262" s="130">
        <v>0.6</v>
      </c>
      <c r="M262" s="129">
        <f t="shared" ref="M262:M281" si="150">N262*O262</f>
        <v>252.1083096</v>
      </c>
      <c r="N262" s="130">
        <f t="shared" ref="N262:N281" si="151">100%-L262</f>
        <v>0.4</v>
      </c>
      <c r="O262" s="131">
        <f t="array" ref="O262">INDEX('LPU Regionalizada'!$B$3:$N$785,MATCH($B262,'LPU Regionalizada'!$B$3:$B$785,0),MATCH(INDEX(CTRL!$F$3:$F$29,CTRL!$E$1),'LPU Regionalizada'!$B$3:$N$3,0))</f>
        <v>630.270774</v>
      </c>
      <c r="P262" s="88"/>
      <c r="Q262" s="132">
        <f t="shared" ref="Q262:Q281" si="152">F262*O262</f>
        <v>0</v>
      </c>
      <c r="R262" s="132">
        <f t="shared" ref="R262:R281" si="153">G262*O262</f>
        <v>0</v>
      </c>
      <c r="S262" s="132">
        <f t="shared" ref="S262:S281" si="154">H262*O262</f>
        <v>0</v>
      </c>
      <c r="T262" s="133">
        <f t="shared" ref="T262:T281" si="155">SUM(Q262:S262)</f>
        <v>0</v>
      </c>
      <c r="U262" s="134">
        <f t="shared" si="3"/>
        <v>0</v>
      </c>
      <c r="V262" s="135"/>
      <c r="W262" s="136"/>
      <c r="X262" s="2"/>
      <c r="Y262" s="111"/>
      <c r="Z262" s="3"/>
    </row>
    <row r="263" ht="14.25" hidden="1" customHeight="1" outlineLevel="2">
      <c r="A263" s="124"/>
      <c r="B263" s="125" t="s">
        <v>560</v>
      </c>
      <c r="C263" s="126" t="s">
        <v>561</v>
      </c>
      <c r="D263" s="127" t="s">
        <v>142</v>
      </c>
      <c r="E263" s="35"/>
      <c r="F263" s="128"/>
      <c r="G263" s="128"/>
      <c r="H263" s="128"/>
      <c r="I263" s="127">
        <f t="shared" si="148"/>
        <v>0</v>
      </c>
      <c r="J263" s="88"/>
      <c r="K263" s="129">
        <f t="shared" si="149"/>
        <v>607.284</v>
      </c>
      <c r="L263" s="130">
        <v>0.6</v>
      </c>
      <c r="M263" s="129">
        <f t="shared" si="150"/>
        <v>404.856</v>
      </c>
      <c r="N263" s="130">
        <f t="shared" si="151"/>
        <v>0.4</v>
      </c>
      <c r="O263" s="131">
        <f t="array" ref="O263">INDEX('LPU Regionalizada'!$B$3:$N$785,MATCH($B263,'LPU Regionalizada'!$B$3:$B$785,0),MATCH(INDEX(CTRL!$F$3:$F$29,CTRL!$E$1),'LPU Regionalizada'!$B$3:$N$3,0))</f>
        <v>1012.14</v>
      </c>
      <c r="P263" s="88"/>
      <c r="Q263" s="132">
        <f t="shared" si="152"/>
        <v>0</v>
      </c>
      <c r="R263" s="132">
        <f t="shared" si="153"/>
        <v>0</v>
      </c>
      <c r="S263" s="132">
        <f t="shared" si="154"/>
        <v>0</v>
      </c>
      <c r="T263" s="133">
        <f t="shared" si="155"/>
        <v>0</v>
      </c>
      <c r="U263" s="134">
        <f t="shared" si="3"/>
        <v>0</v>
      </c>
      <c r="V263" s="135"/>
      <c r="W263" s="136"/>
      <c r="X263" s="2"/>
      <c r="Y263" s="111"/>
      <c r="Z263" s="3"/>
    </row>
    <row r="264" ht="14.25" hidden="1" customHeight="1" outlineLevel="2">
      <c r="A264" s="124"/>
      <c r="B264" s="125" t="s">
        <v>562</v>
      </c>
      <c r="C264" s="126" t="s">
        <v>563</v>
      </c>
      <c r="D264" s="127" t="s">
        <v>142</v>
      </c>
      <c r="E264" s="35"/>
      <c r="F264" s="128"/>
      <c r="G264" s="128"/>
      <c r="H264" s="128"/>
      <c r="I264" s="127">
        <f t="shared" si="148"/>
        <v>0</v>
      </c>
      <c r="J264" s="88"/>
      <c r="K264" s="129">
        <f t="shared" si="149"/>
        <v>646.2</v>
      </c>
      <c r="L264" s="130">
        <v>0.6</v>
      </c>
      <c r="M264" s="129">
        <f t="shared" si="150"/>
        <v>430.8</v>
      </c>
      <c r="N264" s="130">
        <f t="shared" si="151"/>
        <v>0.4</v>
      </c>
      <c r="O264" s="131">
        <f t="array" ref="O264">INDEX('LPU Regionalizada'!$B$3:$N$785,MATCH($B264,'LPU Regionalizada'!$B$3:$B$785,0),MATCH(INDEX(CTRL!$F$3:$F$29,CTRL!$E$1),'LPU Regionalizada'!$B$3:$N$3,0))</f>
        <v>1077</v>
      </c>
      <c r="P264" s="88"/>
      <c r="Q264" s="132">
        <f t="shared" si="152"/>
        <v>0</v>
      </c>
      <c r="R264" s="132">
        <f t="shared" si="153"/>
        <v>0</v>
      </c>
      <c r="S264" s="132">
        <f t="shared" si="154"/>
        <v>0</v>
      </c>
      <c r="T264" s="133">
        <f t="shared" si="155"/>
        <v>0</v>
      </c>
      <c r="U264" s="134">
        <f t="shared" si="3"/>
        <v>0</v>
      </c>
      <c r="V264" s="135"/>
      <c r="W264" s="136"/>
      <c r="X264" s="2"/>
      <c r="Y264" s="111"/>
      <c r="Z264" s="3"/>
    </row>
    <row r="265" ht="14.25" hidden="1" customHeight="1" outlineLevel="2">
      <c r="A265" s="124"/>
      <c r="B265" s="125" t="s">
        <v>564</v>
      </c>
      <c r="C265" s="126" t="s">
        <v>565</v>
      </c>
      <c r="D265" s="127" t="s">
        <v>142</v>
      </c>
      <c r="E265" s="35"/>
      <c r="F265" s="128"/>
      <c r="G265" s="128"/>
      <c r="H265" s="128"/>
      <c r="I265" s="127">
        <f t="shared" si="148"/>
        <v>0</v>
      </c>
      <c r="J265" s="88"/>
      <c r="K265" s="129">
        <f t="shared" si="149"/>
        <v>724.17</v>
      </c>
      <c r="L265" s="130">
        <v>0.6</v>
      </c>
      <c r="M265" s="129">
        <f t="shared" si="150"/>
        <v>482.78</v>
      </c>
      <c r="N265" s="130">
        <f t="shared" si="151"/>
        <v>0.4</v>
      </c>
      <c r="O265" s="131">
        <f t="array" ref="O265">INDEX('LPU Regionalizada'!$B$3:$N$785,MATCH($B265,'LPU Regionalizada'!$B$3:$B$785,0),MATCH(INDEX(CTRL!$F$3:$F$29,CTRL!$E$1),'LPU Regionalizada'!$B$3:$N$3,0))</f>
        <v>1206.95</v>
      </c>
      <c r="P265" s="88"/>
      <c r="Q265" s="132">
        <f t="shared" si="152"/>
        <v>0</v>
      </c>
      <c r="R265" s="132">
        <f t="shared" si="153"/>
        <v>0</v>
      </c>
      <c r="S265" s="132">
        <f t="shared" si="154"/>
        <v>0</v>
      </c>
      <c r="T265" s="133">
        <f t="shared" si="155"/>
        <v>0</v>
      </c>
      <c r="U265" s="134">
        <f t="shared" si="3"/>
        <v>0</v>
      </c>
      <c r="V265" s="135"/>
      <c r="W265" s="136"/>
      <c r="X265" s="2"/>
      <c r="Y265" s="111"/>
      <c r="Z265" s="3"/>
    </row>
    <row r="266" ht="14.25" hidden="1" customHeight="1" outlineLevel="2">
      <c r="A266" s="124"/>
      <c r="B266" s="125" t="s">
        <v>566</v>
      </c>
      <c r="C266" s="126" t="s">
        <v>567</v>
      </c>
      <c r="D266" s="127" t="s">
        <v>142</v>
      </c>
      <c r="E266" s="35"/>
      <c r="F266" s="128"/>
      <c r="G266" s="128"/>
      <c r="H266" s="128"/>
      <c r="I266" s="127">
        <f t="shared" si="148"/>
        <v>0</v>
      </c>
      <c r="J266" s="88"/>
      <c r="K266" s="129">
        <f t="shared" si="149"/>
        <v>931.2</v>
      </c>
      <c r="L266" s="130">
        <v>0.6</v>
      </c>
      <c r="M266" s="129">
        <f t="shared" si="150"/>
        <v>620.8</v>
      </c>
      <c r="N266" s="130">
        <f t="shared" si="151"/>
        <v>0.4</v>
      </c>
      <c r="O266" s="131">
        <f t="array" ref="O266">INDEX('LPU Regionalizada'!$B$3:$N$785,MATCH($B266,'LPU Regionalizada'!$B$3:$B$785,0),MATCH(INDEX(CTRL!$F$3:$F$29,CTRL!$E$1),'LPU Regionalizada'!$B$3:$N$3,0))</f>
        <v>1552</v>
      </c>
      <c r="P266" s="88"/>
      <c r="Q266" s="132">
        <f t="shared" si="152"/>
        <v>0</v>
      </c>
      <c r="R266" s="132">
        <f t="shared" si="153"/>
        <v>0</v>
      </c>
      <c r="S266" s="132">
        <f t="shared" si="154"/>
        <v>0</v>
      </c>
      <c r="T266" s="133">
        <f t="shared" si="155"/>
        <v>0</v>
      </c>
      <c r="U266" s="134">
        <f t="shared" si="3"/>
        <v>0</v>
      </c>
      <c r="V266" s="135"/>
      <c r="W266" s="136"/>
      <c r="X266" s="2"/>
      <c r="Y266" s="111"/>
      <c r="Z266" s="3"/>
    </row>
    <row r="267" ht="14.25" hidden="1" customHeight="1" outlineLevel="2">
      <c r="A267" s="124"/>
      <c r="B267" s="125" t="s">
        <v>568</v>
      </c>
      <c r="C267" s="126" t="s">
        <v>569</v>
      </c>
      <c r="D267" s="127" t="s">
        <v>142</v>
      </c>
      <c r="E267" s="35"/>
      <c r="F267" s="128"/>
      <c r="G267" s="128"/>
      <c r="H267" s="128"/>
      <c r="I267" s="127">
        <f t="shared" si="148"/>
        <v>0</v>
      </c>
      <c r="J267" s="88"/>
      <c r="K267" s="129">
        <f t="shared" si="149"/>
        <v>628.4849508</v>
      </c>
      <c r="L267" s="130">
        <v>0.6</v>
      </c>
      <c r="M267" s="129">
        <f t="shared" si="150"/>
        <v>418.9899672</v>
      </c>
      <c r="N267" s="130">
        <f t="shared" si="151"/>
        <v>0.4</v>
      </c>
      <c r="O267" s="131">
        <f t="array" ref="O267">INDEX('LPU Regionalizada'!$B$3:$N$785,MATCH($B267,'LPU Regionalizada'!$B$3:$B$785,0),MATCH(INDEX(CTRL!$F$3:$F$29,CTRL!$E$1),'LPU Regionalizada'!$B$3:$N$3,0))</f>
        <v>1047.474918</v>
      </c>
      <c r="P267" s="88"/>
      <c r="Q267" s="132">
        <f t="shared" si="152"/>
        <v>0</v>
      </c>
      <c r="R267" s="132">
        <f t="shared" si="153"/>
        <v>0</v>
      </c>
      <c r="S267" s="132">
        <f t="shared" si="154"/>
        <v>0</v>
      </c>
      <c r="T267" s="133">
        <f t="shared" si="155"/>
        <v>0</v>
      </c>
      <c r="U267" s="134">
        <f t="shared" si="3"/>
        <v>0</v>
      </c>
      <c r="V267" s="135"/>
      <c r="W267" s="136"/>
      <c r="X267" s="2"/>
      <c r="Y267" s="111"/>
      <c r="Z267" s="3"/>
    </row>
    <row r="268" ht="14.25" hidden="1" customHeight="1" outlineLevel="2">
      <c r="A268" s="124"/>
      <c r="B268" s="125" t="s">
        <v>570</v>
      </c>
      <c r="C268" s="126" t="s">
        <v>571</v>
      </c>
      <c r="D268" s="127" t="s">
        <v>142</v>
      </c>
      <c r="E268" s="35"/>
      <c r="F268" s="128"/>
      <c r="G268" s="128"/>
      <c r="H268" s="128"/>
      <c r="I268" s="127">
        <f t="shared" si="148"/>
        <v>0</v>
      </c>
      <c r="J268" s="88"/>
      <c r="K268" s="129">
        <f t="shared" si="149"/>
        <v>820.3329</v>
      </c>
      <c r="L268" s="130">
        <v>0.6</v>
      </c>
      <c r="M268" s="129">
        <f t="shared" si="150"/>
        <v>546.8886</v>
      </c>
      <c r="N268" s="130">
        <f t="shared" si="151"/>
        <v>0.4</v>
      </c>
      <c r="O268" s="131">
        <f t="array" ref="O268">INDEX('LPU Regionalizada'!$B$3:$N$785,MATCH($B268,'LPU Regionalizada'!$B$3:$B$785,0),MATCH(INDEX(CTRL!$F$3:$F$29,CTRL!$E$1),'LPU Regionalizada'!$B$3:$N$3,0))</f>
        <v>1367.2215</v>
      </c>
      <c r="P268" s="88"/>
      <c r="Q268" s="132">
        <f t="shared" si="152"/>
        <v>0</v>
      </c>
      <c r="R268" s="132">
        <f t="shared" si="153"/>
        <v>0</v>
      </c>
      <c r="S268" s="132">
        <f t="shared" si="154"/>
        <v>0</v>
      </c>
      <c r="T268" s="133">
        <f t="shared" si="155"/>
        <v>0</v>
      </c>
      <c r="U268" s="134">
        <f t="shared" si="3"/>
        <v>0</v>
      </c>
      <c r="V268" s="135"/>
      <c r="W268" s="136"/>
      <c r="X268" s="2"/>
      <c r="Y268" s="111"/>
      <c r="Z268" s="3"/>
    </row>
    <row r="269" ht="14.25" hidden="1" customHeight="1" outlineLevel="2">
      <c r="A269" s="124"/>
      <c r="B269" s="125" t="s">
        <v>572</v>
      </c>
      <c r="C269" s="126" t="s">
        <v>573</v>
      </c>
      <c r="D269" s="127" t="s">
        <v>142</v>
      </c>
      <c r="E269" s="35"/>
      <c r="F269" s="128"/>
      <c r="G269" s="128"/>
      <c r="H269" s="128"/>
      <c r="I269" s="127">
        <f t="shared" si="148"/>
        <v>0</v>
      </c>
      <c r="J269" s="88"/>
      <c r="K269" s="129">
        <f t="shared" si="149"/>
        <v>616.698</v>
      </c>
      <c r="L269" s="130">
        <v>0.6</v>
      </c>
      <c r="M269" s="129">
        <f t="shared" si="150"/>
        <v>411.132</v>
      </c>
      <c r="N269" s="130">
        <f t="shared" si="151"/>
        <v>0.4</v>
      </c>
      <c r="O269" s="131">
        <f t="array" ref="O269">INDEX('LPU Regionalizada'!$B$3:$N$785,MATCH($B269,'LPU Regionalizada'!$B$3:$B$785,0),MATCH(INDEX(CTRL!$F$3:$F$29,CTRL!$E$1),'LPU Regionalizada'!$B$3:$N$3,0))</f>
        <v>1027.83</v>
      </c>
      <c r="P269" s="88"/>
      <c r="Q269" s="132">
        <f t="shared" si="152"/>
        <v>0</v>
      </c>
      <c r="R269" s="132">
        <f t="shared" si="153"/>
        <v>0</v>
      </c>
      <c r="S269" s="132">
        <f t="shared" si="154"/>
        <v>0</v>
      </c>
      <c r="T269" s="133">
        <f t="shared" si="155"/>
        <v>0</v>
      </c>
      <c r="U269" s="134">
        <f t="shared" si="3"/>
        <v>0</v>
      </c>
      <c r="V269" s="135"/>
      <c r="W269" s="136"/>
      <c r="X269" s="2"/>
      <c r="Y269" s="111"/>
      <c r="Z269" s="3"/>
    </row>
    <row r="270" ht="14.25" hidden="1" customHeight="1" outlineLevel="2">
      <c r="A270" s="124"/>
      <c r="B270" s="125" t="s">
        <v>574</v>
      </c>
      <c r="C270" s="126" t="s">
        <v>575</v>
      </c>
      <c r="D270" s="127" t="s">
        <v>142</v>
      </c>
      <c r="E270" s="35"/>
      <c r="F270" s="128"/>
      <c r="G270" s="128"/>
      <c r="H270" s="128"/>
      <c r="I270" s="127">
        <f t="shared" si="148"/>
        <v>0</v>
      </c>
      <c r="J270" s="88"/>
      <c r="K270" s="129">
        <f t="shared" si="149"/>
        <v>794.484</v>
      </c>
      <c r="L270" s="130">
        <v>0.6</v>
      </c>
      <c r="M270" s="129">
        <f t="shared" si="150"/>
        <v>529.656</v>
      </c>
      <c r="N270" s="130">
        <f t="shared" si="151"/>
        <v>0.4</v>
      </c>
      <c r="O270" s="131">
        <f t="array" ref="O270">INDEX('LPU Regionalizada'!$B$3:$N$785,MATCH($B270,'LPU Regionalizada'!$B$3:$B$785,0),MATCH(INDEX(CTRL!$F$3:$F$29,CTRL!$E$1),'LPU Regionalizada'!$B$3:$N$3,0))</f>
        <v>1324.14</v>
      </c>
      <c r="P270" s="88"/>
      <c r="Q270" s="132">
        <f t="shared" si="152"/>
        <v>0</v>
      </c>
      <c r="R270" s="132">
        <f t="shared" si="153"/>
        <v>0</v>
      </c>
      <c r="S270" s="132">
        <f t="shared" si="154"/>
        <v>0</v>
      </c>
      <c r="T270" s="133">
        <f t="shared" si="155"/>
        <v>0</v>
      </c>
      <c r="U270" s="134">
        <f t="shared" si="3"/>
        <v>0</v>
      </c>
      <c r="V270" s="135"/>
      <c r="W270" s="136"/>
      <c r="X270" s="2"/>
      <c r="Y270" s="111"/>
      <c r="Z270" s="3"/>
    </row>
    <row r="271" ht="14.25" hidden="1" customHeight="1" outlineLevel="2">
      <c r="A271" s="124"/>
      <c r="B271" s="125" t="s">
        <v>576</v>
      </c>
      <c r="C271" s="126" t="s">
        <v>577</v>
      </c>
      <c r="D271" s="127" t="s">
        <v>142</v>
      </c>
      <c r="E271" s="35"/>
      <c r="F271" s="128"/>
      <c r="G271" s="128"/>
      <c r="H271" s="128"/>
      <c r="I271" s="127">
        <f t="shared" si="148"/>
        <v>0</v>
      </c>
      <c r="J271" s="88"/>
      <c r="K271" s="129">
        <f t="shared" si="149"/>
        <v>1111.4727</v>
      </c>
      <c r="L271" s="130">
        <v>0.6</v>
      </c>
      <c r="M271" s="129">
        <f t="shared" si="150"/>
        <v>740.9818</v>
      </c>
      <c r="N271" s="130">
        <f t="shared" si="151"/>
        <v>0.4</v>
      </c>
      <c r="O271" s="131">
        <f t="array" ref="O271">INDEX('LPU Regionalizada'!$B$3:$N$785,MATCH($B271,'LPU Regionalizada'!$B$3:$B$785,0),MATCH(INDEX(CTRL!$F$3:$F$29,CTRL!$E$1),'LPU Regionalizada'!$B$3:$N$3,0))</f>
        <v>1852.4545</v>
      </c>
      <c r="P271" s="88"/>
      <c r="Q271" s="132">
        <f t="shared" si="152"/>
        <v>0</v>
      </c>
      <c r="R271" s="132">
        <f t="shared" si="153"/>
        <v>0</v>
      </c>
      <c r="S271" s="132">
        <f t="shared" si="154"/>
        <v>0</v>
      </c>
      <c r="T271" s="133">
        <f t="shared" si="155"/>
        <v>0</v>
      </c>
      <c r="U271" s="134">
        <f t="shared" si="3"/>
        <v>0</v>
      </c>
      <c r="V271" s="135"/>
      <c r="W271" s="136"/>
      <c r="X271" s="2"/>
      <c r="Y271" s="111"/>
      <c r="Z271" s="3"/>
    </row>
    <row r="272" ht="14.25" hidden="1" customHeight="1" outlineLevel="2">
      <c r="A272" s="124"/>
      <c r="B272" s="125" t="s">
        <v>578</v>
      </c>
      <c r="C272" s="126" t="s">
        <v>579</v>
      </c>
      <c r="D272" s="127" t="s">
        <v>142</v>
      </c>
      <c r="E272" s="35"/>
      <c r="F272" s="128"/>
      <c r="G272" s="128"/>
      <c r="H272" s="128"/>
      <c r="I272" s="127">
        <f t="shared" si="148"/>
        <v>0</v>
      </c>
      <c r="J272" s="88"/>
      <c r="K272" s="129">
        <f t="shared" si="149"/>
        <v>1159.21848</v>
      </c>
      <c r="L272" s="130">
        <v>0.6</v>
      </c>
      <c r="M272" s="129">
        <f t="shared" si="150"/>
        <v>772.81232</v>
      </c>
      <c r="N272" s="130">
        <f t="shared" si="151"/>
        <v>0.4</v>
      </c>
      <c r="O272" s="131">
        <f t="array" ref="O272">INDEX('LPU Regionalizada'!$B$3:$N$785,MATCH($B272,'LPU Regionalizada'!$B$3:$B$785,0),MATCH(INDEX(CTRL!$F$3:$F$29,CTRL!$E$1),'LPU Regionalizada'!$B$3:$N$3,0))</f>
        <v>1932.0308</v>
      </c>
      <c r="P272" s="88"/>
      <c r="Q272" s="132">
        <f t="shared" si="152"/>
        <v>0</v>
      </c>
      <c r="R272" s="132">
        <f t="shared" si="153"/>
        <v>0</v>
      </c>
      <c r="S272" s="132">
        <f t="shared" si="154"/>
        <v>0</v>
      </c>
      <c r="T272" s="133">
        <f t="shared" si="155"/>
        <v>0</v>
      </c>
      <c r="U272" s="134">
        <f t="shared" si="3"/>
        <v>0</v>
      </c>
      <c r="V272" s="135"/>
      <c r="W272" s="136"/>
      <c r="X272" s="2"/>
      <c r="Y272" s="111"/>
      <c r="Z272" s="3"/>
    </row>
    <row r="273" ht="14.25" hidden="1" customHeight="1" outlineLevel="2">
      <c r="A273" s="124"/>
      <c r="B273" s="125" t="s">
        <v>580</v>
      </c>
      <c r="C273" s="126" t="s">
        <v>581</v>
      </c>
      <c r="D273" s="127" t="s">
        <v>142</v>
      </c>
      <c r="E273" s="35"/>
      <c r="F273" s="128"/>
      <c r="G273" s="128"/>
      <c r="H273" s="128"/>
      <c r="I273" s="127">
        <f t="shared" si="148"/>
        <v>0</v>
      </c>
      <c r="J273" s="88"/>
      <c r="K273" s="129">
        <f t="shared" si="149"/>
        <v>836.2621608</v>
      </c>
      <c r="L273" s="130">
        <v>0.6</v>
      </c>
      <c r="M273" s="129">
        <f t="shared" si="150"/>
        <v>557.5081072</v>
      </c>
      <c r="N273" s="130">
        <f t="shared" si="151"/>
        <v>0.4</v>
      </c>
      <c r="O273" s="131">
        <f t="array" ref="O273">INDEX('LPU Regionalizada'!$B$3:$N$785,MATCH($B273,'LPU Regionalizada'!$B$3:$B$785,0),MATCH(INDEX(CTRL!$F$3:$F$29,CTRL!$E$1),'LPU Regionalizada'!$B$3:$N$3,0))</f>
        <v>1393.770268</v>
      </c>
      <c r="P273" s="88"/>
      <c r="Q273" s="132">
        <f t="shared" si="152"/>
        <v>0</v>
      </c>
      <c r="R273" s="132">
        <f t="shared" si="153"/>
        <v>0</v>
      </c>
      <c r="S273" s="132">
        <f t="shared" si="154"/>
        <v>0</v>
      </c>
      <c r="T273" s="133">
        <f t="shared" si="155"/>
        <v>0</v>
      </c>
      <c r="U273" s="134">
        <f t="shared" si="3"/>
        <v>0</v>
      </c>
      <c r="V273" s="135"/>
      <c r="W273" s="136"/>
      <c r="X273" s="2"/>
      <c r="Y273" s="111"/>
      <c r="Z273" s="3"/>
    </row>
    <row r="274" ht="14.25" hidden="1" customHeight="1" outlineLevel="2">
      <c r="A274" s="124"/>
      <c r="B274" s="125" t="s">
        <v>582</v>
      </c>
      <c r="C274" s="126" t="s">
        <v>583</v>
      </c>
      <c r="D274" s="127" t="s">
        <v>142</v>
      </c>
      <c r="E274" s="35"/>
      <c r="F274" s="128"/>
      <c r="G274" s="128"/>
      <c r="H274" s="128"/>
      <c r="I274" s="127">
        <f t="shared" si="148"/>
        <v>0</v>
      </c>
      <c r="J274" s="88"/>
      <c r="K274" s="129">
        <f t="shared" si="149"/>
        <v>124.16427</v>
      </c>
      <c r="L274" s="130">
        <v>0.6</v>
      </c>
      <c r="M274" s="129">
        <f t="shared" si="150"/>
        <v>82.77618</v>
      </c>
      <c r="N274" s="130">
        <f t="shared" si="151"/>
        <v>0.4</v>
      </c>
      <c r="O274" s="131">
        <f t="array" ref="O274">INDEX('LPU Regionalizada'!$B$3:$N$785,MATCH($B274,'LPU Regionalizada'!$B$3:$B$785,0),MATCH(INDEX(CTRL!$F$3:$F$29,CTRL!$E$1),'LPU Regionalizada'!$B$3:$N$3,0))</f>
        <v>206.94045</v>
      </c>
      <c r="P274" s="88"/>
      <c r="Q274" s="132">
        <f t="shared" si="152"/>
        <v>0</v>
      </c>
      <c r="R274" s="132">
        <f t="shared" si="153"/>
        <v>0</v>
      </c>
      <c r="S274" s="132">
        <f t="shared" si="154"/>
        <v>0</v>
      </c>
      <c r="T274" s="133">
        <f t="shared" si="155"/>
        <v>0</v>
      </c>
      <c r="U274" s="134">
        <f t="shared" si="3"/>
        <v>0</v>
      </c>
      <c r="V274" s="135"/>
      <c r="W274" s="136"/>
      <c r="X274" s="2"/>
      <c r="Y274" s="111"/>
      <c r="Z274" s="3"/>
    </row>
    <row r="275" ht="14.25" hidden="1" customHeight="1" outlineLevel="2">
      <c r="A275" s="124"/>
      <c r="B275" s="125" t="s">
        <v>584</v>
      </c>
      <c r="C275" s="126" t="s">
        <v>585</v>
      </c>
      <c r="D275" s="127" t="s">
        <v>142</v>
      </c>
      <c r="E275" s="35"/>
      <c r="F275" s="128"/>
      <c r="G275" s="128"/>
      <c r="H275" s="128"/>
      <c r="I275" s="127">
        <f t="shared" si="148"/>
        <v>0</v>
      </c>
      <c r="J275" s="88"/>
      <c r="K275" s="129">
        <f t="shared" si="149"/>
        <v>156.643962</v>
      </c>
      <c r="L275" s="130">
        <v>0.6</v>
      </c>
      <c r="M275" s="129">
        <f t="shared" si="150"/>
        <v>104.429308</v>
      </c>
      <c r="N275" s="130">
        <f t="shared" si="151"/>
        <v>0.4</v>
      </c>
      <c r="O275" s="131">
        <f t="array" ref="O275">INDEX('LPU Regionalizada'!$B$3:$N$785,MATCH($B275,'LPU Regionalizada'!$B$3:$B$785,0),MATCH(INDEX(CTRL!$F$3:$F$29,CTRL!$E$1),'LPU Regionalizada'!$B$3:$N$3,0))</f>
        <v>261.07327</v>
      </c>
      <c r="P275" s="88"/>
      <c r="Q275" s="132">
        <f t="shared" si="152"/>
        <v>0</v>
      </c>
      <c r="R275" s="132">
        <f t="shared" si="153"/>
        <v>0</v>
      </c>
      <c r="S275" s="132">
        <f t="shared" si="154"/>
        <v>0</v>
      </c>
      <c r="T275" s="133">
        <f t="shared" si="155"/>
        <v>0</v>
      </c>
      <c r="U275" s="134">
        <f t="shared" si="3"/>
        <v>0</v>
      </c>
      <c r="V275" s="135"/>
      <c r="W275" s="136"/>
      <c r="X275" s="2"/>
      <c r="Y275" s="111"/>
      <c r="Z275" s="3"/>
    </row>
    <row r="276" ht="14.25" hidden="1" customHeight="1" outlineLevel="2">
      <c r="A276" s="124"/>
      <c r="B276" s="125" t="s">
        <v>586</v>
      </c>
      <c r="C276" s="126" t="s">
        <v>587</v>
      </c>
      <c r="D276" s="127" t="s">
        <v>142</v>
      </c>
      <c r="E276" s="35"/>
      <c r="F276" s="128"/>
      <c r="G276" s="128"/>
      <c r="H276" s="128"/>
      <c r="I276" s="127">
        <f t="shared" si="148"/>
        <v>0</v>
      </c>
      <c r="J276" s="88"/>
      <c r="K276" s="129">
        <f t="shared" si="149"/>
        <v>561.6</v>
      </c>
      <c r="L276" s="130">
        <v>0.6</v>
      </c>
      <c r="M276" s="129">
        <f t="shared" si="150"/>
        <v>374.4</v>
      </c>
      <c r="N276" s="130">
        <f t="shared" si="151"/>
        <v>0.4</v>
      </c>
      <c r="O276" s="131">
        <f t="array" ref="O276">INDEX('LPU Regionalizada'!$B$3:$N$785,MATCH($B276,'LPU Regionalizada'!$B$3:$B$785,0),MATCH(INDEX(CTRL!$F$3:$F$29,CTRL!$E$1),'LPU Regionalizada'!$B$3:$N$3,0))</f>
        <v>936</v>
      </c>
      <c r="P276" s="88"/>
      <c r="Q276" s="132">
        <f t="shared" si="152"/>
        <v>0</v>
      </c>
      <c r="R276" s="132">
        <f t="shared" si="153"/>
        <v>0</v>
      </c>
      <c r="S276" s="132">
        <f t="shared" si="154"/>
        <v>0</v>
      </c>
      <c r="T276" s="133">
        <f t="shared" si="155"/>
        <v>0</v>
      </c>
      <c r="U276" s="134">
        <f t="shared" si="3"/>
        <v>0</v>
      </c>
      <c r="V276" s="135"/>
      <c r="W276" s="136"/>
      <c r="X276" s="2"/>
      <c r="Y276" s="111"/>
      <c r="Z276" s="3"/>
    </row>
    <row r="277" ht="14.25" hidden="1" customHeight="1" outlineLevel="2">
      <c r="A277" s="124"/>
      <c r="B277" s="125" t="s">
        <v>588</v>
      </c>
      <c r="C277" s="126" t="s">
        <v>589</v>
      </c>
      <c r="D277" s="127" t="s">
        <v>76</v>
      </c>
      <c r="E277" s="35"/>
      <c r="F277" s="128"/>
      <c r="G277" s="128"/>
      <c r="H277" s="128"/>
      <c r="I277" s="127">
        <f t="shared" si="148"/>
        <v>0</v>
      </c>
      <c r="J277" s="88"/>
      <c r="K277" s="129">
        <f t="shared" si="149"/>
        <v>796.8504549</v>
      </c>
      <c r="L277" s="130">
        <v>0.6</v>
      </c>
      <c r="M277" s="129">
        <f t="shared" si="150"/>
        <v>531.2336366</v>
      </c>
      <c r="N277" s="130">
        <f t="shared" si="151"/>
        <v>0.4</v>
      </c>
      <c r="O277" s="131">
        <f t="array" ref="O277">INDEX('LPU Regionalizada'!$B$3:$N$785,MATCH($B277,'LPU Regionalizada'!$B$3:$B$785,0),MATCH(INDEX(CTRL!$F$3:$F$29,CTRL!$E$1),'LPU Regionalizada'!$B$3:$N$3,0))</f>
        <v>1328.084091</v>
      </c>
      <c r="P277" s="88"/>
      <c r="Q277" s="132">
        <f t="shared" si="152"/>
        <v>0</v>
      </c>
      <c r="R277" s="132">
        <f t="shared" si="153"/>
        <v>0</v>
      </c>
      <c r="S277" s="132">
        <f t="shared" si="154"/>
        <v>0</v>
      </c>
      <c r="T277" s="133">
        <f t="shared" si="155"/>
        <v>0</v>
      </c>
      <c r="U277" s="134">
        <f t="shared" si="3"/>
        <v>0</v>
      </c>
      <c r="V277" s="135"/>
      <c r="W277" s="136"/>
      <c r="X277" s="2"/>
      <c r="Y277" s="111"/>
      <c r="Z277" s="3"/>
    </row>
    <row r="278" ht="14.25" hidden="1" customHeight="1" outlineLevel="2">
      <c r="A278" s="124"/>
      <c r="B278" s="125" t="s">
        <v>590</v>
      </c>
      <c r="C278" s="126" t="s">
        <v>591</v>
      </c>
      <c r="D278" s="127" t="s">
        <v>475</v>
      </c>
      <c r="E278" s="35"/>
      <c r="F278" s="128"/>
      <c r="G278" s="128"/>
      <c r="H278" s="128"/>
      <c r="I278" s="127">
        <f t="shared" si="148"/>
        <v>0</v>
      </c>
      <c r="J278" s="88"/>
      <c r="K278" s="129">
        <f t="shared" si="149"/>
        <v>257.02296</v>
      </c>
      <c r="L278" s="130">
        <v>0.6</v>
      </c>
      <c r="M278" s="129">
        <f t="shared" si="150"/>
        <v>171.34864</v>
      </c>
      <c r="N278" s="130">
        <f t="shared" si="151"/>
        <v>0.4</v>
      </c>
      <c r="O278" s="131">
        <f t="array" ref="O278">INDEX('LPU Regionalizada'!$B$3:$N$785,MATCH($B278,'LPU Regionalizada'!$B$3:$B$785,0),MATCH(INDEX(CTRL!$F$3:$F$29,CTRL!$E$1),'LPU Regionalizada'!$B$3:$N$3,0))</f>
        <v>428.3716</v>
      </c>
      <c r="P278" s="88"/>
      <c r="Q278" s="132">
        <f t="shared" si="152"/>
        <v>0</v>
      </c>
      <c r="R278" s="132">
        <f t="shared" si="153"/>
        <v>0</v>
      </c>
      <c r="S278" s="132">
        <f t="shared" si="154"/>
        <v>0</v>
      </c>
      <c r="T278" s="133">
        <f t="shared" si="155"/>
        <v>0</v>
      </c>
      <c r="U278" s="134">
        <f t="shared" si="3"/>
        <v>0</v>
      </c>
      <c r="V278" s="135"/>
      <c r="W278" s="136"/>
      <c r="X278" s="2"/>
      <c r="Y278" s="111"/>
      <c r="Z278" s="3"/>
    </row>
    <row r="279" ht="14.25" hidden="1" customHeight="1" outlineLevel="2">
      <c r="A279" s="124"/>
      <c r="B279" s="125" t="s">
        <v>592</v>
      </c>
      <c r="C279" s="126" t="s">
        <v>593</v>
      </c>
      <c r="D279" s="127" t="s">
        <v>475</v>
      </c>
      <c r="E279" s="35"/>
      <c r="F279" s="128"/>
      <c r="G279" s="128"/>
      <c r="H279" s="128"/>
      <c r="I279" s="127">
        <f t="shared" si="148"/>
        <v>0</v>
      </c>
      <c r="J279" s="88"/>
      <c r="K279" s="129">
        <f t="shared" si="149"/>
        <v>257.02296</v>
      </c>
      <c r="L279" s="130">
        <v>0.6</v>
      </c>
      <c r="M279" s="129">
        <f t="shared" si="150"/>
        <v>171.34864</v>
      </c>
      <c r="N279" s="130">
        <f t="shared" si="151"/>
        <v>0.4</v>
      </c>
      <c r="O279" s="131">
        <f t="array" ref="O279">INDEX('LPU Regionalizada'!$B$3:$N$785,MATCH($B279,'LPU Regionalizada'!$B$3:$B$785,0),MATCH(INDEX(CTRL!$F$3:$F$29,CTRL!$E$1),'LPU Regionalizada'!$B$3:$N$3,0))</f>
        <v>428.3716</v>
      </c>
      <c r="P279" s="88"/>
      <c r="Q279" s="132">
        <f t="shared" si="152"/>
        <v>0</v>
      </c>
      <c r="R279" s="132">
        <f t="shared" si="153"/>
        <v>0</v>
      </c>
      <c r="S279" s="132">
        <f t="shared" si="154"/>
        <v>0</v>
      </c>
      <c r="T279" s="133">
        <f t="shared" si="155"/>
        <v>0</v>
      </c>
      <c r="U279" s="134">
        <f t="shared" si="3"/>
        <v>0</v>
      </c>
      <c r="V279" s="135"/>
      <c r="W279" s="136"/>
      <c r="X279" s="2"/>
      <c r="Y279" s="111"/>
      <c r="Z279" s="3"/>
    </row>
    <row r="280" ht="14.25" hidden="1" customHeight="1" outlineLevel="2">
      <c r="A280" s="124"/>
      <c r="B280" s="125" t="s">
        <v>594</v>
      </c>
      <c r="C280" s="126" t="s">
        <v>595</v>
      </c>
      <c r="D280" s="127" t="s">
        <v>475</v>
      </c>
      <c r="E280" s="35"/>
      <c r="F280" s="128"/>
      <c r="G280" s="128"/>
      <c r="H280" s="128"/>
      <c r="I280" s="127">
        <f t="shared" si="148"/>
        <v>0</v>
      </c>
      <c r="J280" s="88"/>
      <c r="K280" s="129">
        <f t="shared" si="149"/>
        <v>296.4418512</v>
      </c>
      <c r="L280" s="130">
        <v>0.6</v>
      </c>
      <c r="M280" s="129">
        <f t="shared" si="150"/>
        <v>197.6279008</v>
      </c>
      <c r="N280" s="130">
        <f t="shared" si="151"/>
        <v>0.4</v>
      </c>
      <c r="O280" s="131">
        <f t="array" ref="O280">INDEX('LPU Regionalizada'!$B$3:$N$785,MATCH($B280,'LPU Regionalizada'!$B$3:$B$785,0),MATCH(INDEX(CTRL!$F$3:$F$29,CTRL!$E$1),'LPU Regionalizada'!$B$3:$N$3,0))</f>
        <v>494.069752</v>
      </c>
      <c r="P280" s="88"/>
      <c r="Q280" s="132">
        <f t="shared" si="152"/>
        <v>0</v>
      </c>
      <c r="R280" s="132">
        <f t="shared" si="153"/>
        <v>0</v>
      </c>
      <c r="S280" s="132">
        <f t="shared" si="154"/>
        <v>0</v>
      </c>
      <c r="T280" s="133">
        <f t="shared" si="155"/>
        <v>0</v>
      </c>
      <c r="U280" s="134">
        <f t="shared" si="3"/>
        <v>0</v>
      </c>
      <c r="V280" s="135"/>
      <c r="W280" s="136"/>
      <c r="X280" s="2"/>
      <c r="Y280" s="111"/>
      <c r="Z280" s="3"/>
    </row>
    <row r="281" ht="14.25" hidden="1" customHeight="1" outlineLevel="2">
      <c r="A281" s="124"/>
      <c r="B281" s="125" t="s">
        <v>596</v>
      </c>
      <c r="C281" s="126" t="s">
        <v>597</v>
      </c>
      <c r="D281" s="127" t="s">
        <v>475</v>
      </c>
      <c r="E281" s="35"/>
      <c r="F281" s="128"/>
      <c r="G281" s="128"/>
      <c r="H281" s="128"/>
      <c r="I281" s="127">
        <f t="shared" si="148"/>
        <v>0</v>
      </c>
      <c r="J281" s="88"/>
      <c r="K281" s="129">
        <f t="shared" si="149"/>
        <v>312.4858431</v>
      </c>
      <c r="L281" s="130">
        <v>0.6</v>
      </c>
      <c r="M281" s="129">
        <f t="shared" si="150"/>
        <v>208.3238954</v>
      </c>
      <c r="N281" s="130">
        <f t="shared" si="151"/>
        <v>0.4</v>
      </c>
      <c r="O281" s="131">
        <f t="array" ref="O281">INDEX('LPU Regionalizada'!$B$3:$N$785,MATCH($B281,'LPU Regionalizada'!$B$3:$B$785,0),MATCH(INDEX(CTRL!$F$3:$F$29,CTRL!$E$1),'LPU Regionalizada'!$B$3:$N$3,0))</f>
        <v>520.8097385</v>
      </c>
      <c r="P281" s="88"/>
      <c r="Q281" s="132">
        <f t="shared" si="152"/>
        <v>0</v>
      </c>
      <c r="R281" s="132">
        <f t="shared" si="153"/>
        <v>0</v>
      </c>
      <c r="S281" s="132">
        <f t="shared" si="154"/>
        <v>0</v>
      </c>
      <c r="T281" s="133">
        <f t="shared" si="155"/>
        <v>0</v>
      </c>
      <c r="U281" s="134">
        <f t="shared" si="3"/>
        <v>0</v>
      </c>
      <c r="V281" s="135"/>
      <c r="W281" s="136"/>
      <c r="X281" s="2"/>
      <c r="Y281" s="111"/>
      <c r="Z281" s="3"/>
    </row>
    <row r="282" ht="14.25" hidden="1" customHeight="1" outlineLevel="1">
      <c r="A282" s="112"/>
      <c r="B282" s="113" t="s">
        <v>598</v>
      </c>
      <c r="C282" s="114" t="s">
        <v>599</v>
      </c>
      <c r="D282" s="115"/>
      <c r="E282" s="35"/>
      <c r="F282" s="113"/>
      <c r="G282" s="116"/>
      <c r="H282" s="116"/>
      <c r="I282" s="115"/>
      <c r="J282" s="88"/>
      <c r="K282" s="117"/>
      <c r="L282" s="118"/>
      <c r="M282" s="118"/>
      <c r="N282" s="118"/>
      <c r="O282" s="119"/>
      <c r="P282" s="88"/>
      <c r="Q282" s="120"/>
      <c r="R282" s="120"/>
      <c r="S282" s="120"/>
      <c r="T282" s="120">
        <f>SUM(T283:T303)</f>
        <v>0</v>
      </c>
      <c r="U282" s="121">
        <f t="shared" si="3"/>
        <v>0</v>
      </c>
      <c r="V282" s="122"/>
      <c r="W282" s="123"/>
      <c r="X282" s="2"/>
      <c r="Y282" s="111"/>
      <c r="Z282" s="3"/>
    </row>
    <row r="283" ht="14.25" hidden="1" customHeight="1" outlineLevel="2">
      <c r="A283" s="124"/>
      <c r="B283" s="125" t="s">
        <v>600</v>
      </c>
      <c r="C283" s="126" t="s">
        <v>601</v>
      </c>
      <c r="D283" s="127" t="s">
        <v>180</v>
      </c>
      <c r="E283" s="35"/>
      <c r="F283" s="128"/>
      <c r="G283" s="128"/>
      <c r="H283" s="128"/>
      <c r="I283" s="127">
        <f t="shared" ref="I283:I303" si="156">F283+G283+H283</f>
        <v>0</v>
      </c>
      <c r="J283" s="88"/>
      <c r="K283" s="129">
        <f t="shared" ref="K283:K303" si="157">L283*O283</f>
        <v>23.15998821</v>
      </c>
      <c r="L283" s="130">
        <v>0.6</v>
      </c>
      <c r="M283" s="129">
        <f t="shared" ref="M283:M303" si="158">N283*O283</f>
        <v>15.43999214</v>
      </c>
      <c r="N283" s="130">
        <f t="shared" ref="N283:N303" si="159">100%-L283</f>
        <v>0.4</v>
      </c>
      <c r="O283" s="131">
        <f t="array" ref="O283">INDEX('LPU Regionalizada'!$B$3:$N$785,MATCH($B283,'LPU Regionalizada'!$B$3:$B$785,0),MATCH(INDEX(CTRL!$F$3:$F$29,CTRL!$E$1),'LPU Regionalizada'!$B$3:$N$3,0))</f>
        <v>38.59998035</v>
      </c>
      <c r="P283" s="88"/>
      <c r="Q283" s="132">
        <f t="shared" ref="Q283:Q303" si="160">F283*O283</f>
        <v>0</v>
      </c>
      <c r="R283" s="132">
        <f t="shared" ref="R283:R303" si="161">G283*O283</f>
        <v>0</v>
      </c>
      <c r="S283" s="132">
        <f t="shared" ref="S283:S303" si="162">H283*O283</f>
        <v>0</v>
      </c>
      <c r="T283" s="133">
        <f t="shared" ref="T283:T303" si="163">SUM(Q283:S283)</f>
        <v>0</v>
      </c>
      <c r="U283" s="134">
        <f t="shared" si="3"/>
        <v>0</v>
      </c>
      <c r="V283" s="135"/>
      <c r="W283" s="136"/>
      <c r="X283" s="2"/>
      <c r="Y283" s="111"/>
      <c r="Z283" s="3"/>
    </row>
    <row r="284" ht="14.25" hidden="1" customHeight="1" outlineLevel="2">
      <c r="A284" s="124"/>
      <c r="B284" s="125" t="s">
        <v>602</v>
      </c>
      <c r="C284" s="126" t="s">
        <v>603</v>
      </c>
      <c r="D284" s="127" t="s">
        <v>180</v>
      </c>
      <c r="E284" s="35"/>
      <c r="F284" s="128"/>
      <c r="G284" s="128"/>
      <c r="H284" s="128"/>
      <c r="I284" s="127">
        <f t="shared" si="156"/>
        <v>0</v>
      </c>
      <c r="J284" s="88"/>
      <c r="K284" s="129">
        <f t="shared" si="157"/>
        <v>23.15998821</v>
      </c>
      <c r="L284" s="130">
        <v>0.6</v>
      </c>
      <c r="M284" s="129">
        <f t="shared" si="158"/>
        <v>15.43999214</v>
      </c>
      <c r="N284" s="130">
        <f t="shared" si="159"/>
        <v>0.4</v>
      </c>
      <c r="O284" s="131">
        <f t="array" ref="O284">INDEX('LPU Regionalizada'!$B$3:$N$785,MATCH($B284,'LPU Regionalizada'!$B$3:$B$785,0),MATCH(INDEX(CTRL!$F$3:$F$29,CTRL!$E$1),'LPU Regionalizada'!$B$3:$N$3,0))</f>
        <v>38.59998035</v>
      </c>
      <c r="P284" s="88"/>
      <c r="Q284" s="132">
        <f t="shared" si="160"/>
        <v>0</v>
      </c>
      <c r="R284" s="132">
        <f t="shared" si="161"/>
        <v>0</v>
      </c>
      <c r="S284" s="132">
        <f t="shared" si="162"/>
        <v>0</v>
      </c>
      <c r="T284" s="133">
        <f t="shared" si="163"/>
        <v>0</v>
      </c>
      <c r="U284" s="134">
        <f t="shared" si="3"/>
        <v>0</v>
      </c>
      <c r="V284" s="135"/>
      <c r="W284" s="136"/>
      <c r="X284" s="2"/>
      <c r="Y284" s="111"/>
      <c r="Z284" s="3"/>
    </row>
    <row r="285" ht="14.25" hidden="1" customHeight="1" outlineLevel="2">
      <c r="A285" s="124"/>
      <c r="B285" s="125" t="s">
        <v>604</v>
      </c>
      <c r="C285" s="126" t="s">
        <v>605</v>
      </c>
      <c r="D285" s="127" t="s">
        <v>180</v>
      </c>
      <c r="E285" s="35"/>
      <c r="F285" s="128"/>
      <c r="G285" s="128"/>
      <c r="H285" s="128"/>
      <c r="I285" s="127">
        <f t="shared" si="156"/>
        <v>0</v>
      </c>
      <c r="J285" s="88"/>
      <c r="K285" s="129">
        <f t="shared" si="157"/>
        <v>77.94199241</v>
      </c>
      <c r="L285" s="130">
        <v>0.6</v>
      </c>
      <c r="M285" s="129">
        <f t="shared" si="158"/>
        <v>51.96132827</v>
      </c>
      <c r="N285" s="130">
        <f t="shared" si="159"/>
        <v>0.4</v>
      </c>
      <c r="O285" s="131">
        <f t="array" ref="O285">INDEX('LPU Regionalizada'!$B$3:$N$785,MATCH($B285,'LPU Regionalizada'!$B$3:$B$785,0),MATCH(INDEX(CTRL!$F$3:$F$29,CTRL!$E$1),'LPU Regionalizada'!$B$3:$N$3,0))</f>
        <v>129.9033207</v>
      </c>
      <c r="P285" s="88"/>
      <c r="Q285" s="132">
        <f t="shared" si="160"/>
        <v>0</v>
      </c>
      <c r="R285" s="132">
        <f t="shared" si="161"/>
        <v>0</v>
      </c>
      <c r="S285" s="132">
        <f t="shared" si="162"/>
        <v>0</v>
      </c>
      <c r="T285" s="133">
        <f t="shared" si="163"/>
        <v>0</v>
      </c>
      <c r="U285" s="134">
        <f t="shared" si="3"/>
        <v>0</v>
      </c>
      <c r="V285" s="135"/>
      <c r="W285" s="136"/>
      <c r="X285" s="2"/>
      <c r="Y285" s="111"/>
      <c r="Z285" s="3"/>
    </row>
    <row r="286" ht="14.25" hidden="1" customHeight="1" outlineLevel="2">
      <c r="A286" s="124"/>
      <c r="B286" s="125" t="s">
        <v>606</v>
      </c>
      <c r="C286" s="126" t="s">
        <v>607</v>
      </c>
      <c r="D286" s="127" t="s">
        <v>142</v>
      </c>
      <c r="E286" s="35"/>
      <c r="F286" s="128"/>
      <c r="G286" s="128"/>
      <c r="H286" s="128"/>
      <c r="I286" s="127">
        <f t="shared" si="156"/>
        <v>0</v>
      </c>
      <c r="J286" s="88"/>
      <c r="K286" s="129">
        <f t="shared" si="157"/>
        <v>98.2493612</v>
      </c>
      <c r="L286" s="130">
        <v>0.6</v>
      </c>
      <c r="M286" s="129">
        <f t="shared" si="158"/>
        <v>65.49957413</v>
      </c>
      <c r="N286" s="130">
        <f t="shared" si="159"/>
        <v>0.4</v>
      </c>
      <c r="O286" s="131">
        <f t="array" ref="O286">INDEX('LPU Regionalizada'!$B$3:$N$785,MATCH($B286,'LPU Regionalizada'!$B$3:$B$785,0),MATCH(INDEX(CTRL!$F$3:$F$29,CTRL!$E$1),'LPU Regionalizada'!$B$3:$N$3,0))</f>
        <v>163.7489353</v>
      </c>
      <c r="P286" s="88"/>
      <c r="Q286" s="132">
        <f t="shared" si="160"/>
        <v>0</v>
      </c>
      <c r="R286" s="132">
        <f t="shared" si="161"/>
        <v>0</v>
      </c>
      <c r="S286" s="132">
        <f t="shared" si="162"/>
        <v>0</v>
      </c>
      <c r="T286" s="133">
        <f t="shared" si="163"/>
        <v>0</v>
      </c>
      <c r="U286" s="134">
        <f t="shared" si="3"/>
        <v>0</v>
      </c>
      <c r="V286" s="135"/>
      <c r="W286" s="136"/>
      <c r="X286" s="2"/>
      <c r="Y286" s="111"/>
      <c r="Z286" s="3"/>
    </row>
    <row r="287" ht="14.25" hidden="1" customHeight="1" outlineLevel="2">
      <c r="A287" s="124"/>
      <c r="B287" s="125" t="s">
        <v>608</v>
      </c>
      <c r="C287" s="126" t="s">
        <v>609</v>
      </c>
      <c r="D287" s="127" t="s">
        <v>180</v>
      </c>
      <c r="E287" s="35"/>
      <c r="F287" s="128"/>
      <c r="G287" s="128"/>
      <c r="H287" s="128"/>
      <c r="I287" s="127">
        <f t="shared" si="156"/>
        <v>0</v>
      </c>
      <c r="J287" s="88"/>
      <c r="K287" s="129">
        <f t="shared" si="157"/>
        <v>142.8675629</v>
      </c>
      <c r="L287" s="130">
        <v>0.6</v>
      </c>
      <c r="M287" s="129">
        <f t="shared" si="158"/>
        <v>95.24504196</v>
      </c>
      <c r="N287" s="130">
        <f t="shared" si="159"/>
        <v>0.4</v>
      </c>
      <c r="O287" s="131">
        <f t="array" ref="O287">INDEX('LPU Regionalizada'!$B$3:$N$785,MATCH($B287,'LPU Regionalizada'!$B$3:$B$785,0),MATCH(INDEX(CTRL!$F$3:$F$29,CTRL!$E$1),'LPU Regionalizada'!$B$3:$N$3,0))</f>
        <v>238.1126049</v>
      </c>
      <c r="P287" s="88"/>
      <c r="Q287" s="132">
        <f t="shared" si="160"/>
        <v>0</v>
      </c>
      <c r="R287" s="132">
        <f t="shared" si="161"/>
        <v>0</v>
      </c>
      <c r="S287" s="132">
        <f t="shared" si="162"/>
        <v>0</v>
      </c>
      <c r="T287" s="133">
        <f t="shared" si="163"/>
        <v>0</v>
      </c>
      <c r="U287" s="134">
        <f t="shared" si="3"/>
        <v>0</v>
      </c>
      <c r="V287" s="135"/>
      <c r="W287" s="136"/>
      <c r="X287" s="2"/>
      <c r="Y287" s="111"/>
      <c r="Z287" s="3"/>
    </row>
    <row r="288" ht="14.25" hidden="1" customHeight="1" outlineLevel="2">
      <c r="A288" s="124"/>
      <c r="B288" s="125" t="s">
        <v>610</v>
      </c>
      <c r="C288" s="126" t="s">
        <v>611</v>
      </c>
      <c r="D288" s="127" t="s">
        <v>76</v>
      </c>
      <c r="E288" s="35"/>
      <c r="F288" s="128"/>
      <c r="G288" s="128"/>
      <c r="H288" s="128"/>
      <c r="I288" s="127">
        <f t="shared" si="156"/>
        <v>0</v>
      </c>
      <c r="J288" s="88"/>
      <c r="K288" s="129">
        <f t="shared" si="157"/>
        <v>293.0325</v>
      </c>
      <c r="L288" s="130">
        <v>0.6</v>
      </c>
      <c r="M288" s="129">
        <f t="shared" si="158"/>
        <v>195.355</v>
      </c>
      <c r="N288" s="130">
        <f t="shared" si="159"/>
        <v>0.4</v>
      </c>
      <c r="O288" s="131">
        <f t="array" ref="O288">INDEX('LPU Regionalizada'!$B$3:$N$785,MATCH($B288,'LPU Regionalizada'!$B$3:$B$785,0),MATCH(INDEX(CTRL!$F$3:$F$29,CTRL!$E$1),'LPU Regionalizada'!$B$3:$N$3,0))</f>
        <v>488.3875</v>
      </c>
      <c r="P288" s="88"/>
      <c r="Q288" s="132">
        <f t="shared" si="160"/>
        <v>0</v>
      </c>
      <c r="R288" s="132">
        <f t="shared" si="161"/>
        <v>0</v>
      </c>
      <c r="S288" s="132">
        <f t="shared" si="162"/>
        <v>0</v>
      </c>
      <c r="T288" s="133">
        <f t="shared" si="163"/>
        <v>0</v>
      </c>
      <c r="U288" s="134">
        <f t="shared" si="3"/>
        <v>0</v>
      </c>
      <c r="V288" s="135"/>
      <c r="W288" s="136"/>
      <c r="X288" s="2"/>
      <c r="Y288" s="111"/>
      <c r="Z288" s="3"/>
    </row>
    <row r="289" ht="14.25" hidden="1" customHeight="1" outlineLevel="2">
      <c r="A289" s="124"/>
      <c r="B289" s="125" t="s">
        <v>612</v>
      </c>
      <c r="C289" s="126" t="s">
        <v>613</v>
      </c>
      <c r="D289" s="127" t="s">
        <v>76</v>
      </c>
      <c r="E289" s="35"/>
      <c r="F289" s="128"/>
      <c r="G289" s="128"/>
      <c r="H289" s="128"/>
      <c r="I289" s="127">
        <f t="shared" si="156"/>
        <v>0</v>
      </c>
      <c r="J289" s="88"/>
      <c r="K289" s="129">
        <f t="shared" si="157"/>
        <v>273.432151</v>
      </c>
      <c r="L289" s="130">
        <v>0.6</v>
      </c>
      <c r="M289" s="129">
        <f t="shared" si="158"/>
        <v>182.2881006</v>
      </c>
      <c r="N289" s="130">
        <f t="shared" si="159"/>
        <v>0.4</v>
      </c>
      <c r="O289" s="131">
        <f t="array" ref="O289">INDEX('LPU Regionalizada'!$B$3:$N$785,MATCH($B289,'LPU Regionalizada'!$B$3:$B$785,0),MATCH(INDEX(CTRL!$F$3:$F$29,CTRL!$E$1),'LPU Regionalizada'!$B$3:$N$3,0))</f>
        <v>455.7202516</v>
      </c>
      <c r="P289" s="88"/>
      <c r="Q289" s="132">
        <f t="shared" si="160"/>
        <v>0</v>
      </c>
      <c r="R289" s="132">
        <f t="shared" si="161"/>
        <v>0</v>
      </c>
      <c r="S289" s="132">
        <f t="shared" si="162"/>
        <v>0</v>
      </c>
      <c r="T289" s="133">
        <f t="shared" si="163"/>
        <v>0</v>
      </c>
      <c r="U289" s="134">
        <f t="shared" si="3"/>
        <v>0</v>
      </c>
      <c r="V289" s="135"/>
      <c r="W289" s="136"/>
      <c r="X289" s="2"/>
      <c r="Y289" s="111"/>
      <c r="Z289" s="3"/>
    </row>
    <row r="290" ht="14.25" hidden="1" customHeight="1" outlineLevel="2">
      <c r="A290" s="124"/>
      <c r="B290" s="125" t="s">
        <v>614</v>
      </c>
      <c r="C290" s="126" t="s">
        <v>615</v>
      </c>
      <c r="D290" s="127" t="s">
        <v>180</v>
      </c>
      <c r="E290" s="35"/>
      <c r="F290" s="128"/>
      <c r="G290" s="128"/>
      <c r="H290" s="128"/>
      <c r="I290" s="127">
        <f t="shared" si="156"/>
        <v>0</v>
      </c>
      <c r="J290" s="88"/>
      <c r="K290" s="129">
        <f t="shared" si="157"/>
        <v>248.3088</v>
      </c>
      <c r="L290" s="130">
        <v>0.6</v>
      </c>
      <c r="M290" s="129">
        <f t="shared" si="158"/>
        <v>165.5392</v>
      </c>
      <c r="N290" s="130">
        <f t="shared" si="159"/>
        <v>0.4</v>
      </c>
      <c r="O290" s="131">
        <f t="array" ref="O290">INDEX('LPU Regionalizada'!$B$3:$N$785,MATCH($B290,'LPU Regionalizada'!$B$3:$B$785,0),MATCH(INDEX(CTRL!$F$3:$F$29,CTRL!$E$1),'LPU Regionalizada'!$B$3:$N$3,0))</f>
        <v>413.848</v>
      </c>
      <c r="P290" s="88"/>
      <c r="Q290" s="132">
        <f t="shared" si="160"/>
        <v>0</v>
      </c>
      <c r="R290" s="132">
        <f t="shared" si="161"/>
        <v>0</v>
      </c>
      <c r="S290" s="132">
        <f t="shared" si="162"/>
        <v>0</v>
      </c>
      <c r="T290" s="133">
        <f t="shared" si="163"/>
        <v>0</v>
      </c>
      <c r="U290" s="134">
        <f t="shared" si="3"/>
        <v>0</v>
      </c>
      <c r="V290" s="135"/>
      <c r="W290" s="136"/>
      <c r="X290" s="2"/>
      <c r="Y290" s="111"/>
      <c r="Z290" s="3"/>
    </row>
    <row r="291" ht="14.25" hidden="1" customHeight="1" outlineLevel="2">
      <c r="A291" s="124"/>
      <c r="B291" s="125" t="s">
        <v>616</v>
      </c>
      <c r="C291" s="126" t="s">
        <v>617</v>
      </c>
      <c r="D291" s="127" t="s">
        <v>76</v>
      </c>
      <c r="E291" s="35"/>
      <c r="F291" s="128"/>
      <c r="G291" s="128"/>
      <c r="H291" s="128"/>
      <c r="I291" s="127">
        <f t="shared" si="156"/>
        <v>0</v>
      </c>
      <c r="J291" s="88"/>
      <c r="K291" s="129">
        <f t="shared" si="157"/>
        <v>404.3449129</v>
      </c>
      <c r="L291" s="130">
        <v>0.6</v>
      </c>
      <c r="M291" s="129">
        <f t="shared" si="158"/>
        <v>269.5632753</v>
      </c>
      <c r="N291" s="130">
        <f t="shared" si="159"/>
        <v>0.4</v>
      </c>
      <c r="O291" s="131">
        <f t="array" ref="O291">INDEX('LPU Regionalizada'!$B$3:$N$785,MATCH($B291,'LPU Regionalizada'!$B$3:$B$785,0),MATCH(INDEX(CTRL!$F$3:$F$29,CTRL!$E$1),'LPU Regionalizada'!$B$3:$N$3,0))</f>
        <v>673.9081882</v>
      </c>
      <c r="P291" s="88"/>
      <c r="Q291" s="132">
        <f t="shared" si="160"/>
        <v>0</v>
      </c>
      <c r="R291" s="132">
        <f t="shared" si="161"/>
        <v>0</v>
      </c>
      <c r="S291" s="132">
        <f t="shared" si="162"/>
        <v>0</v>
      </c>
      <c r="T291" s="133">
        <f t="shared" si="163"/>
        <v>0</v>
      </c>
      <c r="U291" s="134">
        <f t="shared" si="3"/>
        <v>0</v>
      </c>
      <c r="V291" s="135"/>
      <c r="W291" s="136"/>
      <c r="X291" s="2"/>
      <c r="Y291" s="111"/>
      <c r="Z291" s="3"/>
    </row>
    <row r="292" ht="14.25" hidden="1" customHeight="1" outlineLevel="2">
      <c r="A292" s="124"/>
      <c r="B292" s="125" t="s">
        <v>618</v>
      </c>
      <c r="C292" s="126" t="s">
        <v>619</v>
      </c>
      <c r="D292" s="127" t="s">
        <v>76</v>
      </c>
      <c r="E292" s="35"/>
      <c r="F292" s="128"/>
      <c r="G292" s="128"/>
      <c r="H292" s="128"/>
      <c r="I292" s="127">
        <f t="shared" si="156"/>
        <v>0</v>
      </c>
      <c r="J292" s="88"/>
      <c r="K292" s="129">
        <f t="shared" si="157"/>
        <v>336.9744061</v>
      </c>
      <c r="L292" s="130">
        <v>0.6</v>
      </c>
      <c r="M292" s="129">
        <f t="shared" si="158"/>
        <v>224.6496041</v>
      </c>
      <c r="N292" s="130">
        <f t="shared" si="159"/>
        <v>0.4</v>
      </c>
      <c r="O292" s="131">
        <f t="array" ref="O292">INDEX('LPU Regionalizada'!$B$3:$N$785,MATCH($B292,'LPU Regionalizada'!$B$3:$B$785,0),MATCH(INDEX(CTRL!$F$3:$F$29,CTRL!$E$1),'LPU Regionalizada'!$B$3:$N$3,0))</f>
        <v>561.6240102</v>
      </c>
      <c r="P292" s="88"/>
      <c r="Q292" s="132">
        <f t="shared" si="160"/>
        <v>0</v>
      </c>
      <c r="R292" s="132">
        <f t="shared" si="161"/>
        <v>0</v>
      </c>
      <c r="S292" s="132">
        <f t="shared" si="162"/>
        <v>0</v>
      </c>
      <c r="T292" s="133">
        <f t="shared" si="163"/>
        <v>0</v>
      </c>
      <c r="U292" s="134">
        <f t="shared" si="3"/>
        <v>0</v>
      </c>
      <c r="V292" s="135"/>
      <c r="W292" s="136"/>
      <c r="X292" s="2"/>
      <c r="Y292" s="111"/>
      <c r="Z292" s="3"/>
    </row>
    <row r="293" ht="14.25" hidden="1" customHeight="1" outlineLevel="2">
      <c r="A293" s="124"/>
      <c r="B293" s="125" t="s">
        <v>620</v>
      </c>
      <c r="C293" s="126" t="s">
        <v>621</v>
      </c>
      <c r="D293" s="127" t="s">
        <v>76</v>
      </c>
      <c r="E293" s="35"/>
      <c r="F293" s="128"/>
      <c r="G293" s="128"/>
      <c r="H293" s="128"/>
      <c r="I293" s="127">
        <f t="shared" si="156"/>
        <v>0</v>
      </c>
      <c r="J293" s="88"/>
      <c r="K293" s="129">
        <f t="shared" si="157"/>
        <v>554.8821063</v>
      </c>
      <c r="L293" s="130">
        <v>0.6</v>
      </c>
      <c r="M293" s="129">
        <f t="shared" si="158"/>
        <v>369.9214042</v>
      </c>
      <c r="N293" s="130">
        <f t="shared" si="159"/>
        <v>0.4</v>
      </c>
      <c r="O293" s="131">
        <f t="array" ref="O293">INDEX('LPU Regionalizada'!$B$3:$N$785,MATCH($B293,'LPU Regionalizada'!$B$3:$B$785,0),MATCH(INDEX(CTRL!$F$3:$F$29,CTRL!$E$1),'LPU Regionalizada'!$B$3:$N$3,0))</f>
        <v>924.8035105</v>
      </c>
      <c r="P293" s="88"/>
      <c r="Q293" s="132">
        <f t="shared" si="160"/>
        <v>0</v>
      </c>
      <c r="R293" s="132">
        <f t="shared" si="161"/>
        <v>0</v>
      </c>
      <c r="S293" s="132">
        <f t="shared" si="162"/>
        <v>0</v>
      </c>
      <c r="T293" s="133">
        <f t="shared" si="163"/>
        <v>0</v>
      </c>
      <c r="U293" s="134">
        <f t="shared" si="3"/>
        <v>0</v>
      </c>
      <c r="V293" s="135"/>
      <c r="W293" s="136"/>
      <c r="X293" s="2"/>
      <c r="Y293" s="111"/>
      <c r="Z293" s="3"/>
    </row>
    <row r="294" ht="14.25" hidden="1" customHeight="1" outlineLevel="2">
      <c r="A294" s="124"/>
      <c r="B294" s="125" t="s">
        <v>622</v>
      </c>
      <c r="C294" s="126" t="s">
        <v>623</v>
      </c>
      <c r="D294" s="127" t="s">
        <v>76</v>
      </c>
      <c r="E294" s="35"/>
      <c r="F294" s="128"/>
      <c r="G294" s="128"/>
      <c r="H294" s="128"/>
      <c r="I294" s="127">
        <f t="shared" si="156"/>
        <v>0</v>
      </c>
      <c r="J294" s="88"/>
      <c r="K294" s="129">
        <f t="shared" si="157"/>
        <v>398.6155285</v>
      </c>
      <c r="L294" s="130">
        <v>0.6</v>
      </c>
      <c r="M294" s="129">
        <f t="shared" si="158"/>
        <v>265.7436857</v>
      </c>
      <c r="N294" s="130">
        <f t="shared" si="159"/>
        <v>0.4</v>
      </c>
      <c r="O294" s="131">
        <f t="array" ref="O294">INDEX('LPU Regionalizada'!$B$3:$N$785,MATCH($B294,'LPU Regionalizada'!$B$3:$B$785,0),MATCH(INDEX(CTRL!$F$3:$F$29,CTRL!$E$1),'LPU Regionalizada'!$B$3:$N$3,0))</f>
        <v>664.3592142</v>
      </c>
      <c r="P294" s="88"/>
      <c r="Q294" s="132">
        <f t="shared" si="160"/>
        <v>0</v>
      </c>
      <c r="R294" s="132">
        <f t="shared" si="161"/>
        <v>0</v>
      </c>
      <c r="S294" s="132">
        <f t="shared" si="162"/>
        <v>0</v>
      </c>
      <c r="T294" s="133">
        <f t="shared" si="163"/>
        <v>0</v>
      </c>
      <c r="U294" s="134">
        <f t="shared" si="3"/>
        <v>0</v>
      </c>
      <c r="V294" s="135"/>
      <c r="W294" s="136"/>
      <c r="X294" s="2"/>
      <c r="Y294" s="111"/>
      <c r="Z294" s="3"/>
    </row>
    <row r="295" ht="14.25" hidden="1" customHeight="1" outlineLevel="2">
      <c r="A295" s="124"/>
      <c r="B295" s="125" t="s">
        <v>624</v>
      </c>
      <c r="C295" s="126" t="s">
        <v>625</v>
      </c>
      <c r="D295" s="127" t="s">
        <v>76</v>
      </c>
      <c r="E295" s="35"/>
      <c r="F295" s="128"/>
      <c r="G295" s="128"/>
      <c r="H295" s="128"/>
      <c r="I295" s="127">
        <f t="shared" si="156"/>
        <v>0</v>
      </c>
      <c r="J295" s="88"/>
      <c r="K295" s="129">
        <f t="shared" si="157"/>
        <v>421.079792</v>
      </c>
      <c r="L295" s="130">
        <v>0.6</v>
      </c>
      <c r="M295" s="129">
        <f t="shared" si="158"/>
        <v>280.7198613</v>
      </c>
      <c r="N295" s="130">
        <f t="shared" si="159"/>
        <v>0.4</v>
      </c>
      <c r="O295" s="131">
        <f t="array" ref="O295">INDEX('LPU Regionalizada'!$B$3:$N$785,MATCH($B295,'LPU Regionalizada'!$B$3:$B$785,0),MATCH(INDEX(CTRL!$F$3:$F$29,CTRL!$E$1),'LPU Regionalizada'!$B$3:$N$3,0))</f>
        <v>701.7996533</v>
      </c>
      <c r="P295" s="88"/>
      <c r="Q295" s="132">
        <f t="shared" si="160"/>
        <v>0</v>
      </c>
      <c r="R295" s="132">
        <f t="shared" si="161"/>
        <v>0</v>
      </c>
      <c r="S295" s="132">
        <f t="shared" si="162"/>
        <v>0</v>
      </c>
      <c r="T295" s="133">
        <f t="shared" si="163"/>
        <v>0</v>
      </c>
      <c r="U295" s="134">
        <f t="shared" si="3"/>
        <v>0</v>
      </c>
      <c r="V295" s="135"/>
      <c r="W295" s="136"/>
      <c r="X295" s="2"/>
      <c r="Y295" s="111"/>
      <c r="Z295" s="3"/>
    </row>
    <row r="296" ht="14.25" hidden="1" customHeight="1" outlineLevel="2">
      <c r="A296" s="124"/>
      <c r="B296" s="125" t="s">
        <v>626</v>
      </c>
      <c r="C296" s="126" t="s">
        <v>627</v>
      </c>
      <c r="D296" s="127" t="s">
        <v>76</v>
      </c>
      <c r="E296" s="35"/>
      <c r="F296" s="128"/>
      <c r="G296" s="128"/>
      <c r="H296" s="128"/>
      <c r="I296" s="127">
        <f t="shared" si="156"/>
        <v>0</v>
      </c>
      <c r="J296" s="88"/>
      <c r="K296" s="129">
        <f t="shared" si="157"/>
        <v>370.2746267</v>
      </c>
      <c r="L296" s="130">
        <v>0.6</v>
      </c>
      <c r="M296" s="129">
        <f t="shared" si="158"/>
        <v>246.8497512</v>
      </c>
      <c r="N296" s="130">
        <f t="shared" si="159"/>
        <v>0.4</v>
      </c>
      <c r="O296" s="131">
        <f t="array" ref="O296">INDEX('LPU Regionalizada'!$B$3:$N$785,MATCH($B296,'LPU Regionalizada'!$B$3:$B$785,0),MATCH(INDEX(CTRL!$F$3:$F$29,CTRL!$E$1),'LPU Regionalizada'!$B$3:$N$3,0))</f>
        <v>617.1243779</v>
      </c>
      <c r="P296" s="88"/>
      <c r="Q296" s="132">
        <f t="shared" si="160"/>
        <v>0</v>
      </c>
      <c r="R296" s="132">
        <f t="shared" si="161"/>
        <v>0</v>
      </c>
      <c r="S296" s="132">
        <f t="shared" si="162"/>
        <v>0</v>
      </c>
      <c r="T296" s="133">
        <f t="shared" si="163"/>
        <v>0</v>
      </c>
      <c r="U296" s="134">
        <f t="shared" si="3"/>
        <v>0</v>
      </c>
      <c r="V296" s="135"/>
      <c r="W296" s="136"/>
      <c r="X296" s="2"/>
      <c r="Y296" s="111"/>
      <c r="Z296" s="3"/>
    </row>
    <row r="297" ht="14.25" hidden="1" customHeight="1" outlineLevel="2">
      <c r="A297" s="124"/>
      <c r="B297" s="125" t="s">
        <v>628</v>
      </c>
      <c r="C297" s="126" t="s">
        <v>629</v>
      </c>
      <c r="D297" s="127" t="s">
        <v>142</v>
      </c>
      <c r="E297" s="35"/>
      <c r="F297" s="128"/>
      <c r="G297" s="128"/>
      <c r="H297" s="128"/>
      <c r="I297" s="127">
        <f t="shared" si="156"/>
        <v>0</v>
      </c>
      <c r="J297" s="88"/>
      <c r="K297" s="129">
        <f t="shared" si="157"/>
        <v>146.1239278</v>
      </c>
      <c r="L297" s="130">
        <v>0.6</v>
      </c>
      <c r="M297" s="129">
        <f t="shared" si="158"/>
        <v>97.41595188</v>
      </c>
      <c r="N297" s="130">
        <f t="shared" si="159"/>
        <v>0.4</v>
      </c>
      <c r="O297" s="131">
        <f t="array" ref="O297">INDEX('LPU Regionalizada'!$B$3:$N$785,MATCH($B297,'LPU Regionalizada'!$B$3:$B$785,0),MATCH(INDEX(CTRL!$F$3:$F$29,CTRL!$E$1),'LPU Regionalizada'!$B$3:$N$3,0))</f>
        <v>243.5398797</v>
      </c>
      <c r="P297" s="88"/>
      <c r="Q297" s="132">
        <f t="shared" si="160"/>
        <v>0</v>
      </c>
      <c r="R297" s="132">
        <f t="shared" si="161"/>
        <v>0</v>
      </c>
      <c r="S297" s="132">
        <f t="shared" si="162"/>
        <v>0</v>
      </c>
      <c r="T297" s="133">
        <f t="shared" si="163"/>
        <v>0</v>
      </c>
      <c r="U297" s="134">
        <f t="shared" si="3"/>
        <v>0</v>
      </c>
      <c r="V297" s="135"/>
      <c r="W297" s="136"/>
      <c r="X297" s="2"/>
      <c r="Y297" s="111"/>
      <c r="Z297" s="3"/>
    </row>
    <row r="298" ht="14.25" hidden="1" customHeight="1" outlineLevel="2">
      <c r="A298" s="124"/>
      <c r="B298" s="125" t="s">
        <v>630</v>
      </c>
      <c r="C298" s="126" t="s">
        <v>631</v>
      </c>
      <c r="D298" s="127" t="s">
        <v>142</v>
      </c>
      <c r="E298" s="35"/>
      <c r="F298" s="128"/>
      <c r="G298" s="128"/>
      <c r="H298" s="128"/>
      <c r="I298" s="127">
        <f t="shared" si="156"/>
        <v>0</v>
      </c>
      <c r="J298" s="88"/>
      <c r="K298" s="129">
        <f t="shared" si="157"/>
        <v>416.0832</v>
      </c>
      <c r="L298" s="130">
        <v>0.6</v>
      </c>
      <c r="M298" s="129">
        <f t="shared" si="158"/>
        <v>277.3888</v>
      </c>
      <c r="N298" s="130">
        <f t="shared" si="159"/>
        <v>0.4</v>
      </c>
      <c r="O298" s="131">
        <f t="array" ref="O298">INDEX('LPU Regionalizada'!$B$3:$N$785,MATCH($B298,'LPU Regionalizada'!$B$3:$B$785,0),MATCH(INDEX(CTRL!$F$3:$F$29,CTRL!$E$1),'LPU Regionalizada'!$B$3:$N$3,0))</f>
        <v>693.472</v>
      </c>
      <c r="P298" s="88"/>
      <c r="Q298" s="132">
        <f t="shared" si="160"/>
        <v>0</v>
      </c>
      <c r="R298" s="132">
        <f t="shared" si="161"/>
        <v>0</v>
      </c>
      <c r="S298" s="132">
        <f t="shared" si="162"/>
        <v>0</v>
      </c>
      <c r="T298" s="133">
        <f t="shared" si="163"/>
        <v>0</v>
      </c>
      <c r="U298" s="134">
        <f t="shared" si="3"/>
        <v>0</v>
      </c>
      <c r="V298" s="135"/>
      <c r="W298" s="136"/>
      <c r="X298" s="2"/>
      <c r="Y298" s="111"/>
      <c r="Z298" s="3"/>
    </row>
    <row r="299" ht="14.25" hidden="1" customHeight="1" outlineLevel="2">
      <c r="A299" s="124"/>
      <c r="B299" s="125" t="s">
        <v>632</v>
      </c>
      <c r="C299" s="126" t="s">
        <v>633</v>
      </c>
      <c r="D299" s="127" t="s">
        <v>76</v>
      </c>
      <c r="E299" s="35"/>
      <c r="F299" s="128"/>
      <c r="G299" s="128"/>
      <c r="H299" s="128">
        <v>0.0</v>
      </c>
      <c r="I299" s="127">
        <f t="shared" si="156"/>
        <v>0</v>
      </c>
      <c r="J299" s="88"/>
      <c r="K299" s="129">
        <f t="shared" si="157"/>
        <v>62.87396749</v>
      </c>
      <c r="L299" s="130">
        <v>0.6</v>
      </c>
      <c r="M299" s="129">
        <f t="shared" si="158"/>
        <v>41.91597832</v>
      </c>
      <c r="N299" s="130">
        <f t="shared" si="159"/>
        <v>0.4</v>
      </c>
      <c r="O299" s="131">
        <f t="array" ref="O299">INDEX('LPU Regionalizada'!$B$3:$N$785,MATCH($B299,'LPU Regionalizada'!$B$3:$B$785,0),MATCH(INDEX(CTRL!$F$3:$F$29,CTRL!$E$1),'LPU Regionalizada'!$B$3:$N$3,0))</f>
        <v>104.7899458</v>
      </c>
      <c r="P299" s="88"/>
      <c r="Q299" s="132">
        <f t="shared" si="160"/>
        <v>0</v>
      </c>
      <c r="R299" s="132">
        <f t="shared" si="161"/>
        <v>0</v>
      </c>
      <c r="S299" s="132">
        <f t="shared" si="162"/>
        <v>0</v>
      </c>
      <c r="T299" s="133">
        <f t="shared" si="163"/>
        <v>0</v>
      </c>
      <c r="U299" s="134">
        <f t="shared" si="3"/>
        <v>0</v>
      </c>
      <c r="V299" s="135"/>
      <c r="W299" s="136"/>
      <c r="X299" s="2"/>
      <c r="Y299" s="111"/>
      <c r="Z299" s="3"/>
    </row>
    <row r="300" ht="14.25" hidden="1" customHeight="1" outlineLevel="2">
      <c r="A300" s="124"/>
      <c r="B300" s="125" t="s">
        <v>634</v>
      </c>
      <c r="C300" s="126" t="s">
        <v>635</v>
      </c>
      <c r="D300" s="127" t="s">
        <v>180</v>
      </c>
      <c r="E300" s="35"/>
      <c r="F300" s="128"/>
      <c r="G300" s="128"/>
      <c r="H300" s="128"/>
      <c r="I300" s="127">
        <f t="shared" si="156"/>
        <v>0</v>
      </c>
      <c r="J300" s="88"/>
      <c r="K300" s="129">
        <f t="shared" si="157"/>
        <v>148.392</v>
      </c>
      <c r="L300" s="130">
        <v>0.6</v>
      </c>
      <c r="M300" s="129">
        <f t="shared" si="158"/>
        <v>98.928</v>
      </c>
      <c r="N300" s="130">
        <f t="shared" si="159"/>
        <v>0.4</v>
      </c>
      <c r="O300" s="131">
        <f t="array" ref="O300">INDEX('LPU Regionalizada'!$B$3:$N$785,MATCH($B300,'LPU Regionalizada'!$B$3:$B$785,0),MATCH(INDEX(CTRL!$F$3:$F$29,CTRL!$E$1),'LPU Regionalizada'!$B$3:$N$3,0))</f>
        <v>247.32</v>
      </c>
      <c r="P300" s="88"/>
      <c r="Q300" s="132">
        <f t="shared" si="160"/>
        <v>0</v>
      </c>
      <c r="R300" s="132">
        <f t="shared" si="161"/>
        <v>0</v>
      </c>
      <c r="S300" s="132">
        <f t="shared" si="162"/>
        <v>0</v>
      </c>
      <c r="T300" s="133">
        <f t="shared" si="163"/>
        <v>0</v>
      </c>
      <c r="U300" s="134">
        <f t="shared" si="3"/>
        <v>0</v>
      </c>
      <c r="V300" s="135"/>
      <c r="W300" s="136"/>
      <c r="X300" s="2"/>
      <c r="Y300" s="111"/>
      <c r="Z300" s="3"/>
    </row>
    <row r="301" ht="14.25" hidden="1" customHeight="1" outlineLevel="2">
      <c r="A301" s="124"/>
      <c r="B301" s="125" t="s">
        <v>636</v>
      </c>
      <c r="C301" s="126" t="s">
        <v>637</v>
      </c>
      <c r="D301" s="127" t="s">
        <v>180</v>
      </c>
      <c r="E301" s="35"/>
      <c r="F301" s="128"/>
      <c r="G301" s="128"/>
      <c r="H301" s="128"/>
      <c r="I301" s="127">
        <f t="shared" si="156"/>
        <v>0</v>
      </c>
      <c r="J301" s="88"/>
      <c r="K301" s="129">
        <f t="shared" si="157"/>
        <v>179.3686421</v>
      </c>
      <c r="L301" s="130">
        <v>0.6</v>
      </c>
      <c r="M301" s="129">
        <f t="shared" si="158"/>
        <v>119.5790947</v>
      </c>
      <c r="N301" s="130">
        <f t="shared" si="159"/>
        <v>0.4</v>
      </c>
      <c r="O301" s="131">
        <f t="array" ref="O301">INDEX('LPU Regionalizada'!$B$3:$N$785,MATCH($B301,'LPU Regionalizada'!$B$3:$B$785,0),MATCH(INDEX(CTRL!$F$3:$F$29,CTRL!$E$1),'LPU Regionalizada'!$B$3:$N$3,0))</f>
        <v>298.9477368</v>
      </c>
      <c r="P301" s="88"/>
      <c r="Q301" s="132">
        <f t="shared" si="160"/>
        <v>0</v>
      </c>
      <c r="R301" s="132">
        <f t="shared" si="161"/>
        <v>0</v>
      </c>
      <c r="S301" s="132">
        <f t="shared" si="162"/>
        <v>0</v>
      </c>
      <c r="T301" s="133">
        <f t="shared" si="163"/>
        <v>0</v>
      </c>
      <c r="U301" s="134">
        <f t="shared" si="3"/>
        <v>0</v>
      </c>
      <c r="V301" s="135"/>
      <c r="W301" s="136"/>
      <c r="X301" s="2"/>
      <c r="Y301" s="111"/>
      <c r="Z301" s="3"/>
    </row>
    <row r="302" ht="14.25" hidden="1" customHeight="1" outlineLevel="2">
      <c r="A302" s="124"/>
      <c r="B302" s="125" t="s">
        <v>638</v>
      </c>
      <c r="C302" s="126" t="s">
        <v>639</v>
      </c>
      <c r="D302" s="127" t="s">
        <v>180</v>
      </c>
      <c r="E302" s="35"/>
      <c r="F302" s="128"/>
      <c r="G302" s="128"/>
      <c r="H302" s="128"/>
      <c r="I302" s="127">
        <f t="shared" si="156"/>
        <v>0</v>
      </c>
      <c r="J302" s="88"/>
      <c r="K302" s="129">
        <f t="shared" si="157"/>
        <v>138.0977402</v>
      </c>
      <c r="L302" s="130">
        <v>0.6</v>
      </c>
      <c r="M302" s="129">
        <f t="shared" si="158"/>
        <v>92.06516013</v>
      </c>
      <c r="N302" s="130">
        <f t="shared" si="159"/>
        <v>0.4</v>
      </c>
      <c r="O302" s="131">
        <f t="array" ref="O302">INDEX('LPU Regionalizada'!$B$3:$N$785,MATCH($B302,'LPU Regionalizada'!$B$3:$B$785,0),MATCH(INDEX(CTRL!$F$3:$F$29,CTRL!$E$1),'LPU Regionalizada'!$B$3:$N$3,0))</f>
        <v>230.1629003</v>
      </c>
      <c r="P302" s="88"/>
      <c r="Q302" s="132">
        <f t="shared" si="160"/>
        <v>0</v>
      </c>
      <c r="R302" s="132">
        <f t="shared" si="161"/>
        <v>0</v>
      </c>
      <c r="S302" s="132">
        <f t="shared" si="162"/>
        <v>0</v>
      </c>
      <c r="T302" s="133">
        <f t="shared" si="163"/>
        <v>0</v>
      </c>
      <c r="U302" s="134">
        <f t="shared" si="3"/>
        <v>0</v>
      </c>
      <c r="V302" s="135"/>
      <c r="W302" s="136"/>
      <c r="X302" s="2"/>
      <c r="Y302" s="111"/>
      <c r="Z302" s="3"/>
    </row>
    <row r="303" ht="14.25" hidden="1" customHeight="1" outlineLevel="2">
      <c r="A303" s="124"/>
      <c r="B303" s="125" t="s">
        <v>640</v>
      </c>
      <c r="C303" s="126" t="s">
        <v>641</v>
      </c>
      <c r="D303" s="127" t="s">
        <v>180</v>
      </c>
      <c r="E303" s="35"/>
      <c r="F303" s="128"/>
      <c r="G303" s="128"/>
      <c r="H303" s="128"/>
      <c r="I303" s="127">
        <f t="shared" si="156"/>
        <v>0</v>
      </c>
      <c r="J303" s="88"/>
      <c r="K303" s="129">
        <f t="shared" si="157"/>
        <v>118.4470774</v>
      </c>
      <c r="L303" s="130">
        <v>0.6</v>
      </c>
      <c r="M303" s="129">
        <f t="shared" si="158"/>
        <v>78.96471829</v>
      </c>
      <c r="N303" s="130">
        <f t="shared" si="159"/>
        <v>0.4</v>
      </c>
      <c r="O303" s="131">
        <f t="array" ref="O303">INDEX('LPU Regionalizada'!$B$3:$N$785,MATCH($B303,'LPU Regionalizada'!$B$3:$B$785,0),MATCH(INDEX(CTRL!$F$3:$F$29,CTRL!$E$1),'LPU Regionalizada'!$B$3:$N$3,0))</f>
        <v>197.4117957</v>
      </c>
      <c r="P303" s="88"/>
      <c r="Q303" s="132">
        <f t="shared" si="160"/>
        <v>0</v>
      </c>
      <c r="R303" s="132">
        <f t="shared" si="161"/>
        <v>0</v>
      </c>
      <c r="S303" s="132">
        <f t="shared" si="162"/>
        <v>0</v>
      </c>
      <c r="T303" s="133">
        <f t="shared" si="163"/>
        <v>0</v>
      </c>
      <c r="U303" s="134">
        <f t="shared" si="3"/>
        <v>0</v>
      </c>
      <c r="V303" s="135"/>
      <c r="W303" s="136"/>
      <c r="X303" s="2"/>
      <c r="Y303" s="111"/>
      <c r="Z303" s="3"/>
    </row>
    <row r="304" ht="14.25" hidden="1" customHeight="1" outlineLevel="1">
      <c r="A304" s="112"/>
      <c r="B304" s="113" t="s">
        <v>642</v>
      </c>
      <c r="C304" s="114" t="s">
        <v>643</v>
      </c>
      <c r="D304" s="115"/>
      <c r="E304" s="35"/>
      <c r="F304" s="113"/>
      <c r="G304" s="116"/>
      <c r="H304" s="116"/>
      <c r="I304" s="115"/>
      <c r="J304" s="88"/>
      <c r="K304" s="117"/>
      <c r="L304" s="118"/>
      <c r="M304" s="118"/>
      <c r="N304" s="118"/>
      <c r="O304" s="119"/>
      <c r="P304" s="88"/>
      <c r="Q304" s="120"/>
      <c r="R304" s="120"/>
      <c r="S304" s="120"/>
      <c r="T304" s="120">
        <f>SUM(T305:T312)</f>
        <v>0</v>
      </c>
      <c r="U304" s="121">
        <f t="shared" si="3"/>
        <v>0</v>
      </c>
      <c r="V304" s="122"/>
      <c r="W304" s="123"/>
      <c r="X304" s="2"/>
      <c r="Y304" s="111"/>
      <c r="Z304" s="3"/>
    </row>
    <row r="305" ht="14.25" hidden="1" customHeight="1" outlineLevel="2">
      <c r="A305" s="124"/>
      <c r="B305" s="125" t="s">
        <v>644</v>
      </c>
      <c r="C305" s="126" t="s">
        <v>645</v>
      </c>
      <c r="D305" s="127" t="s">
        <v>76</v>
      </c>
      <c r="E305" s="35"/>
      <c r="F305" s="128"/>
      <c r="G305" s="128"/>
      <c r="H305" s="128"/>
      <c r="I305" s="127">
        <f t="shared" ref="I305:I312" si="164">F305+G305+H305</f>
        <v>0</v>
      </c>
      <c r="J305" s="88"/>
      <c r="K305" s="129">
        <f t="shared" ref="K305:K312" si="165">L305*O305</f>
        <v>451.4113207</v>
      </c>
      <c r="L305" s="130">
        <v>0.6</v>
      </c>
      <c r="M305" s="129">
        <f t="shared" ref="M305:M312" si="166">N305*O305</f>
        <v>300.9408805</v>
      </c>
      <c r="N305" s="130">
        <f t="shared" ref="N305:N312" si="167">100%-L305</f>
        <v>0.4</v>
      </c>
      <c r="O305" s="131">
        <f t="array" ref="O305">INDEX('LPU Regionalizada'!$B$3:$N$785,MATCH($B305,'LPU Regionalizada'!$B$3:$B$785,0),MATCH(INDEX(CTRL!$F$3:$F$29,CTRL!$E$1),'LPU Regionalizada'!$B$3:$N$3,0))</f>
        <v>752.3522012</v>
      </c>
      <c r="P305" s="88"/>
      <c r="Q305" s="132">
        <f t="shared" ref="Q305:Q312" si="168">F305*O305</f>
        <v>0</v>
      </c>
      <c r="R305" s="132">
        <f t="shared" ref="R305:R312" si="169">G305*O305</f>
        <v>0</v>
      </c>
      <c r="S305" s="132">
        <f t="shared" ref="S305:S312" si="170">H305*O305</f>
        <v>0</v>
      </c>
      <c r="T305" s="133">
        <f t="shared" ref="T305:T312" si="171">SUM(Q305:S305)</f>
        <v>0</v>
      </c>
      <c r="U305" s="134">
        <f t="shared" si="3"/>
        <v>0</v>
      </c>
      <c r="V305" s="135"/>
      <c r="W305" s="136"/>
      <c r="X305" s="2"/>
      <c r="Y305" s="111"/>
      <c r="Z305" s="3"/>
    </row>
    <row r="306" ht="14.25" hidden="1" customHeight="1" outlineLevel="2">
      <c r="A306" s="124"/>
      <c r="B306" s="125" t="s">
        <v>646</v>
      </c>
      <c r="C306" s="126" t="s">
        <v>647</v>
      </c>
      <c r="D306" s="127" t="s">
        <v>76</v>
      </c>
      <c r="E306" s="35"/>
      <c r="F306" s="128"/>
      <c r="G306" s="128"/>
      <c r="H306" s="128"/>
      <c r="I306" s="127">
        <f t="shared" si="164"/>
        <v>0</v>
      </c>
      <c r="J306" s="88"/>
      <c r="K306" s="129">
        <f t="shared" si="165"/>
        <v>450.8222857</v>
      </c>
      <c r="L306" s="130">
        <v>0.6</v>
      </c>
      <c r="M306" s="129">
        <f t="shared" si="166"/>
        <v>300.5481905</v>
      </c>
      <c r="N306" s="130">
        <f t="shared" si="167"/>
        <v>0.4</v>
      </c>
      <c r="O306" s="131">
        <f t="array" ref="O306">INDEX('LPU Regionalizada'!$B$3:$N$785,MATCH($B306,'LPU Regionalizada'!$B$3:$B$785,0),MATCH(INDEX(CTRL!$F$3:$F$29,CTRL!$E$1),'LPU Regionalizada'!$B$3:$N$3,0))</f>
        <v>751.3704762</v>
      </c>
      <c r="P306" s="88"/>
      <c r="Q306" s="132">
        <f t="shared" si="168"/>
        <v>0</v>
      </c>
      <c r="R306" s="132">
        <f t="shared" si="169"/>
        <v>0</v>
      </c>
      <c r="S306" s="132">
        <f t="shared" si="170"/>
        <v>0</v>
      </c>
      <c r="T306" s="133">
        <f t="shared" si="171"/>
        <v>0</v>
      </c>
      <c r="U306" s="134">
        <f t="shared" si="3"/>
        <v>0</v>
      </c>
      <c r="V306" s="135"/>
      <c r="W306" s="136"/>
      <c r="X306" s="2"/>
      <c r="Y306" s="111"/>
      <c r="Z306" s="3"/>
    </row>
    <row r="307" ht="14.25" hidden="1" customHeight="1" outlineLevel="2">
      <c r="A307" s="124"/>
      <c r="B307" s="125" t="s">
        <v>648</v>
      </c>
      <c r="C307" s="126" t="s">
        <v>649</v>
      </c>
      <c r="D307" s="127" t="s">
        <v>76</v>
      </c>
      <c r="E307" s="35"/>
      <c r="F307" s="128"/>
      <c r="G307" s="128"/>
      <c r="H307" s="128"/>
      <c r="I307" s="127">
        <f t="shared" si="164"/>
        <v>0</v>
      </c>
      <c r="J307" s="88"/>
      <c r="K307" s="129">
        <f t="shared" si="165"/>
        <v>278.8600973</v>
      </c>
      <c r="L307" s="130">
        <v>0.6</v>
      </c>
      <c r="M307" s="129">
        <f t="shared" si="166"/>
        <v>185.9067315</v>
      </c>
      <c r="N307" s="130">
        <f t="shared" si="167"/>
        <v>0.4</v>
      </c>
      <c r="O307" s="131">
        <f t="array" ref="O307">INDEX('LPU Regionalizada'!$B$3:$N$785,MATCH($B307,'LPU Regionalizada'!$B$3:$B$785,0),MATCH(INDEX(CTRL!$F$3:$F$29,CTRL!$E$1),'LPU Regionalizada'!$B$3:$N$3,0))</f>
        <v>464.7668289</v>
      </c>
      <c r="P307" s="88"/>
      <c r="Q307" s="132">
        <f t="shared" si="168"/>
        <v>0</v>
      </c>
      <c r="R307" s="132">
        <f t="shared" si="169"/>
        <v>0</v>
      </c>
      <c r="S307" s="132">
        <f t="shared" si="170"/>
        <v>0</v>
      </c>
      <c r="T307" s="133">
        <f t="shared" si="171"/>
        <v>0</v>
      </c>
      <c r="U307" s="134">
        <f t="shared" si="3"/>
        <v>0</v>
      </c>
      <c r="V307" s="135"/>
      <c r="W307" s="136"/>
      <c r="X307" s="2"/>
      <c r="Y307" s="111"/>
      <c r="Z307" s="3"/>
    </row>
    <row r="308" ht="14.25" hidden="1" customHeight="1" outlineLevel="2">
      <c r="A308" s="124"/>
      <c r="B308" s="125" t="s">
        <v>650</v>
      </c>
      <c r="C308" s="126" t="s">
        <v>651</v>
      </c>
      <c r="D308" s="127" t="s">
        <v>76</v>
      </c>
      <c r="E308" s="35"/>
      <c r="F308" s="128"/>
      <c r="G308" s="128"/>
      <c r="H308" s="128"/>
      <c r="I308" s="127">
        <f t="shared" si="164"/>
        <v>0</v>
      </c>
      <c r="J308" s="88"/>
      <c r="K308" s="129">
        <f t="shared" si="165"/>
        <v>288.6088575</v>
      </c>
      <c r="L308" s="130">
        <v>0.6</v>
      </c>
      <c r="M308" s="129">
        <f t="shared" si="166"/>
        <v>192.405905</v>
      </c>
      <c r="N308" s="130">
        <f t="shared" si="167"/>
        <v>0.4</v>
      </c>
      <c r="O308" s="131">
        <f t="array" ref="O308">INDEX('LPU Regionalizada'!$B$3:$N$785,MATCH($B308,'LPU Regionalizada'!$B$3:$B$785,0),MATCH(INDEX(CTRL!$F$3:$F$29,CTRL!$E$1),'LPU Regionalizada'!$B$3:$N$3,0))</f>
        <v>481.0147624</v>
      </c>
      <c r="P308" s="88"/>
      <c r="Q308" s="132">
        <f t="shared" si="168"/>
        <v>0</v>
      </c>
      <c r="R308" s="132">
        <f t="shared" si="169"/>
        <v>0</v>
      </c>
      <c r="S308" s="132">
        <f t="shared" si="170"/>
        <v>0</v>
      </c>
      <c r="T308" s="133">
        <f t="shared" si="171"/>
        <v>0</v>
      </c>
      <c r="U308" s="134">
        <f t="shared" si="3"/>
        <v>0</v>
      </c>
      <c r="V308" s="135"/>
      <c r="W308" s="136"/>
      <c r="X308" s="2"/>
      <c r="Y308" s="111"/>
      <c r="Z308" s="3"/>
    </row>
    <row r="309" ht="14.25" hidden="1" customHeight="1" outlineLevel="2">
      <c r="A309" s="124"/>
      <c r="B309" s="125" t="s">
        <v>652</v>
      </c>
      <c r="C309" s="126" t="s">
        <v>653</v>
      </c>
      <c r="D309" s="127" t="s">
        <v>142</v>
      </c>
      <c r="E309" s="35"/>
      <c r="F309" s="128"/>
      <c r="G309" s="128"/>
      <c r="H309" s="128"/>
      <c r="I309" s="127">
        <f t="shared" si="164"/>
        <v>0</v>
      </c>
      <c r="J309" s="88"/>
      <c r="K309" s="129">
        <f t="shared" si="165"/>
        <v>613.4548739</v>
      </c>
      <c r="L309" s="130">
        <v>0.6</v>
      </c>
      <c r="M309" s="129">
        <f t="shared" si="166"/>
        <v>408.9699159</v>
      </c>
      <c r="N309" s="130">
        <f t="shared" si="167"/>
        <v>0.4</v>
      </c>
      <c r="O309" s="131">
        <f t="array" ref="O309">INDEX('LPU Regionalizada'!$B$3:$N$785,MATCH($B309,'LPU Regionalizada'!$B$3:$B$785,0),MATCH(INDEX(CTRL!$F$3:$F$29,CTRL!$E$1),'LPU Regionalizada'!$B$3:$N$3,0))</f>
        <v>1022.42479</v>
      </c>
      <c r="P309" s="88"/>
      <c r="Q309" s="132">
        <f t="shared" si="168"/>
        <v>0</v>
      </c>
      <c r="R309" s="132">
        <f t="shared" si="169"/>
        <v>0</v>
      </c>
      <c r="S309" s="132">
        <f t="shared" si="170"/>
        <v>0</v>
      </c>
      <c r="T309" s="133">
        <f t="shared" si="171"/>
        <v>0</v>
      </c>
      <c r="U309" s="134">
        <f t="shared" si="3"/>
        <v>0</v>
      </c>
      <c r="V309" s="135"/>
      <c r="W309" s="136"/>
      <c r="X309" s="2"/>
      <c r="Y309" s="111"/>
      <c r="Z309" s="3"/>
    </row>
    <row r="310" ht="14.25" hidden="1" customHeight="1" outlineLevel="2">
      <c r="A310" s="124"/>
      <c r="B310" s="125" t="s">
        <v>654</v>
      </c>
      <c r="C310" s="126" t="s">
        <v>655</v>
      </c>
      <c r="D310" s="127" t="s">
        <v>142</v>
      </c>
      <c r="E310" s="35"/>
      <c r="F310" s="128"/>
      <c r="G310" s="128"/>
      <c r="H310" s="128"/>
      <c r="I310" s="127">
        <f t="shared" si="164"/>
        <v>0</v>
      </c>
      <c r="J310" s="88"/>
      <c r="K310" s="129">
        <f t="shared" si="165"/>
        <v>766.8540807</v>
      </c>
      <c r="L310" s="130">
        <v>0.6</v>
      </c>
      <c r="M310" s="129">
        <f t="shared" si="166"/>
        <v>511.2360538</v>
      </c>
      <c r="N310" s="130">
        <f t="shared" si="167"/>
        <v>0.4</v>
      </c>
      <c r="O310" s="131">
        <f t="array" ref="O310">INDEX('LPU Regionalizada'!$B$3:$N$785,MATCH($B310,'LPU Regionalizada'!$B$3:$B$785,0),MATCH(INDEX(CTRL!$F$3:$F$29,CTRL!$E$1),'LPU Regionalizada'!$B$3:$N$3,0))</f>
        <v>1278.090134</v>
      </c>
      <c r="P310" s="88"/>
      <c r="Q310" s="132">
        <f t="shared" si="168"/>
        <v>0</v>
      </c>
      <c r="R310" s="132">
        <f t="shared" si="169"/>
        <v>0</v>
      </c>
      <c r="S310" s="132">
        <f t="shared" si="170"/>
        <v>0</v>
      </c>
      <c r="T310" s="133">
        <f t="shared" si="171"/>
        <v>0</v>
      </c>
      <c r="U310" s="134">
        <f t="shared" si="3"/>
        <v>0</v>
      </c>
      <c r="V310" s="135"/>
      <c r="W310" s="136"/>
      <c r="X310" s="2"/>
      <c r="Y310" s="111"/>
      <c r="Z310" s="3"/>
    </row>
    <row r="311" ht="14.25" hidden="1" customHeight="1" outlineLevel="2">
      <c r="A311" s="124"/>
      <c r="B311" s="125" t="s">
        <v>656</v>
      </c>
      <c r="C311" s="126" t="s">
        <v>657</v>
      </c>
      <c r="D311" s="127" t="s">
        <v>142</v>
      </c>
      <c r="E311" s="35"/>
      <c r="F311" s="128"/>
      <c r="G311" s="128"/>
      <c r="H311" s="128"/>
      <c r="I311" s="127">
        <f t="shared" si="164"/>
        <v>0</v>
      </c>
      <c r="J311" s="88"/>
      <c r="K311" s="129">
        <f t="shared" si="165"/>
        <v>844.2404931</v>
      </c>
      <c r="L311" s="130">
        <v>0.6</v>
      </c>
      <c r="M311" s="129">
        <f t="shared" si="166"/>
        <v>562.8269954</v>
      </c>
      <c r="N311" s="130">
        <f t="shared" si="167"/>
        <v>0.4</v>
      </c>
      <c r="O311" s="131">
        <f t="array" ref="O311">INDEX('LPU Regionalizada'!$B$3:$N$785,MATCH($B311,'LPU Regionalizada'!$B$3:$B$785,0),MATCH(INDEX(CTRL!$F$3:$F$29,CTRL!$E$1),'LPU Regionalizada'!$B$3:$N$3,0))</f>
        <v>1407.067489</v>
      </c>
      <c r="P311" s="88"/>
      <c r="Q311" s="132">
        <f t="shared" si="168"/>
        <v>0</v>
      </c>
      <c r="R311" s="132">
        <f t="shared" si="169"/>
        <v>0</v>
      </c>
      <c r="S311" s="132">
        <f t="shared" si="170"/>
        <v>0</v>
      </c>
      <c r="T311" s="133">
        <f t="shared" si="171"/>
        <v>0</v>
      </c>
      <c r="U311" s="134">
        <f t="shared" si="3"/>
        <v>0</v>
      </c>
      <c r="V311" s="135"/>
      <c r="W311" s="136"/>
      <c r="X311" s="2"/>
      <c r="Y311" s="111"/>
      <c r="Z311" s="3"/>
    </row>
    <row r="312" ht="14.25" hidden="1" customHeight="1" outlineLevel="2">
      <c r="A312" s="124"/>
      <c r="B312" s="125" t="s">
        <v>658</v>
      </c>
      <c r="C312" s="126" t="s">
        <v>659</v>
      </c>
      <c r="D312" s="127" t="s">
        <v>76</v>
      </c>
      <c r="E312" s="35"/>
      <c r="F312" s="128"/>
      <c r="G312" s="128"/>
      <c r="H312" s="128"/>
      <c r="I312" s="127">
        <f t="shared" si="164"/>
        <v>0</v>
      </c>
      <c r="J312" s="88"/>
      <c r="K312" s="129">
        <f t="shared" si="165"/>
        <v>364.7956709</v>
      </c>
      <c r="L312" s="130">
        <v>0.6</v>
      </c>
      <c r="M312" s="129">
        <f t="shared" si="166"/>
        <v>243.197114</v>
      </c>
      <c r="N312" s="130">
        <f t="shared" si="167"/>
        <v>0.4</v>
      </c>
      <c r="O312" s="131">
        <f t="array" ref="O312">INDEX('LPU Regionalizada'!$B$3:$N$785,MATCH($B312,'LPU Regionalizada'!$B$3:$B$785,0),MATCH(INDEX(CTRL!$F$3:$F$29,CTRL!$E$1),'LPU Regionalizada'!$B$3:$N$3,0))</f>
        <v>607.9927849</v>
      </c>
      <c r="P312" s="88"/>
      <c r="Q312" s="132">
        <f t="shared" si="168"/>
        <v>0</v>
      </c>
      <c r="R312" s="132">
        <f t="shared" si="169"/>
        <v>0</v>
      </c>
      <c r="S312" s="132">
        <f t="shared" si="170"/>
        <v>0</v>
      </c>
      <c r="T312" s="133">
        <f t="shared" si="171"/>
        <v>0</v>
      </c>
      <c r="U312" s="134">
        <f t="shared" si="3"/>
        <v>0</v>
      </c>
      <c r="V312" s="135"/>
      <c r="W312" s="136"/>
      <c r="X312" s="2"/>
      <c r="Y312" s="111"/>
      <c r="Z312" s="3"/>
    </row>
    <row r="313" ht="14.25" hidden="1" customHeight="1" outlineLevel="1">
      <c r="A313" s="112"/>
      <c r="B313" s="113" t="s">
        <v>660</v>
      </c>
      <c r="C313" s="114" t="s">
        <v>661</v>
      </c>
      <c r="D313" s="115"/>
      <c r="E313" s="35"/>
      <c r="F313" s="113"/>
      <c r="G313" s="116"/>
      <c r="H313" s="116"/>
      <c r="I313" s="115"/>
      <c r="J313" s="88"/>
      <c r="K313" s="117"/>
      <c r="L313" s="118"/>
      <c r="M313" s="118"/>
      <c r="N313" s="118"/>
      <c r="O313" s="119"/>
      <c r="P313" s="88"/>
      <c r="Q313" s="120"/>
      <c r="R313" s="120"/>
      <c r="S313" s="120"/>
      <c r="T313" s="120">
        <f>SUM(T314:T316)</f>
        <v>0</v>
      </c>
      <c r="U313" s="121">
        <f t="shared" si="3"/>
        <v>0</v>
      </c>
      <c r="V313" s="122"/>
      <c r="W313" s="123"/>
      <c r="X313" s="2"/>
      <c r="Y313" s="111"/>
      <c r="Z313" s="3"/>
    </row>
    <row r="314" ht="14.25" hidden="1" customHeight="1" outlineLevel="2">
      <c r="A314" s="124"/>
      <c r="B314" s="125" t="s">
        <v>662</v>
      </c>
      <c r="C314" s="126" t="s">
        <v>663</v>
      </c>
      <c r="D314" s="127" t="s">
        <v>142</v>
      </c>
      <c r="E314" s="35"/>
      <c r="F314" s="128"/>
      <c r="G314" s="128"/>
      <c r="H314" s="128"/>
      <c r="I314" s="127">
        <f t="shared" ref="I314:I316" si="172">F314+G314+H314</f>
        <v>0</v>
      </c>
      <c r="J314" s="88"/>
      <c r="K314" s="129">
        <f t="shared" ref="K314:K316" si="173">L314*O314</f>
        <v>31.92</v>
      </c>
      <c r="L314" s="130">
        <v>0.6</v>
      </c>
      <c r="M314" s="129">
        <f t="shared" ref="M314:M316" si="174">N314*O314</f>
        <v>21.28</v>
      </c>
      <c r="N314" s="130">
        <f t="shared" ref="N314:N316" si="175">100%-L314</f>
        <v>0.4</v>
      </c>
      <c r="O314" s="131">
        <f t="array" ref="O314">INDEX('LPU Regionalizada'!$B$3:$N$785,MATCH($B314,'LPU Regionalizada'!$B$3:$B$785,0),MATCH(INDEX(CTRL!$F$3:$F$29,CTRL!$E$1),'LPU Regionalizada'!$B$3:$N$3,0))</f>
        <v>53.2</v>
      </c>
      <c r="P314" s="88"/>
      <c r="Q314" s="132">
        <f t="shared" ref="Q314:Q316" si="176">F314*O314</f>
        <v>0</v>
      </c>
      <c r="R314" s="132">
        <f t="shared" ref="R314:R316" si="177">G314*O314</f>
        <v>0</v>
      </c>
      <c r="S314" s="132">
        <f t="shared" ref="S314:S316" si="178">H314*O314</f>
        <v>0</v>
      </c>
      <c r="T314" s="133">
        <f t="shared" ref="T314:T316" si="179">SUM(Q314:S314)</f>
        <v>0</v>
      </c>
      <c r="U314" s="134">
        <f t="shared" si="3"/>
        <v>0</v>
      </c>
      <c r="V314" s="135"/>
      <c r="W314" s="136"/>
      <c r="X314" s="2"/>
      <c r="Y314" s="111"/>
      <c r="Z314" s="3"/>
    </row>
    <row r="315" ht="14.25" hidden="1" customHeight="1" outlineLevel="2">
      <c r="A315" s="124"/>
      <c r="B315" s="125" t="s">
        <v>664</v>
      </c>
      <c r="C315" s="126" t="s">
        <v>665</v>
      </c>
      <c r="D315" s="127" t="s">
        <v>142</v>
      </c>
      <c r="E315" s="35"/>
      <c r="F315" s="128"/>
      <c r="G315" s="128"/>
      <c r="H315" s="128"/>
      <c r="I315" s="127">
        <f t="shared" si="172"/>
        <v>0</v>
      </c>
      <c r="J315" s="88"/>
      <c r="K315" s="129">
        <f t="shared" si="173"/>
        <v>153.523188</v>
      </c>
      <c r="L315" s="130">
        <v>0.6</v>
      </c>
      <c r="M315" s="129">
        <f t="shared" si="174"/>
        <v>102.348792</v>
      </c>
      <c r="N315" s="130">
        <f t="shared" si="175"/>
        <v>0.4</v>
      </c>
      <c r="O315" s="131">
        <f t="array" ref="O315">INDEX('LPU Regionalizada'!$B$3:$N$785,MATCH($B315,'LPU Regionalizada'!$B$3:$B$785,0),MATCH(INDEX(CTRL!$F$3:$F$29,CTRL!$E$1),'LPU Regionalizada'!$B$3:$N$3,0))</f>
        <v>255.87198</v>
      </c>
      <c r="P315" s="88"/>
      <c r="Q315" s="132">
        <f t="shared" si="176"/>
        <v>0</v>
      </c>
      <c r="R315" s="132">
        <f t="shared" si="177"/>
        <v>0</v>
      </c>
      <c r="S315" s="132">
        <f t="shared" si="178"/>
        <v>0</v>
      </c>
      <c r="T315" s="133">
        <f t="shared" si="179"/>
        <v>0</v>
      </c>
      <c r="U315" s="134">
        <f t="shared" si="3"/>
        <v>0</v>
      </c>
      <c r="V315" s="135"/>
      <c r="W315" s="136"/>
      <c r="X315" s="2"/>
      <c r="Y315" s="111"/>
      <c r="Z315" s="3"/>
    </row>
    <row r="316" ht="14.25" hidden="1" customHeight="1" outlineLevel="2">
      <c r="A316" s="124"/>
      <c r="B316" s="125" t="s">
        <v>666</v>
      </c>
      <c r="C316" s="126" t="s">
        <v>667</v>
      </c>
      <c r="D316" s="127" t="s">
        <v>142</v>
      </c>
      <c r="E316" s="35"/>
      <c r="F316" s="128"/>
      <c r="G316" s="128"/>
      <c r="H316" s="128"/>
      <c r="I316" s="127">
        <f t="shared" si="172"/>
        <v>0</v>
      </c>
      <c r="J316" s="88"/>
      <c r="K316" s="129">
        <f t="shared" si="173"/>
        <v>84.294</v>
      </c>
      <c r="L316" s="130">
        <v>0.6</v>
      </c>
      <c r="M316" s="129">
        <f t="shared" si="174"/>
        <v>56.196</v>
      </c>
      <c r="N316" s="130">
        <f t="shared" si="175"/>
        <v>0.4</v>
      </c>
      <c r="O316" s="131">
        <f t="array" ref="O316">INDEX('LPU Regionalizada'!$B$3:$N$785,MATCH($B316,'LPU Regionalizada'!$B$3:$B$785,0),MATCH(INDEX(CTRL!$F$3:$F$29,CTRL!$E$1),'LPU Regionalizada'!$B$3:$N$3,0))</f>
        <v>140.49</v>
      </c>
      <c r="P316" s="88"/>
      <c r="Q316" s="132">
        <f t="shared" si="176"/>
        <v>0</v>
      </c>
      <c r="R316" s="132">
        <f t="shared" si="177"/>
        <v>0</v>
      </c>
      <c r="S316" s="132">
        <f t="shared" si="178"/>
        <v>0</v>
      </c>
      <c r="T316" s="133">
        <f t="shared" si="179"/>
        <v>0</v>
      </c>
      <c r="U316" s="134">
        <f t="shared" si="3"/>
        <v>0</v>
      </c>
      <c r="V316" s="135"/>
      <c r="W316" s="136"/>
      <c r="X316" s="2"/>
      <c r="Y316" s="111"/>
      <c r="Z316" s="3"/>
    </row>
    <row r="317" ht="14.25" hidden="1" customHeight="1" outlineLevel="1">
      <c r="A317" s="112"/>
      <c r="B317" s="113" t="s">
        <v>668</v>
      </c>
      <c r="C317" s="114" t="s">
        <v>669</v>
      </c>
      <c r="D317" s="115"/>
      <c r="E317" s="35"/>
      <c r="F317" s="113"/>
      <c r="G317" s="116"/>
      <c r="H317" s="116"/>
      <c r="I317" s="115"/>
      <c r="J317" s="88"/>
      <c r="K317" s="117"/>
      <c r="L317" s="118"/>
      <c r="M317" s="118"/>
      <c r="N317" s="118"/>
      <c r="O317" s="119"/>
      <c r="P317" s="88"/>
      <c r="Q317" s="120"/>
      <c r="R317" s="120"/>
      <c r="S317" s="120"/>
      <c r="T317" s="120">
        <f>SUM(T318:T334)</f>
        <v>0</v>
      </c>
      <c r="U317" s="121">
        <f t="shared" si="3"/>
        <v>0</v>
      </c>
      <c r="V317" s="122"/>
      <c r="W317" s="123"/>
      <c r="X317" s="2"/>
      <c r="Y317" s="111"/>
      <c r="Z317" s="3"/>
    </row>
    <row r="318" ht="14.25" hidden="1" customHeight="1" outlineLevel="2">
      <c r="A318" s="124"/>
      <c r="B318" s="125" t="s">
        <v>670</v>
      </c>
      <c r="C318" s="126" t="s">
        <v>671</v>
      </c>
      <c r="D318" s="127" t="s">
        <v>142</v>
      </c>
      <c r="E318" s="35"/>
      <c r="F318" s="128"/>
      <c r="G318" s="128"/>
      <c r="H318" s="128"/>
      <c r="I318" s="127">
        <f t="shared" ref="I318:I334" si="180">F318+G318+H318</f>
        <v>0</v>
      </c>
      <c r="J318" s="88"/>
      <c r="K318" s="129">
        <f t="shared" ref="K318:K334" si="181">L318*O318</f>
        <v>227.8172736</v>
      </c>
      <c r="L318" s="130">
        <v>0.6</v>
      </c>
      <c r="M318" s="129">
        <f t="shared" ref="M318:M334" si="182">N318*O318</f>
        <v>151.8781824</v>
      </c>
      <c r="N318" s="130">
        <f t="shared" ref="N318:N334" si="183">100%-L318</f>
        <v>0.4</v>
      </c>
      <c r="O318" s="131">
        <f t="array" ref="O318">INDEX('LPU Regionalizada'!$B$3:$N$785,MATCH($B318,'LPU Regionalizada'!$B$3:$B$785,0),MATCH(INDEX(CTRL!$F$3:$F$29,CTRL!$E$1),'LPU Regionalizada'!$B$3:$N$3,0))</f>
        <v>379.695456</v>
      </c>
      <c r="P318" s="88"/>
      <c r="Q318" s="132">
        <f t="shared" ref="Q318:Q334" si="184">F318*O318</f>
        <v>0</v>
      </c>
      <c r="R318" s="132">
        <f t="shared" ref="R318:R334" si="185">G318*O318</f>
        <v>0</v>
      </c>
      <c r="S318" s="132">
        <f t="shared" ref="S318:S334" si="186">H318*O318</f>
        <v>0</v>
      </c>
      <c r="T318" s="133">
        <f t="shared" ref="T318:T334" si="187">SUM(Q318:S318)</f>
        <v>0</v>
      </c>
      <c r="U318" s="134">
        <f t="shared" si="3"/>
        <v>0</v>
      </c>
      <c r="V318" s="135"/>
      <c r="W318" s="136"/>
      <c r="X318" s="2"/>
      <c r="Y318" s="111"/>
      <c r="Z318" s="3"/>
    </row>
    <row r="319" ht="14.25" hidden="1" customHeight="1" outlineLevel="2">
      <c r="A319" s="124"/>
      <c r="B319" s="125" t="s">
        <v>672</v>
      </c>
      <c r="C319" s="126" t="s">
        <v>673</v>
      </c>
      <c r="D319" s="127" t="s">
        <v>142</v>
      </c>
      <c r="E319" s="35"/>
      <c r="F319" s="128"/>
      <c r="G319" s="128"/>
      <c r="H319" s="128"/>
      <c r="I319" s="127">
        <f t="shared" si="180"/>
        <v>0</v>
      </c>
      <c r="J319" s="88"/>
      <c r="K319" s="129">
        <f t="shared" si="181"/>
        <v>145.6797288</v>
      </c>
      <c r="L319" s="130">
        <v>0.6</v>
      </c>
      <c r="M319" s="129">
        <f t="shared" si="182"/>
        <v>97.1198192</v>
      </c>
      <c r="N319" s="130">
        <f t="shared" si="183"/>
        <v>0.4</v>
      </c>
      <c r="O319" s="131">
        <f t="array" ref="O319">INDEX('LPU Regionalizada'!$B$3:$N$785,MATCH($B319,'LPU Regionalizada'!$B$3:$B$785,0),MATCH(INDEX(CTRL!$F$3:$F$29,CTRL!$E$1),'LPU Regionalizada'!$B$3:$N$3,0))</f>
        <v>242.799548</v>
      </c>
      <c r="P319" s="88"/>
      <c r="Q319" s="132">
        <f t="shared" si="184"/>
        <v>0</v>
      </c>
      <c r="R319" s="132">
        <f t="shared" si="185"/>
        <v>0</v>
      </c>
      <c r="S319" s="132">
        <f t="shared" si="186"/>
        <v>0</v>
      </c>
      <c r="T319" s="133">
        <f t="shared" si="187"/>
        <v>0</v>
      </c>
      <c r="U319" s="134">
        <f t="shared" si="3"/>
        <v>0</v>
      </c>
      <c r="V319" s="135"/>
      <c r="W319" s="136"/>
      <c r="X319" s="2"/>
      <c r="Y319" s="111"/>
      <c r="Z319" s="3"/>
    </row>
    <row r="320" ht="14.25" hidden="1" customHeight="1" outlineLevel="2">
      <c r="A320" s="124"/>
      <c r="B320" s="125" t="s">
        <v>674</v>
      </c>
      <c r="C320" s="126" t="s">
        <v>675</v>
      </c>
      <c r="D320" s="127" t="s">
        <v>142</v>
      </c>
      <c r="E320" s="35"/>
      <c r="F320" s="128"/>
      <c r="G320" s="128"/>
      <c r="H320" s="128"/>
      <c r="I320" s="127">
        <f t="shared" si="180"/>
        <v>0</v>
      </c>
      <c r="J320" s="88"/>
      <c r="K320" s="129">
        <f t="shared" si="181"/>
        <v>180</v>
      </c>
      <c r="L320" s="130">
        <v>0.6</v>
      </c>
      <c r="M320" s="129">
        <f t="shared" si="182"/>
        <v>120</v>
      </c>
      <c r="N320" s="130">
        <f t="shared" si="183"/>
        <v>0.4</v>
      </c>
      <c r="O320" s="131">
        <f t="array" ref="O320">INDEX('LPU Regionalizada'!$B$3:$N$785,MATCH($B320,'LPU Regionalizada'!$B$3:$B$785,0),MATCH(INDEX(CTRL!$F$3:$F$29,CTRL!$E$1),'LPU Regionalizada'!$B$3:$N$3,0))</f>
        <v>300</v>
      </c>
      <c r="P320" s="88"/>
      <c r="Q320" s="132">
        <f t="shared" si="184"/>
        <v>0</v>
      </c>
      <c r="R320" s="132">
        <f t="shared" si="185"/>
        <v>0</v>
      </c>
      <c r="S320" s="132">
        <f t="shared" si="186"/>
        <v>0</v>
      </c>
      <c r="T320" s="133">
        <f t="shared" si="187"/>
        <v>0</v>
      </c>
      <c r="U320" s="134">
        <f t="shared" si="3"/>
        <v>0</v>
      </c>
      <c r="V320" s="135"/>
      <c r="W320" s="136"/>
      <c r="X320" s="2"/>
      <c r="Y320" s="111"/>
      <c r="Z320" s="3"/>
    </row>
    <row r="321" ht="14.25" hidden="1" customHeight="1" outlineLevel="2">
      <c r="A321" s="124"/>
      <c r="B321" s="125" t="s">
        <v>676</v>
      </c>
      <c r="C321" s="126" t="s">
        <v>677</v>
      </c>
      <c r="D321" s="127" t="s">
        <v>76</v>
      </c>
      <c r="E321" s="35"/>
      <c r="F321" s="128"/>
      <c r="G321" s="128"/>
      <c r="H321" s="128"/>
      <c r="I321" s="127">
        <f t="shared" si="180"/>
        <v>0</v>
      </c>
      <c r="J321" s="88"/>
      <c r="K321" s="129">
        <f t="shared" si="181"/>
        <v>99.2627869</v>
      </c>
      <c r="L321" s="130">
        <v>0.6</v>
      </c>
      <c r="M321" s="129">
        <f t="shared" si="182"/>
        <v>66.17519126</v>
      </c>
      <c r="N321" s="130">
        <f t="shared" si="183"/>
        <v>0.4</v>
      </c>
      <c r="O321" s="131">
        <f t="array" ref="O321">INDEX('LPU Regionalizada'!$B$3:$N$785,MATCH($B321,'LPU Regionalizada'!$B$3:$B$785,0),MATCH(INDEX(CTRL!$F$3:$F$29,CTRL!$E$1),'LPU Regionalizada'!$B$3:$N$3,0))</f>
        <v>165.4379782</v>
      </c>
      <c r="P321" s="88"/>
      <c r="Q321" s="132">
        <f t="shared" si="184"/>
        <v>0</v>
      </c>
      <c r="R321" s="132">
        <f t="shared" si="185"/>
        <v>0</v>
      </c>
      <c r="S321" s="132">
        <f t="shared" si="186"/>
        <v>0</v>
      </c>
      <c r="T321" s="133">
        <f t="shared" si="187"/>
        <v>0</v>
      </c>
      <c r="U321" s="134">
        <f t="shared" si="3"/>
        <v>0</v>
      </c>
      <c r="V321" s="135"/>
      <c r="W321" s="136"/>
      <c r="X321" s="2"/>
      <c r="Y321" s="111"/>
      <c r="Z321" s="3"/>
    </row>
    <row r="322" ht="14.25" hidden="1" customHeight="1" outlineLevel="2">
      <c r="A322" s="124"/>
      <c r="B322" s="125" t="s">
        <v>678</v>
      </c>
      <c r="C322" s="126" t="s">
        <v>679</v>
      </c>
      <c r="D322" s="127" t="s">
        <v>76</v>
      </c>
      <c r="E322" s="35"/>
      <c r="F322" s="128"/>
      <c r="G322" s="128"/>
      <c r="H322" s="128"/>
      <c r="I322" s="127">
        <f t="shared" si="180"/>
        <v>0</v>
      </c>
      <c r="J322" s="88"/>
      <c r="K322" s="129">
        <f t="shared" si="181"/>
        <v>96.6959507</v>
      </c>
      <c r="L322" s="130">
        <v>0.6</v>
      </c>
      <c r="M322" s="129">
        <f t="shared" si="182"/>
        <v>64.46396714</v>
      </c>
      <c r="N322" s="130">
        <f t="shared" si="183"/>
        <v>0.4</v>
      </c>
      <c r="O322" s="131">
        <f t="array" ref="O322">INDEX('LPU Regionalizada'!$B$3:$N$785,MATCH($B322,'LPU Regionalizada'!$B$3:$B$785,0),MATCH(INDEX(CTRL!$F$3:$F$29,CTRL!$E$1),'LPU Regionalizada'!$B$3:$N$3,0))</f>
        <v>161.1599178</v>
      </c>
      <c r="P322" s="88"/>
      <c r="Q322" s="132">
        <f t="shared" si="184"/>
        <v>0</v>
      </c>
      <c r="R322" s="132">
        <f t="shared" si="185"/>
        <v>0</v>
      </c>
      <c r="S322" s="132">
        <f t="shared" si="186"/>
        <v>0</v>
      </c>
      <c r="T322" s="133">
        <f t="shared" si="187"/>
        <v>0</v>
      </c>
      <c r="U322" s="134">
        <f t="shared" si="3"/>
        <v>0</v>
      </c>
      <c r="V322" s="135"/>
      <c r="W322" s="136"/>
      <c r="X322" s="2"/>
      <c r="Y322" s="111"/>
      <c r="Z322" s="3"/>
    </row>
    <row r="323" ht="14.25" hidden="1" customHeight="1" outlineLevel="2">
      <c r="A323" s="124"/>
      <c r="B323" s="125" t="s">
        <v>680</v>
      </c>
      <c r="C323" s="126" t="s">
        <v>681</v>
      </c>
      <c r="D323" s="127" t="s">
        <v>76</v>
      </c>
      <c r="E323" s="35"/>
      <c r="F323" s="128"/>
      <c r="G323" s="128"/>
      <c r="H323" s="128"/>
      <c r="I323" s="127">
        <f t="shared" si="180"/>
        <v>0</v>
      </c>
      <c r="J323" s="88"/>
      <c r="K323" s="129">
        <f t="shared" si="181"/>
        <v>810</v>
      </c>
      <c r="L323" s="130">
        <v>0.6</v>
      </c>
      <c r="M323" s="129">
        <f t="shared" si="182"/>
        <v>540</v>
      </c>
      <c r="N323" s="130">
        <f t="shared" si="183"/>
        <v>0.4</v>
      </c>
      <c r="O323" s="131">
        <f t="array" ref="O323">INDEX('LPU Regionalizada'!$B$3:$N$785,MATCH($B323,'LPU Regionalizada'!$B$3:$B$785,0),MATCH(INDEX(CTRL!$F$3:$F$29,CTRL!$E$1),'LPU Regionalizada'!$B$3:$N$3,0))</f>
        <v>1350</v>
      </c>
      <c r="P323" s="88"/>
      <c r="Q323" s="132">
        <f t="shared" si="184"/>
        <v>0</v>
      </c>
      <c r="R323" s="132">
        <f t="shared" si="185"/>
        <v>0</v>
      </c>
      <c r="S323" s="132">
        <f t="shared" si="186"/>
        <v>0</v>
      </c>
      <c r="T323" s="133">
        <f t="shared" si="187"/>
        <v>0</v>
      </c>
      <c r="U323" s="134">
        <f t="shared" si="3"/>
        <v>0</v>
      </c>
      <c r="V323" s="135"/>
      <c r="W323" s="136"/>
      <c r="X323" s="2"/>
      <c r="Y323" s="111"/>
      <c r="Z323" s="3"/>
    </row>
    <row r="324" ht="14.25" hidden="1" customHeight="1" outlineLevel="2">
      <c r="A324" s="124"/>
      <c r="B324" s="125" t="s">
        <v>682</v>
      </c>
      <c r="C324" s="126" t="s">
        <v>683</v>
      </c>
      <c r="D324" s="127" t="s">
        <v>76</v>
      </c>
      <c r="E324" s="35"/>
      <c r="F324" s="128"/>
      <c r="G324" s="128"/>
      <c r="H324" s="128"/>
      <c r="I324" s="127">
        <f t="shared" si="180"/>
        <v>0</v>
      </c>
      <c r="J324" s="88"/>
      <c r="K324" s="129">
        <f t="shared" si="181"/>
        <v>840</v>
      </c>
      <c r="L324" s="130">
        <v>0.6</v>
      </c>
      <c r="M324" s="129">
        <f t="shared" si="182"/>
        <v>560</v>
      </c>
      <c r="N324" s="130">
        <f t="shared" si="183"/>
        <v>0.4</v>
      </c>
      <c r="O324" s="131">
        <f t="array" ref="O324">INDEX('LPU Regionalizada'!$B$3:$N$785,MATCH($B324,'LPU Regionalizada'!$B$3:$B$785,0),MATCH(INDEX(CTRL!$F$3:$F$29,CTRL!$E$1),'LPU Regionalizada'!$B$3:$N$3,0))</f>
        <v>1400</v>
      </c>
      <c r="P324" s="88"/>
      <c r="Q324" s="132">
        <f t="shared" si="184"/>
        <v>0</v>
      </c>
      <c r="R324" s="132">
        <f t="shared" si="185"/>
        <v>0</v>
      </c>
      <c r="S324" s="132">
        <f t="shared" si="186"/>
        <v>0</v>
      </c>
      <c r="T324" s="133">
        <f t="shared" si="187"/>
        <v>0</v>
      </c>
      <c r="U324" s="134">
        <f t="shared" si="3"/>
        <v>0</v>
      </c>
      <c r="V324" s="135"/>
      <c r="W324" s="136"/>
      <c r="X324" s="2"/>
      <c r="Y324" s="111"/>
      <c r="Z324" s="3"/>
    </row>
    <row r="325" ht="14.25" hidden="1" customHeight="1" outlineLevel="2">
      <c r="A325" s="124"/>
      <c r="B325" s="125" t="s">
        <v>684</v>
      </c>
      <c r="C325" s="126" t="s">
        <v>685</v>
      </c>
      <c r="D325" s="127" t="s">
        <v>76</v>
      </c>
      <c r="E325" s="35"/>
      <c r="F325" s="128"/>
      <c r="G325" s="128"/>
      <c r="H325" s="128"/>
      <c r="I325" s="127">
        <f t="shared" si="180"/>
        <v>0</v>
      </c>
      <c r="J325" s="88"/>
      <c r="K325" s="129">
        <f t="shared" si="181"/>
        <v>478.5716124</v>
      </c>
      <c r="L325" s="130">
        <v>0.6</v>
      </c>
      <c r="M325" s="129">
        <f t="shared" si="182"/>
        <v>319.0477416</v>
      </c>
      <c r="N325" s="130">
        <f t="shared" si="183"/>
        <v>0.4</v>
      </c>
      <c r="O325" s="131">
        <f t="array" ref="O325">INDEX('LPU Regionalizada'!$B$3:$N$785,MATCH($B325,'LPU Regionalizada'!$B$3:$B$785,0),MATCH(INDEX(CTRL!$F$3:$F$29,CTRL!$E$1),'LPU Regionalizada'!$B$3:$N$3,0))</f>
        <v>797.619354</v>
      </c>
      <c r="P325" s="88"/>
      <c r="Q325" s="132">
        <f t="shared" si="184"/>
        <v>0</v>
      </c>
      <c r="R325" s="132">
        <f t="shared" si="185"/>
        <v>0</v>
      </c>
      <c r="S325" s="132">
        <f t="shared" si="186"/>
        <v>0</v>
      </c>
      <c r="T325" s="133">
        <f t="shared" si="187"/>
        <v>0</v>
      </c>
      <c r="U325" s="134">
        <f t="shared" si="3"/>
        <v>0</v>
      </c>
      <c r="V325" s="135"/>
      <c r="W325" s="136"/>
      <c r="X325" s="2"/>
      <c r="Y325" s="111"/>
      <c r="Z325" s="3"/>
    </row>
    <row r="326" ht="14.25" hidden="1" customHeight="1" outlineLevel="2">
      <c r="A326" s="124"/>
      <c r="B326" s="125" t="s">
        <v>686</v>
      </c>
      <c r="C326" s="126" t="s">
        <v>687</v>
      </c>
      <c r="D326" s="127" t="s">
        <v>76</v>
      </c>
      <c r="E326" s="35"/>
      <c r="F326" s="128"/>
      <c r="G326" s="128"/>
      <c r="H326" s="128"/>
      <c r="I326" s="127">
        <f t="shared" si="180"/>
        <v>0</v>
      </c>
      <c r="J326" s="88"/>
      <c r="K326" s="129">
        <f t="shared" si="181"/>
        <v>47.1744</v>
      </c>
      <c r="L326" s="130">
        <v>0.6</v>
      </c>
      <c r="M326" s="129">
        <f t="shared" si="182"/>
        <v>31.4496</v>
      </c>
      <c r="N326" s="130">
        <f t="shared" si="183"/>
        <v>0.4</v>
      </c>
      <c r="O326" s="131">
        <f t="array" ref="O326">INDEX('LPU Regionalizada'!$B$3:$N$785,MATCH($B326,'LPU Regionalizada'!$B$3:$B$785,0),MATCH(INDEX(CTRL!$F$3:$F$29,CTRL!$E$1),'LPU Regionalizada'!$B$3:$N$3,0))</f>
        <v>78.624</v>
      </c>
      <c r="P326" s="88"/>
      <c r="Q326" s="132">
        <f t="shared" si="184"/>
        <v>0</v>
      </c>
      <c r="R326" s="132">
        <f t="shared" si="185"/>
        <v>0</v>
      </c>
      <c r="S326" s="132">
        <f t="shared" si="186"/>
        <v>0</v>
      </c>
      <c r="T326" s="133">
        <f t="shared" si="187"/>
        <v>0</v>
      </c>
      <c r="U326" s="134">
        <f t="shared" si="3"/>
        <v>0</v>
      </c>
      <c r="V326" s="135"/>
      <c r="W326" s="136"/>
      <c r="X326" s="2"/>
      <c r="Y326" s="111"/>
      <c r="Z326" s="3"/>
    </row>
    <row r="327" ht="14.25" hidden="1" customHeight="1" outlineLevel="2">
      <c r="A327" s="124"/>
      <c r="B327" s="125" t="s">
        <v>688</v>
      </c>
      <c r="C327" s="126" t="s">
        <v>689</v>
      </c>
      <c r="D327" s="127" t="s">
        <v>76</v>
      </c>
      <c r="E327" s="35"/>
      <c r="F327" s="128"/>
      <c r="G327" s="128"/>
      <c r="H327" s="128"/>
      <c r="I327" s="127">
        <f t="shared" si="180"/>
        <v>0</v>
      </c>
      <c r="J327" s="88"/>
      <c r="K327" s="129">
        <f t="shared" si="181"/>
        <v>62.6535</v>
      </c>
      <c r="L327" s="130">
        <v>0.6</v>
      </c>
      <c r="M327" s="129">
        <f t="shared" si="182"/>
        <v>41.769</v>
      </c>
      <c r="N327" s="130">
        <f t="shared" si="183"/>
        <v>0.4</v>
      </c>
      <c r="O327" s="131">
        <f t="array" ref="O327">INDEX('LPU Regionalizada'!$B$3:$N$785,MATCH($B327,'LPU Regionalizada'!$B$3:$B$785,0),MATCH(INDEX(CTRL!$F$3:$F$29,CTRL!$E$1),'LPU Regionalizada'!$B$3:$N$3,0))</f>
        <v>104.4225</v>
      </c>
      <c r="P327" s="88"/>
      <c r="Q327" s="132">
        <f t="shared" si="184"/>
        <v>0</v>
      </c>
      <c r="R327" s="132">
        <f t="shared" si="185"/>
        <v>0</v>
      </c>
      <c r="S327" s="132">
        <f t="shared" si="186"/>
        <v>0</v>
      </c>
      <c r="T327" s="133">
        <f t="shared" si="187"/>
        <v>0</v>
      </c>
      <c r="U327" s="134">
        <f t="shared" si="3"/>
        <v>0</v>
      </c>
      <c r="V327" s="135"/>
      <c r="W327" s="136"/>
      <c r="X327" s="2"/>
      <c r="Y327" s="111"/>
      <c r="Z327" s="3"/>
    </row>
    <row r="328" ht="14.25" hidden="1" customHeight="1" outlineLevel="2">
      <c r="A328" s="124"/>
      <c r="B328" s="125" t="s">
        <v>690</v>
      </c>
      <c r="C328" s="126" t="s">
        <v>691</v>
      </c>
      <c r="D328" s="127" t="s">
        <v>76</v>
      </c>
      <c r="E328" s="35"/>
      <c r="F328" s="128"/>
      <c r="G328" s="128"/>
      <c r="H328" s="128"/>
      <c r="I328" s="127">
        <f t="shared" si="180"/>
        <v>0</v>
      </c>
      <c r="J328" s="88"/>
      <c r="K328" s="129">
        <f t="shared" si="181"/>
        <v>48.39833738</v>
      </c>
      <c r="L328" s="130">
        <v>0.6</v>
      </c>
      <c r="M328" s="129">
        <f t="shared" si="182"/>
        <v>32.26555825</v>
      </c>
      <c r="N328" s="130">
        <f t="shared" si="183"/>
        <v>0.4</v>
      </c>
      <c r="O328" s="131">
        <f t="array" ref="O328">INDEX('LPU Regionalizada'!$B$3:$N$785,MATCH($B328,'LPU Regionalizada'!$B$3:$B$785,0),MATCH(INDEX(CTRL!$F$3:$F$29,CTRL!$E$1),'LPU Regionalizada'!$B$3:$N$3,0))</f>
        <v>80.66389563</v>
      </c>
      <c r="P328" s="88"/>
      <c r="Q328" s="132">
        <f t="shared" si="184"/>
        <v>0</v>
      </c>
      <c r="R328" s="132">
        <f t="shared" si="185"/>
        <v>0</v>
      </c>
      <c r="S328" s="132">
        <f t="shared" si="186"/>
        <v>0</v>
      </c>
      <c r="T328" s="133">
        <f t="shared" si="187"/>
        <v>0</v>
      </c>
      <c r="U328" s="134">
        <f t="shared" si="3"/>
        <v>0</v>
      </c>
      <c r="V328" s="135"/>
      <c r="W328" s="136"/>
      <c r="X328" s="2"/>
      <c r="Y328" s="111"/>
      <c r="Z328" s="3"/>
    </row>
    <row r="329" ht="14.25" hidden="1" customHeight="1" outlineLevel="2">
      <c r="A329" s="124"/>
      <c r="B329" s="125" t="s">
        <v>692</v>
      </c>
      <c r="C329" s="126" t="s">
        <v>693</v>
      </c>
      <c r="D329" s="127" t="s">
        <v>76</v>
      </c>
      <c r="E329" s="35"/>
      <c r="F329" s="128"/>
      <c r="G329" s="128"/>
      <c r="H329" s="128"/>
      <c r="I329" s="127">
        <f t="shared" si="180"/>
        <v>0</v>
      </c>
      <c r="J329" s="88"/>
      <c r="K329" s="129">
        <f t="shared" si="181"/>
        <v>63.66617476</v>
      </c>
      <c r="L329" s="130">
        <v>0.6</v>
      </c>
      <c r="M329" s="129">
        <f t="shared" si="182"/>
        <v>42.4441165</v>
      </c>
      <c r="N329" s="130">
        <f t="shared" si="183"/>
        <v>0.4</v>
      </c>
      <c r="O329" s="131">
        <f t="array" ref="O329">INDEX('LPU Regionalizada'!$B$3:$N$785,MATCH($B329,'LPU Regionalizada'!$B$3:$B$785,0),MATCH(INDEX(CTRL!$F$3:$F$29,CTRL!$E$1),'LPU Regionalizada'!$B$3:$N$3,0))</f>
        <v>106.1102913</v>
      </c>
      <c r="P329" s="88"/>
      <c r="Q329" s="132">
        <f t="shared" si="184"/>
        <v>0</v>
      </c>
      <c r="R329" s="132">
        <f t="shared" si="185"/>
        <v>0</v>
      </c>
      <c r="S329" s="132">
        <f t="shared" si="186"/>
        <v>0</v>
      </c>
      <c r="T329" s="133">
        <f t="shared" si="187"/>
        <v>0</v>
      </c>
      <c r="U329" s="134">
        <f t="shared" si="3"/>
        <v>0</v>
      </c>
      <c r="V329" s="135"/>
      <c r="W329" s="136"/>
      <c r="X329" s="2"/>
      <c r="Y329" s="111"/>
      <c r="Z329" s="3"/>
    </row>
    <row r="330" ht="14.25" hidden="1" customHeight="1" outlineLevel="2">
      <c r="A330" s="124"/>
      <c r="B330" s="125" t="s">
        <v>694</v>
      </c>
      <c r="C330" s="126" t="s">
        <v>695</v>
      </c>
      <c r="D330" s="127" t="s">
        <v>76</v>
      </c>
      <c r="E330" s="35"/>
      <c r="F330" s="128"/>
      <c r="G330" s="128"/>
      <c r="H330" s="128">
        <v>0.0</v>
      </c>
      <c r="I330" s="127">
        <f t="shared" si="180"/>
        <v>0</v>
      </c>
      <c r="J330" s="88"/>
      <c r="K330" s="129">
        <f t="shared" si="181"/>
        <v>241.29</v>
      </c>
      <c r="L330" s="130">
        <v>0.6</v>
      </c>
      <c r="M330" s="129">
        <f t="shared" si="182"/>
        <v>160.86</v>
      </c>
      <c r="N330" s="130">
        <f t="shared" si="183"/>
        <v>0.4</v>
      </c>
      <c r="O330" s="131">
        <f t="array" ref="O330">INDEX('LPU Regionalizada'!$B$3:$N$785,MATCH($B330,'LPU Regionalizada'!$B$3:$B$785,0),MATCH(INDEX(CTRL!$F$3:$F$29,CTRL!$E$1),'LPU Regionalizada'!$B$3:$N$3,0))</f>
        <v>402.15</v>
      </c>
      <c r="P330" s="88"/>
      <c r="Q330" s="132">
        <f t="shared" si="184"/>
        <v>0</v>
      </c>
      <c r="R330" s="132">
        <f t="shared" si="185"/>
        <v>0</v>
      </c>
      <c r="S330" s="132">
        <f t="shared" si="186"/>
        <v>0</v>
      </c>
      <c r="T330" s="133">
        <f t="shared" si="187"/>
        <v>0</v>
      </c>
      <c r="U330" s="134">
        <f t="shared" si="3"/>
        <v>0</v>
      </c>
      <c r="V330" s="135"/>
      <c r="W330" s="136"/>
      <c r="X330" s="2"/>
      <c r="Y330" s="111"/>
      <c r="Z330" s="3"/>
    </row>
    <row r="331" ht="14.25" hidden="1" customHeight="1" outlineLevel="2">
      <c r="A331" s="124"/>
      <c r="B331" s="125" t="s">
        <v>696</v>
      </c>
      <c r="C331" s="126" t="s">
        <v>697</v>
      </c>
      <c r="D331" s="127" t="s">
        <v>142</v>
      </c>
      <c r="E331" s="35"/>
      <c r="F331" s="128"/>
      <c r="G331" s="128"/>
      <c r="H331" s="128"/>
      <c r="I331" s="127">
        <f t="shared" si="180"/>
        <v>0</v>
      </c>
      <c r="J331" s="88"/>
      <c r="K331" s="129">
        <f t="shared" si="181"/>
        <v>908.7606416</v>
      </c>
      <c r="L331" s="130">
        <v>0.6</v>
      </c>
      <c r="M331" s="129">
        <f t="shared" si="182"/>
        <v>605.8404278</v>
      </c>
      <c r="N331" s="130">
        <f t="shared" si="183"/>
        <v>0.4</v>
      </c>
      <c r="O331" s="131">
        <f t="array" ref="O331">INDEX('LPU Regionalizada'!$B$3:$N$785,MATCH($B331,'LPU Regionalizada'!$B$3:$B$785,0),MATCH(INDEX(CTRL!$F$3:$F$29,CTRL!$E$1),'LPU Regionalizada'!$B$3:$N$3,0))</f>
        <v>1514.601069</v>
      </c>
      <c r="P331" s="88"/>
      <c r="Q331" s="132">
        <f t="shared" si="184"/>
        <v>0</v>
      </c>
      <c r="R331" s="132">
        <f t="shared" si="185"/>
        <v>0</v>
      </c>
      <c r="S331" s="132">
        <f t="shared" si="186"/>
        <v>0</v>
      </c>
      <c r="T331" s="133">
        <f t="shared" si="187"/>
        <v>0</v>
      </c>
      <c r="U331" s="134">
        <f t="shared" si="3"/>
        <v>0</v>
      </c>
      <c r="V331" s="135"/>
      <c r="W331" s="136"/>
      <c r="X331" s="2"/>
      <c r="Y331" s="111"/>
      <c r="Z331" s="3"/>
    </row>
    <row r="332" ht="14.25" hidden="1" customHeight="1" outlineLevel="2">
      <c r="A332" s="124"/>
      <c r="B332" s="125" t="s">
        <v>698</v>
      </c>
      <c r="C332" s="126" t="s">
        <v>699</v>
      </c>
      <c r="D332" s="127" t="s">
        <v>142</v>
      </c>
      <c r="E332" s="35"/>
      <c r="F332" s="128"/>
      <c r="G332" s="128"/>
      <c r="H332" s="128"/>
      <c r="I332" s="127">
        <f t="shared" si="180"/>
        <v>0</v>
      </c>
      <c r="J332" s="88"/>
      <c r="K332" s="129">
        <f t="shared" si="181"/>
        <v>172.1124554</v>
      </c>
      <c r="L332" s="130">
        <v>0.6</v>
      </c>
      <c r="M332" s="129">
        <f t="shared" si="182"/>
        <v>114.7416369</v>
      </c>
      <c r="N332" s="130">
        <f t="shared" si="183"/>
        <v>0.4</v>
      </c>
      <c r="O332" s="131">
        <f t="array" ref="O332">INDEX('LPU Regionalizada'!$B$3:$N$785,MATCH($B332,'LPU Regionalizada'!$B$3:$B$785,0),MATCH(INDEX(CTRL!$F$3:$F$29,CTRL!$E$1),'LPU Regionalizada'!$B$3:$N$3,0))</f>
        <v>286.8540923</v>
      </c>
      <c r="P332" s="88"/>
      <c r="Q332" s="132">
        <f t="shared" si="184"/>
        <v>0</v>
      </c>
      <c r="R332" s="132">
        <f t="shared" si="185"/>
        <v>0</v>
      </c>
      <c r="S332" s="132">
        <f t="shared" si="186"/>
        <v>0</v>
      </c>
      <c r="T332" s="133">
        <f t="shared" si="187"/>
        <v>0</v>
      </c>
      <c r="U332" s="134">
        <f t="shared" si="3"/>
        <v>0</v>
      </c>
      <c r="V332" s="135"/>
      <c r="W332" s="136"/>
      <c r="X332" s="2"/>
      <c r="Y332" s="111"/>
      <c r="Z332" s="3"/>
    </row>
    <row r="333" ht="14.25" hidden="1" customHeight="1" outlineLevel="2">
      <c r="A333" s="124"/>
      <c r="B333" s="125" t="s">
        <v>700</v>
      </c>
      <c r="C333" s="126" t="s">
        <v>701</v>
      </c>
      <c r="D333" s="127" t="s">
        <v>142</v>
      </c>
      <c r="E333" s="35"/>
      <c r="F333" s="128"/>
      <c r="G333" s="128"/>
      <c r="H333" s="128"/>
      <c r="I333" s="127">
        <f t="shared" si="180"/>
        <v>0</v>
      </c>
      <c r="J333" s="88"/>
      <c r="K333" s="129">
        <f t="shared" si="181"/>
        <v>191.529</v>
      </c>
      <c r="L333" s="130">
        <v>0.6</v>
      </c>
      <c r="M333" s="129">
        <f t="shared" si="182"/>
        <v>127.686</v>
      </c>
      <c r="N333" s="130">
        <f t="shared" si="183"/>
        <v>0.4</v>
      </c>
      <c r="O333" s="131">
        <f t="array" ref="O333">INDEX('LPU Regionalizada'!$B$3:$N$785,MATCH($B333,'LPU Regionalizada'!$B$3:$B$785,0),MATCH(INDEX(CTRL!$F$3:$F$29,CTRL!$E$1),'LPU Regionalizada'!$B$3:$N$3,0))</f>
        <v>319.215</v>
      </c>
      <c r="P333" s="88"/>
      <c r="Q333" s="132">
        <f t="shared" si="184"/>
        <v>0</v>
      </c>
      <c r="R333" s="132">
        <f t="shared" si="185"/>
        <v>0</v>
      </c>
      <c r="S333" s="132">
        <f t="shared" si="186"/>
        <v>0</v>
      </c>
      <c r="T333" s="133">
        <f t="shared" si="187"/>
        <v>0</v>
      </c>
      <c r="U333" s="134">
        <f t="shared" si="3"/>
        <v>0</v>
      </c>
      <c r="V333" s="135"/>
      <c r="W333" s="136"/>
      <c r="X333" s="2"/>
      <c r="Y333" s="111"/>
      <c r="Z333" s="3"/>
    </row>
    <row r="334" ht="14.25" hidden="1" customHeight="1" outlineLevel="2">
      <c r="A334" s="124"/>
      <c r="B334" s="125" t="s">
        <v>702</v>
      </c>
      <c r="C334" s="126" t="s">
        <v>703</v>
      </c>
      <c r="D334" s="127" t="s">
        <v>142</v>
      </c>
      <c r="E334" s="35"/>
      <c r="F334" s="128"/>
      <c r="G334" s="128"/>
      <c r="H334" s="128"/>
      <c r="I334" s="127">
        <f t="shared" si="180"/>
        <v>0</v>
      </c>
      <c r="J334" s="88"/>
      <c r="K334" s="129">
        <f t="shared" si="181"/>
        <v>271.7292</v>
      </c>
      <c r="L334" s="130">
        <v>0.6</v>
      </c>
      <c r="M334" s="129">
        <f t="shared" si="182"/>
        <v>181.1528</v>
      </c>
      <c r="N334" s="130">
        <f t="shared" si="183"/>
        <v>0.4</v>
      </c>
      <c r="O334" s="131">
        <f t="array" ref="O334">INDEX('LPU Regionalizada'!$B$3:$N$785,MATCH($B334,'LPU Regionalizada'!$B$3:$B$785,0),MATCH(INDEX(CTRL!$F$3:$F$29,CTRL!$E$1),'LPU Regionalizada'!$B$3:$N$3,0))</f>
        <v>452.882</v>
      </c>
      <c r="P334" s="88"/>
      <c r="Q334" s="132">
        <f t="shared" si="184"/>
        <v>0</v>
      </c>
      <c r="R334" s="132">
        <f t="shared" si="185"/>
        <v>0</v>
      </c>
      <c r="S334" s="132">
        <f t="shared" si="186"/>
        <v>0</v>
      </c>
      <c r="T334" s="133">
        <f t="shared" si="187"/>
        <v>0</v>
      </c>
      <c r="U334" s="134">
        <f t="shared" si="3"/>
        <v>0</v>
      </c>
      <c r="V334" s="135"/>
      <c r="W334" s="136"/>
      <c r="X334" s="2"/>
      <c r="Y334" s="111"/>
      <c r="Z334" s="3"/>
    </row>
    <row r="335" ht="14.25" hidden="1" customHeight="1" outlineLevel="1">
      <c r="A335" s="112"/>
      <c r="B335" s="113" t="s">
        <v>704</v>
      </c>
      <c r="C335" s="114" t="s">
        <v>705</v>
      </c>
      <c r="D335" s="115"/>
      <c r="E335" s="35"/>
      <c r="F335" s="113"/>
      <c r="G335" s="116"/>
      <c r="H335" s="116"/>
      <c r="I335" s="115"/>
      <c r="J335" s="88"/>
      <c r="K335" s="117"/>
      <c r="L335" s="118"/>
      <c r="M335" s="118"/>
      <c r="N335" s="118"/>
      <c r="O335" s="119"/>
      <c r="P335" s="88"/>
      <c r="Q335" s="120"/>
      <c r="R335" s="120"/>
      <c r="S335" s="120"/>
      <c r="T335" s="120">
        <f>SUM(T336:T351)</f>
        <v>0</v>
      </c>
      <c r="U335" s="121">
        <f t="shared" si="3"/>
        <v>0</v>
      </c>
      <c r="V335" s="122"/>
      <c r="W335" s="123"/>
      <c r="X335" s="2"/>
      <c r="Y335" s="111"/>
      <c r="Z335" s="3"/>
    </row>
    <row r="336" ht="14.25" hidden="1" customHeight="1" outlineLevel="2">
      <c r="A336" s="124"/>
      <c r="B336" s="125" t="s">
        <v>706</v>
      </c>
      <c r="C336" s="126" t="s">
        <v>707</v>
      </c>
      <c r="D336" s="127" t="s">
        <v>180</v>
      </c>
      <c r="E336" s="35"/>
      <c r="F336" s="128"/>
      <c r="G336" s="128"/>
      <c r="H336" s="128"/>
      <c r="I336" s="127">
        <f t="shared" ref="I336:I351" si="188">F336+G336+H336</f>
        <v>0</v>
      </c>
      <c r="J336" s="88"/>
      <c r="K336" s="129">
        <f t="shared" ref="K336:K351" si="189">L336*O336</f>
        <v>56.32473522</v>
      </c>
      <c r="L336" s="130">
        <v>0.6</v>
      </c>
      <c r="M336" s="129">
        <f t="shared" ref="M336:M351" si="190">N336*O336</f>
        <v>37.54982348</v>
      </c>
      <c r="N336" s="130">
        <f t="shared" ref="N336:N351" si="191">100%-L336</f>
        <v>0.4</v>
      </c>
      <c r="O336" s="131">
        <f t="array" ref="O336">INDEX('LPU Regionalizada'!$B$3:$N$785,MATCH($B336,'LPU Regionalizada'!$B$3:$B$785,0),MATCH(INDEX(CTRL!$F$3:$F$29,CTRL!$E$1),'LPU Regionalizada'!$B$3:$N$3,0))</f>
        <v>93.8745587</v>
      </c>
      <c r="P336" s="88"/>
      <c r="Q336" s="132">
        <f t="shared" ref="Q336:Q351" si="192">F336*O336</f>
        <v>0</v>
      </c>
      <c r="R336" s="132">
        <f t="shared" ref="R336:R351" si="193">G336*O336</f>
        <v>0</v>
      </c>
      <c r="S336" s="132">
        <f t="shared" ref="S336:S351" si="194">H336*O336</f>
        <v>0</v>
      </c>
      <c r="T336" s="133">
        <f t="shared" ref="T336:T351" si="195">SUM(Q336:S336)</f>
        <v>0</v>
      </c>
      <c r="U336" s="134">
        <f t="shared" si="3"/>
        <v>0</v>
      </c>
      <c r="V336" s="135"/>
      <c r="W336" s="136"/>
      <c r="X336" s="2"/>
      <c r="Y336" s="111"/>
      <c r="Z336" s="3"/>
    </row>
    <row r="337" ht="14.25" hidden="1" customHeight="1" outlineLevel="2">
      <c r="A337" s="124"/>
      <c r="B337" s="125" t="s">
        <v>708</v>
      </c>
      <c r="C337" s="126" t="s">
        <v>709</v>
      </c>
      <c r="D337" s="127" t="s">
        <v>180</v>
      </c>
      <c r="E337" s="35"/>
      <c r="F337" s="128"/>
      <c r="G337" s="128"/>
      <c r="H337" s="128"/>
      <c r="I337" s="127">
        <f t="shared" si="188"/>
        <v>0</v>
      </c>
      <c r="J337" s="88"/>
      <c r="K337" s="129">
        <f t="shared" si="189"/>
        <v>88.78711111</v>
      </c>
      <c r="L337" s="130">
        <v>0.6</v>
      </c>
      <c r="M337" s="129">
        <f t="shared" si="190"/>
        <v>59.19140741</v>
      </c>
      <c r="N337" s="130">
        <f t="shared" si="191"/>
        <v>0.4</v>
      </c>
      <c r="O337" s="131">
        <f t="array" ref="O337">INDEX('LPU Regionalizada'!$B$3:$N$785,MATCH($B337,'LPU Regionalizada'!$B$3:$B$785,0),MATCH(INDEX(CTRL!$F$3:$F$29,CTRL!$E$1),'LPU Regionalizada'!$B$3:$N$3,0))</f>
        <v>147.9785185</v>
      </c>
      <c r="P337" s="88"/>
      <c r="Q337" s="132">
        <f t="shared" si="192"/>
        <v>0</v>
      </c>
      <c r="R337" s="132">
        <f t="shared" si="193"/>
        <v>0</v>
      </c>
      <c r="S337" s="132">
        <f t="shared" si="194"/>
        <v>0</v>
      </c>
      <c r="T337" s="133">
        <f t="shared" si="195"/>
        <v>0</v>
      </c>
      <c r="U337" s="134">
        <f t="shared" si="3"/>
        <v>0</v>
      </c>
      <c r="V337" s="135"/>
      <c r="W337" s="136"/>
      <c r="X337" s="2"/>
      <c r="Y337" s="111"/>
      <c r="Z337" s="3"/>
    </row>
    <row r="338" ht="14.25" hidden="1" customHeight="1" outlineLevel="2">
      <c r="A338" s="124"/>
      <c r="B338" s="125" t="s">
        <v>710</v>
      </c>
      <c r="C338" s="126" t="s">
        <v>711</v>
      </c>
      <c r="D338" s="127" t="s">
        <v>135</v>
      </c>
      <c r="E338" s="35"/>
      <c r="F338" s="128"/>
      <c r="G338" s="128"/>
      <c r="H338" s="128"/>
      <c r="I338" s="127">
        <f t="shared" si="188"/>
        <v>0</v>
      </c>
      <c r="J338" s="88"/>
      <c r="K338" s="129">
        <f t="shared" si="189"/>
        <v>13.93712053</v>
      </c>
      <c r="L338" s="130">
        <v>0.6</v>
      </c>
      <c r="M338" s="129">
        <f t="shared" si="190"/>
        <v>9.291413687</v>
      </c>
      <c r="N338" s="130">
        <f t="shared" si="191"/>
        <v>0.4</v>
      </c>
      <c r="O338" s="131">
        <f t="array" ref="O338">INDEX('LPU Regionalizada'!$B$3:$N$785,MATCH($B338,'LPU Regionalizada'!$B$3:$B$785,0),MATCH(INDEX(CTRL!$F$3:$F$29,CTRL!$E$1),'LPU Regionalizada'!$B$3:$N$3,0))</f>
        <v>23.22853422</v>
      </c>
      <c r="P338" s="88"/>
      <c r="Q338" s="132">
        <f t="shared" si="192"/>
        <v>0</v>
      </c>
      <c r="R338" s="132">
        <f t="shared" si="193"/>
        <v>0</v>
      </c>
      <c r="S338" s="132">
        <f t="shared" si="194"/>
        <v>0</v>
      </c>
      <c r="T338" s="133">
        <f t="shared" si="195"/>
        <v>0</v>
      </c>
      <c r="U338" s="134">
        <f t="shared" si="3"/>
        <v>0</v>
      </c>
      <c r="V338" s="135"/>
      <c r="W338" s="136"/>
      <c r="X338" s="2"/>
      <c r="Y338" s="111"/>
      <c r="Z338" s="3"/>
    </row>
    <row r="339" ht="14.25" hidden="1" customHeight="1" outlineLevel="2">
      <c r="A339" s="124"/>
      <c r="B339" s="125" t="s">
        <v>712</v>
      </c>
      <c r="C339" s="126" t="s">
        <v>713</v>
      </c>
      <c r="D339" s="127" t="s">
        <v>76</v>
      </c>
      <c r="E339" s="35"/>
      <c r="F339" s="128"/>
      <c r="G339" s="128"/>
      <c r="H339" s="128"/>
      <c r="I339" s="127">
        <f t="shared" si="188"/>
        <v>0</v>
      </c>
      <c r="J339" s="88"/>
      <c r="K339" s="129">
        <f t="shared" si="189"/>
        <v>128.1478356</v>
      </c>
      <c r="L339" s="130">
        <v>0.6</v>
      </c>
      <c r="M339" s="129">
        <f t="shared" si="190"/>
        <v>85.4318904</v>
      </c>
      <c r="N339" s="130">
        <f t="shared" si="191"/>
        <v>0.4</v>
      </c>
      <c r="O339" s="131">
        <f t="array" ref="O339">INDEX('LPU Regionalizada'!$B$3:$N$785,MATCH($B339,'LPU Regionalizada'!$B$3:$B$785,0),MATCH(INDEX(CTRL!$F$3:$F$29,CTRL!$E$1),'LPU Regionalizada'!$B$3:$N$3,0))</f>
        <v>213.579726</v>
      </c>
      <c r="P339" s="88"/>
      <c r="Q339" s="132">
        <f t="shared" si="192"/>
        <v>0</v>
      </c>
      <c r="R339" s="132">
        <f t="shared" si="193"/>
        <v>0</v>
      </c>
      <c r="S339" s="132">
        <f t="shared" si="194"/>
        <v>0</v>
      </c>
      <c r="T339" s="133">
        <f t="shared" si="195"/>
        <v>0</v>
      </c>
      <c r="U339" s="134">
        <f t="shared" si="3"/>
        <v>0</v>
      </c>
      <c r="V339" s="135"/>
      <c r="W339" s="136"/>
      <c r="X339" s="2"/>
      <c r="Y339" s="111"/>
      <c r="Z339" s="3"/>
    </row>
    <row r="340" ht="14.25" hidden="1" customHeight="1" outlineLevel="2">
      <c r="A340" s="124"/>
      <c r="B340" s="125" t="s">
        <v>714</v>
      </c>
      <c r="C340" s="126" t="s">
        <v>715</v>
      </c>
      <c r="D340" s="127" t="s">
        <v>76</v>
      </c>
      <c r="E340" s="35"/>
      <c r="F340" s="128"/>
      <c r="G340" s="128"/>
      <c r="H340" s="128"/>
      <c r="I340" s="127">
        <f t="shared" si="188"/>
        <v>0</v>
      </c>
      <c r="J340" s="88"/>
      <c r="K340" s="129">
        <f t="shared" si="189"/>
        <v>114.1587812</v>
      </c>
      <c r="L340" s="130">
        <v>0.6</v>
      </c>
      <c r="M340" s="129">
        <f t="shared" si="190"/>
        <v>76.10585412</v>
      </c>
      <c r="N340" s="130">
        <f t="shared" si="191"/>
        <v>0.4</v>
      </c>
      <c r="O340" s="131">
        <f t="array" ref="O340">INDEX('LPU Regionalizada'!$B$3:$N$785,MATCH($B340,'LPU Regionalizada'!$B$3:$B$785,0),MATCH(INDEX(CTRL!$F$3:$F$29,CTRL!$E$1),'LPU Regionalizada'!$B$3:$N$3,0))</f>
        <v>190.2646353</v>
      </c>
      <c r="P340" s="88"/>
      <c r="Q340" s="132">
        <f t="shared" si="192"/>
        <v>0</v>
      </c>
      <c r="R340" s="132">
        <f t="shared" si="193"/>
        <v>0</v>
      </c>
      <c r="S340" s="132">
        <f t="shared" si="194"/>
        <v>0</v>
      </c>
      <c r="T340" s="133">
        <f t="shared" si="195"/>
        <v>0</v>
      </c>
      <c r="U340" s="134">
        <f t="shared" si="3"/>
        <v>0</v>
      </c>
      <c r="V340" s="135"/>
      <c r="W340" s="136"/>
      <c r="X340" s="2"/>
      <c r="Y340" s="111"/>
      <c r="Z340" s="3"/>
    </row>
    <row r="341" ht="14.25" hidden="1" customHeight="1" outlineLevel="2">
      <c r="A341" s="124"/>
      <c r="B341" s="125" t="s">
        <v>716</v>
      </c>
      <c r="C341" s="126" t="s">
        <v>717</v>
      </c>
      <c r="D341" s="127" t="s">
        <v>180</v>
      </c>
      <c r="E341" s="35"/>
      <c r="F341" s="128"/>
      <c r="G341" s="128"/>
      <c r="H341" s="128"/>
      <c r="I341" s="127">
        <f t="shared" si="188"/>
        <v>0</v>
      </c>
      <c r="J341" s="88"/>
      <c r="K341" s="129">
        <f t="shared" si="189"/>
        <v>46.03401004</v>
      </c>
      <c r="L341" s="130">
        <v>0.6</v>
      </c>
      <c r="M341" s="129">
        <f t="shared" si="190"/>
        <v>30.68934002</v>
      </c>
      <c r="N341" s="130">
        <f t="shared" si="191"/>
        <v>0.4</v>
      </c>
      <c r="O341" s="131">
        <f t="array" ref="O341">INDEX('LPU Regionalizada'!$B$3:$N$785,MATCH($B341,'LPU Regionalizada'!$B$3:$B$785,0),MATCH(INDEX(CTRL!$F$3:$F$29,CTRL!$E$1),'LPU Regionalizada'!$B$3:$N$3,0))</f>
        <v>76.72335006</v>
      </c>
      <c r="P341" s="88"/>
      <c r="Q341" s="132">
        <f t="shared" si="192"/>
        <v>0</v>
      </c>
      <c r="R341" s="132">
        <f t="shared" si="193"/>
        <v>0</v>
      </c>
      <c r="S341" s="132">
        <f t="shared" si="194"/>
        <v>0</v>
      </c>
      <c r="T341" s="133">
        <f t="shared" si="195"/>
        <v>0</v>
      </c>
      <c r="U341" s="134">
        <f t="shared" si="3"/>
        <v>0</v>
      </c>
      <c r="V341" s="135"/>
      <c r="W341" s="136"/>
      <c r="X341" s="2"/>
      <c r="Y341" s="111"/>
      <c r="Z341" s="3"/>
    </row>
    <row r="342" ht="14.25" hidden="1" customHeight="1" outlineLevel="2">
      <c r="A342" s="124"/>
      <c r="B342" s="125" t="s">
        <v>718</v>
      </c>
      <c r="C342" s="126" t="s">
        <v>719</v>
      </c>
      <c r="D342" s="127" t="s">
        <v>180</v>
      </c>
      <c r="E342" s="35"/>
      <c r="F342" s="128"/>
      <c r="G342" s="128"/>
      <c r="H342" s="128"/>
      <c r="I342" s="127">
        <f t="shared" si="188"/>
        <v>0</v>
      </c>
      <c r="J342" s="88"/>
      <c r="K342" s="129">
        <f t="shared" si="189"/>
        <v>15.87456</v>
      </c>
      <c r="L342" s="130">
        <v>0.6</v>
      </c>
      <c r="M342" s="129">
        <f t="shared" si="190"/>
        <v>10.58304</v>
      </c>
      <c r="N342" s="130">
        <f t="shared" si="191"/>
        <v>0.4</v>
      </c>
      <c r="O342" s="131">
        <f t="array" ref="O342">INDEX('LPU Regionalizada'!$B$3:$N$785,MATCH($B342,'LPU Regionalizada'!$B$3:$B$785,0),MATCH(INDEX(CTRL!$F$3:$F$29,CTRL!$E$1),'LPU Regionalizada'!$B$3:$N$3,0))</f>
        <v>26.4576</v>
      </c>
      <c r="P342" s="88"/>
      <c r="Q342" s="132">
        <f t="shared" si="192"/>
        <v>0</v>
      </c>
      <c r="R342" s="132">
        <f t="shared" si="193"/>
        <v>0</v>
      </c>
      <c r="S342" s="132">
        <f t="shared" si="194"/>
        <v>0</v>
      </c>
      <c r="T342" s="133">
        <f t="shared" si="195"/>
        <v>0</v>
      </c>
      <c r="U342" s="134">
        <f t="shared" si="3"/>
        <v>0</v>
      </c>
      <c r="V342" s="135"/>
      <c r="W342" s="136"/>
      <c r="X342" s="2"/>
      <c r="Y342" s="111"/>
      <c r="Z342" s="3"/>
    </row>
    <row r="343" ht="14.25" hidden="1" customHeight="1" outlineLevel="2">
      <c r="A343" s="124"/>
      <c r="B343" s="125" t="s">
        <v>720</v>
      </c>
      <c r="C343" s="126" t="s">
        <v>721</v>
      </c>
      <c r="D343" s="127" t="s">
        <v>180</v>
      </c>
      <c r="E343" s="35"/>
      <c r="F343" s="128"/>
      <c r="G343" s="128"/>
      <c r="H343" s="128"/>
      <c r="I343" s="127">
        <f t="shared" si="188"/>
        <v>0</v>
      </c>
      <c r="J343" s="88"/>
      <c r="K343" s="129">
        <f t="shared" si="189"/>
        <v>19.08816</v>
      </c>
      <c r="L343" s="130">
        <v>0.6</v>
      </c>
      <c r="M343" s="129">
        <f t="shared" si="190"/>
        <v>12.72544</v>
      </c>
      <c r="N343" s="130">
        <f t="shared" si="191"/>
        <v>0.4</v>
      </c>
      <c r="O343" s="131">
        <f t="array" ref="O343">INDEX('LPU Regionalizada'!$B$3:$N$785,MATCH($B343,'LPU Regionalizada'!$B$3:$B$785,0),MATCH(INDEX(CTRL!$F$3:$F$29,CTRL!$E$1),'LPU Regionalizada'!$B$3:$N$3,0))</f>
        <v>31.8136</v>
      </c>
      <c r="P343" s="88"/>
      <c r="Q343" s="132">
        <f t="shared" si="192"/>
        <v>0</v>
      </c>
      <c r="R343" s="132">
        <f t="shared" si="193"/>
        <v>0</v>
      </c>
      <c r="S343" s="132">
        <f t="shared" si="194"/>
        <v>0</v>
      </c>
      <c r="T343" s="133">
        <f t="shared" si="195"/>
        <v>0</v>
      </c>
      <c r="U343" s="134">
        <f t="shared" si="3"/>
        <v>0</v>
      </c>
      <c r="V343" s="135"/>
      <c r="W343" s="136"/>
      <c r="X343" s="2"/>
      <c r="Y343" s="111"/>
      <c r="Z343" s="3"/>
    </row>
    <row r="344" ht="14.25" hidden="1" customHeight="1" outlineLevel="2">
      <c r="A344" s="124"/>
      <c r="B344" s="125" t="s">
        <v>722</v>
      </c>
      <c r="C344" s="126" t="s">
        <v>723</v>
      </c>
      <c r="D344" s="127" t="s">
        <v>76</v>
      </c>
      <c r="E344" s="35"/>
      <c r="F344" s="128"/>
      <c r="G344" s="128"/>
      <c r="H344" s="128"/>
      <c r="I344" s="127">
        <f t="shared" si="188"/>
        <v>0</v>
      </c>
      <c r="J344" s="88"/>
      <c r="K344" s="129">
        <f t="shared" si="189"/>
        <v>46.21575</v>
      </c>
      <c r="L344" s="130">
        <v>0.6</v>
      </c>
      <c r="M344" s="129">
        <f t="shared" si="190"/>
        <v>30.8105</v>
      </c>
      <c r="N344" s="130">
        <f t="shared" si="191"/>
        <v>0.4</v>
      </c>
      <c r="O344" s="131">
        <f t="array" ref="O344">INDEX('LPU Regionalizada'!$B$3:$N$785,MATCH($B344,'LPU Regionalizada'!$B$3:$B$785,0),MATCH(INDEX(CTRL!$F$3:$F$29,CTRL!$E$1),'LPU Regionalizada'!$B$3:$N$3,0))</f>
        <v>77.02625</v>
      </c>
      <c r="P344" s="88"/>
      <c r="Q344" s="132">
        <f t="shared" si="192"/>
        <v>0</v>
      </c>
      <c r="R344" s="132">
        <f t="shared" si="193"/>
        <v>0</v>
      </c>
      <c r="S344" s="132">
        <f t="shared" si="194"/>
        <v>0</v>
      </c>
      <c r="T344" s="133">
        <f t="shared" si="195"/>
        <v>0</v>
      </c>
      <c r="U344" s="134">
        <f t="shared" si="3"/>
        <v>0</v>
      </c>
      <c r="V344" s="135"/>
      <c r="W344" s="136"/>
      <c r="X344" s="2"/>
      <c r="Y344" s="111"/>
      <c r="Z344" s="3"/>
    </row>
    <row r="345" ht="14.25" hidden="1" customHeight="1" outlineLevel="2">
      <c r="A345" s="124"/>
      <c r="B345" s="125" t="s">
        <v>724</v>
      </c>
      <c r="C345" s="126" t="s">
        <v>725</v>
      </c>
      <c r="D345" s="127" t="s">
        <v>76</v>
      </c>
      <c r="E345" s="35"/>
      <c r="F345" s="128"/>
      <c r="G345" s="128"/>
      <c r="H345" s="128"/>
      <c r="I345" s="127">
        <f t="shared" si="188"/>
        <v>0</v>
      </c>
      <c r="J345" s="88"/>
      <c r="K345" s="129">
        <f t="shared" si="189"/>
        <v>24.2261136</v>
      </c>
      <c r="L345" s="130">
        <v>0.6</v>
      </c>
      <c r="M345" s="129">
        <f t="shared" si="190"/>
        <v>16.1507424</v>
      </c>
      <c r="N345" s="130">
        <f t="shared" si="191"/>
        <v>0.4</v>
      </c>
      <c r="O345" s="131">
        <f t="array" ref="O345">INDEX('LPU Regionalizada'!$B$3:$N$785,MATCH($B345,'LPU Regionalizada'!$B$3:$B$785,0),MATCH(INDEX(CTRL!$F$3:$F$29,CTRL!$E$1),'LPU Regionalizada'!$B$3:$N$3,0))</f>
        <v>40.376856</v>
      </c>
      <c r="P345" s="88"/>
      <c r="Q345" s="132">
        <f t="shared" si="192"/>
        <v>0</v>
      </c>
      <c r="R345" s="132">
        <f t="shared" si="193"/>
        <v>0</v>
      </c>
      <c r="S345" s="132">
        <f t="shared" si="194"/>
        <v>0</v>
      </c>
      <c r="T345" s="133">
        <f t="shared" si="195"/>
        <v>0</v>
      </c>
      <c r="U345" s="134">
        <f t="shared" si="3"/>
        <v>0</v>
      </c>
      <c r="V345" s="135"/>
      <c r="W345" s="136"/>
      <c r="X345" s="2"/>
      <c r="Y345" s="111"/>
      <c r="Z345" s="3"/>
    </row>
    <row r="346" ht="14.25" hidden="1" customHeight="1" outlineLevel="2">
      <c r="A346" s="124"/>
      <c r="B346" s="125" t="s">
        <v>726</v>
      </c>
      <c r="C346" s="126" t="s">
        <v>727</v>
      </c>
      <c r="D346" s="127" t="s">
        <v>76</v>
      </c>
      <c r="E346" s="35"/>
      <c r="F346" s="128"/>
      <c r="G346" s="128"/>
      <c r="H346" s="128"/>
      <c r="I346" s="127">
        <f t="shared" si="188"/>
        <v>0</v>
      </c>
      <c r="J346" s="88"/>
      <c r="K346" s="129">
        <f t="shared" si="189"/>
        <v>126.0928264</v>
      </c>
      <c r="L346" s="130">
        <v>0.6</v>
      </c>
      <c r="M346" s="129">
        <f t="shared" si="190"/>
        <v>84.06188426</v>
      </c>
      <c r="N346" s="130">
        <f t="shared" si="191"/>
        <v>0.4</v>
      </c>
      <c r="O346" s="131">
        <f t="array" ref="O346">INDEX('LPU Regionalizada'!$B$3:$N$785,MATCH($B346,'LPU Regionalizada'!$B$3:$B$785,0),MATCH(INDEX(CTRL!$F$3:$F$29,CTRL!$E$1),'LPU Regionalizada'!$B$3:$N$3,0))</f>
        <v>210.1547106</v>
      </c>
      <c r="P346" s="88"/>
      <c r="Q346" s="132">
        <f t="shared" si="192"/>
        <v>0</v>
      </c>
      <c r="R346" s="132">
        <f t="shared" si="193"/>
        <v>0</v>
      </c>
      <c r="S346" s="132">
        <f t="shared" si="194"/>
        <v>0</v>
      </c>
      <c r="T346" s="133">
        <f t="shared" si="195"/>
        <v>0</v>
      </c>
      <c r="U346" s="134">
        <f t="shared" si="3"/>
        <v>0</v>
      </c>
      <c r="V346" s="135"/>
      <c r="W346" s="136"/>
      <c r="X346" s="2"/>
      <c r="Y346" s="111"/>
      <c r="Z346" s="3"/>
    </row>
    <row r="347" ht="14.25" hidden="1" customHeight="1" outlineLevel="2">
      <c r="A347" s="124"/>
      <c r="B347" s="125" t="s">
        <v>728</v>
      </c>
      <c r="C347" s="126" t="s">
        <v>729</v>
      </c>
      <c r="D347" s="127" t="s">
        <v>76</v>
      </c>
      <c r="E347" s="35"/>
      <c r="F347" s="128"/>
      <c r="G347" s="128"/>
      <c r="H347" s="128"/>
      <c r="I347" s="127">
        <f t="shared" si="188"/>
        <v>0</v>
      </c>
      <c r="J347" s="88"/>
      <c r="K347" s="129">
        <f t="shared" si="189"/>
        <v>87.7074</v>
      </c>
      <c r="L347" s="130">
        <v>0.6</v>
      </c>
      <c r="M347" s="129">
        <f t="shared" si="190"/>
        <v>58.4716</v>
      </c>
      <c r="N347" s="130">
        <f t="shared" si="191"/>
        <v>0.4</v>
      </c>
      <c r="O347" s="131">
        <f t="array" ref="O347">INDEX('LPU Regionalizada'!$B$3:$N$785,MATCH($B347,'LPU Regionalizada'!$B$3:$B$785,0),MATCH(INDEX(CTRL!$F$3:$F$29,CTRL!$E$1),'LPU Regionalizada'!$B$3:$N$3,0))</f>
        <v>146.179</v>
      </c>
      <c r="P347" s="88"/>
      <c r="Q347" s="132">
        <f t="shared" si="192"/>
        <v>0</v>
      </c>
      <c r="R347" s="132">
        <f t="shared" si="193"/>
        <v>0</v>
      </c>
      <c r="S347" s="132">
        <f t="shared" si="194"/>
        <v>0</v>
      </c>
      <c r="T347" s="133">
        <f t="shared" si="195"/>
        <v>0</v>
      </c>
      <c r="U347" s="134">
        <f t="shared" si="3"/>
        <v>0</v>
      </c>
      <c r="V347" s="135"/>
      <c r="W347" s="136"/>
      <c r="X347" s="2"/>
      <c r="Y347" s="111"/>
      <c r="Z347" s="3"/>
    </row>
    <row r="348" ht="14.25" hidden="1" customHeight="1" outlineLevel="2">
      <c r="A348" s="124"/>
      <c r="B348" s="125" t="s">
        <v>730</v>
      </c>
      <c r="C348" s="126" t="s">
        <v>731</v>
      </c>
      <c r="D348" s="127" t="s">
        <v>76</v>
      </c>
      <c r="E348" s="35"/>
      <c r="F348" s="128"/>
      <c r="G348" s="128"/>
      <c r="H348" s="128"/>
      <c r="I348" s="127">
        <f t="shared" si="188"/>
        <v>0</v>
      </c>
      <c r="J348" s="88"/>
      <c r="K348" s="129">
        <f t="shared" si="189"/>
        <v>40.569984</v>
      </c>
      <c r="L348" s="130">
        <v>0.6</v>
      </c>
      <c r="M348" s="129">
        <f t="shared" si="190"/>
        <v>27.046656</v>
      </c>
      <c r="N348" s="130">
        <f t="shared" si="191"/>
        <v>0.4</v>
      </c>
      <c r="O348" s="131">
        <f t="array" ref="O348">INDEX('LPU Regionalizada'!$B$3:$N$785,MATCH($B348,'LPU Regionalizada'!$B$3:$B$785,0),MATCH(INDEX(CTRL!$F$3:$F$29,CTRL!$E$1),'LPU Regionalizada'!$B$3:$N$3,0))</f>
        <v>67.61664</v>
      </c>
      <c r="P348" s="88"/>
      <c r="Q348" s="132">
        <f t="shared" si="192"/>
        <v>0</v>
      </c>
      <c r="R348" s="132">
        <f t="shared" si="193"/>
        <v>0</v>
      </c>
      <c r="S348" s="132">
        <f t="shared" si="194"/>
        <v>0</v>
      </c>
      <c r="T348" s="133">
        <f t="shared" si="195"/>
        <v>0</v>
      </c>
      <c r="U348" s="134">
        <f t="shared" si="3"/>
        <v>0</v>
      </c>
      <c r="V348" s="135"/>
      <c r="W348" s="136"/>
      <c r="X348" s="2"/>
      <c r="Y348" s="111"/>
      <c r="Z348" s="3"/>
    </row>
    <row r="349" ht="14.25" hidden="1" customHeight="1" outlineLevel="2">
      <c r="A349" s="124"/>
      <c r="B349" s="125" t="s">
        <v>732</v>
      </c>
      <c r="C349" s="126" t="s">
        <v>733</v>
      </c>
      <c r="D349" s="127" t="s">
        <v>76</v>
      </c>
      <c r="E349" s="35"/>
      <c r="F349" s="128"/>
      <c r="G349" s="128"/>
      <c r="H349" s="128"/>
      <c r="I349" s="127">
        <f t="shared" si="188"/>
        <v>0</v>
      </c>
      <c r="J349" s="88"/>
      <c r="K349" s="129">
        <f t="shared" si="189"/>
        <v>47.71728</v>
      </c>
      <c r="L349" s="130">
        <v>0.6</v>
      </c>
      <c r="M349" s="129">
        <f t="shared" si="190"/>
        <v>31.81152</v>
      </c>
      <c r="N349" s="130">
        <f t="shared" si="191"/>
        <v>0.4</v>
      </c>
      <c r="O349" s="131">
        <f t="array" ref="O349">INDEX('LPU Regionalizada'!$B$3:$N$785,MATCH($B349,'LPU Regionalizada'!$B$3:$B$785,0),MATCH(INDEX(CTRL!$F$3:$F$29,CTRL!$E$1),'LPU Regionalizada'!$B$3:$N$3,0))</f>
        <v>79.5288</v>
      </c>
      <c r="P349" s="88"/>
      <c r="Q349" s="132">
        <f t="shared" si="192"/>
        <v>0</v>
      </c>
      <c r="R349" s="132">
        <f t="shared" si="193"/>
        <v>0</v>
      </c>
      <c r="S349" s="132">
        <f t="shared" si="194"/>
        <v>0</v>
      </c>
      <c r="T349" s="133">
        <f t="shared" si="195"/>
        <v>0</v>
      </c>
      <c r="U349" s="134">
        <f t="shared" si="3"/>
        <v>0</v>
      </c>
      <c r="V349" s="135"/>
      <c r="W349" s="136"/>
      <c r="X349" s="2"/>
      <c r="Y349" s="111"/>
      <c r="Z349" s="3"/>
    </row>
    <row r="350" ht="14.25" hidden="1" customHeight="1" outlineLevel="2">
      <c r="A350" s="124"/>
      <c r="B350" s="125" t="s">
        <v>734</v>
      </c>
      <c r="C350" s="126" t="s">
        <v>735</v>
      </c>
      <c r="D350" s="127" t="s">
        <v>76</v>
      </c>
      <c r="E350" s="35"/>
      <c r="F350" s="128"/>
      <c r="G350" s="128"/>
      <c r="H350" s="128"/>
      <c r="I350" s="127">
        <f t="shared" si="188"/>
        <v>0</v>
      </c>
      <c r="J350" s="88"/>
      <c r="K350" s="129">
        <f t="shared" si="189"/>
        <v>31.58156686</v>
      </c>
      <c r="L350" s="130">
        <v>0.6</v>
      </c>
      <c r="M350" s="129">
        <f t="shared" si="190"/>
        <v>21.05437791</v>
      </c>
      <c r="N350" s="130">
        <f t="shared" si="191"/>
        <v>0.4</v>
      </c>
      <c r="O350" s="131">
        <f t="array" ref="O350">INDEX('LPU Regionalizada'!$B$3:$N$785,MATCH($B350,'LPU Regionalizada'!$B$3:$B$785,0),MATCH(INDEX(CTRL!$F$3:$F$29,CTRL!$E$1),'LPU Regionalizada'!$B$3:$N$3,0))</f>
        <v>52.63594477</v>
      </c>
      <c r="P350" s="88"/>
      <c r="Q350" s="132">
        <f t="shared" si="192"/>
        <v>0</v>
      </c>
      <c r="R350" s="132">
        <f t="shared" si="193"/>
        <v>0</v>
      </c>
      <c r="S350" s="132">
        <f t="shared" si="194"/>
        <v>0</v>
      </c>
      <c r="T350" s="133">
        <f t="shared" si="195"/>
        <v>0</v>
      </c>
      <c r="U350" s="134">
        <f t="shared" si="3"/>
        <v>0</v>
      </c>
      <c r="V350" s="135"/>
      <c r="W350" s="136"/>
      <c r="X350" s="2"/>
      <c r="Y350" s="111"/>
      <c r="Z350" s="3"/>
    </row>
    <row r="351" ht="14.25" hidden="1" customHeight="1" outlineLevel="2">
      <c r="A351" s="124"/>
      <c r="B351" s="125" t="s">
        <v>736</v>
      </c>
      <c r="C351" s="126" t="s">
        <v>737</v>
      </c>
      <c r="D351" s="127" t="s">
        <v>425</v>
      </c>
      <c r="E351" s="35"/>
      <c r="F351" s="128"/>
      <c r="G351" s="128"/>
      <c r="H351" s="128"/>
      <c r="I351" s="127">
        <f t="shared" si="188"/>
        <v>0</v>
      </c>
      <c r="J351" s="88"/>
      <c r="K351" s="129">
        <f t="shared" si="189"/>
        <v>33.096</v>
      </c>
      <c r="L351" s="130">
        <v>0.6</v>
      </c>
      <c r="M351" s="129">
        <f t="shared" si="190"/>
        <v>22.064</v>
      </c>
      <c r="N351" s="130">
        <f t="shared" si="191"/>
        <v>0.4</v>
      </c>
      <c r="O351" s="131">
        <f t="array" ref="O351">INDEX('LPU Regionalizada'!$B$3:$N$785,MATCH($B351,'LPU Regionalizada'!$B$3:$B$785,0),MATCH(INDEX(CTRL!$F$3:$F$29,CTRL!$E$1),'LPU Regionalizada'!$B$3:$N$3,0))</f>
        <v>55.16</v>
      </c>
      <c r="P351" s="88"/>
      <c r="Q351" s="132">
        <f t="shared" si="192"/>
        <v>0</v>
      </c>
      <c r="R351" s="132">
        <f t="shared" si="193"/>
        <v>0</v>
      </c>
      <c r="S351" s="132">
        <f t="shared" si="194"/>
        <v>0</v>
      </c>
      <c r="T351" s="133">
        <f t="shared" si="195"/>
        <v>0</v>
      </c>
      <c r="U351" s="134">
        <f t="shared" si="3"/>
        <v>0</v>
      </c>
      <c r="V351" s="135"/>
      <c r="W351" s="136"/>
      <c r="X351" s="2"/>
      <c r="Y351" s="111"/>
      <c r="Z351" s="3"/>
    </row>
    <row r="352" ht="14.25" customHeight="1" outlineLevel="1">
      <c r="A352" s="112"/>
      <c r="B352" s="113" t="s">
        <v>738</v>
      </c>
      <c r="C352" s="114" t="s">
        <v>739</v>
      </c>
      <c r="D352" s="115"/>
      <c r="E352" s="35"/>
      <c r="F352" s="113"/>
      <c r="G352" s="116"/>
      <c r="H352" s="116"/>
      <c r="I352" s="115"/>
      <c r="J352" s="88"/>
      <c r="K352" s="117"/>
      <c r="L352" s="118"/>
      <c r="M352" s="118"/>
      <c r="N352" s="118"/>
      <c r="O352" s="119"/>
      <c r="P352" s="88"/>
      <c r="Q352" s="120"/>
      <c r="R352" s="120"/>
      <c r="S352" s="120"/>
      <c r="T352" s="120">
        <f>SUM(T353:T355)</f>
        <v>896.8073094</v>
      </c>
      <c r="U352" s="121">
        <f t="shared" si="3"/>
        <v>896.8073094</v>
      </c>
      <c r="V352" s="122"/>
      <c r="W352" s="123"/>
      <c r="X352" s="2"/>
      <c r="Y352" s="111"/>
      <c r="Z352" s="3"/>
    </row>
    <row r="353" ht="14.25" hidden="1" customHeight="1" outlineLevel="2">
      <c r="A353" s="124"/>
      <c r="B353" s="125" t="s">
        <v>740</v>
      </c>
      <c r="C353" s="126" t="s">
        <v>741</v>
      </c>
      <c r="D353" s="127" t="s">
        <v>425</v>
      </c>
      <c r="E353" s="35"/>
      <c r="F353" s="128"/>
      <c r="G353" s="128"/>
      <c r="H353" s="128"/>
      <c r="I353" s="127">
        <f t="shared" ref="I353:I355" si="196">F353+G353+H353</f>
        <v>0</v>
      </c>
      <c r="J353" s="88"/>
      <c r="K353" s="129">
        <f t="shared" ref="K353:K355" si="197">L353*O353</f>
        <v>3.192</v>
      </c>
      <c r="L353" s="130">
        <v>0.6</v>
      </c>
      <c r="M353" s="129">
        <f t="shared" ref="M353:M355" si="198">N353*O353</f>
        <v>2.128</v>
      </c>
      <c r="N353" s="130">
        <f t="shared" ref="N353:N355" si="199">100%-L353</f>
        <v>0.4</v>
      </c>
      <c r="O353" s="131">
        <f t="array" ref="O353">INDEX('LPU Regionalizada'!$B$3:$N$785,MATCH($B353,'LPU Regionalizada'!$B$3:$B$785,0),MATCH(INDEX(CTRL!$F$3:$F$29,CTRL!$E$1),'LPU Regionalizada'!$B$3:$N$3,0))</f>
        <v>5.32</v>
      </c>
      <c r="P353" s="88"/>
      <c r="Q353" s="132">
        <f t="shared" ref="Q353:Q355" si="200">F353*O353</f>
        <v>0</v>
      </c>
      <c r="R353" s="132">
        <f t="shared" ref="R353:R355" si="201">G353*O353</f>
        <v>0</v>
      </c>
      <c r="S353" s="132">
        <f t="shared" ref="S353:S355" si="202">H353*O353</f>
        <v>0</v>
      </c>
      <c r="T353" s="133">
        <f t="shared" ref="T353:T355" si="203">SUM(Q353:S353)</f>
        <v>0</v>
      </c>
      <c r="U353" s="134">
        <f t="shared" si="3"/>
        <v>0</v>
      </c>
      <c r="V353" s="135"/>
      <c r="W353" s="136"/>
      <c r="X353" s="2"/>
      <c r="Y353" s="111"/>
      <c r="Z353" s="3"/>
    </row>
    <row r="354" ht="14.25" hidden="1" customHeight="1" outlineLevel="2">
      <c r="A354" s="124"/>
      <c r="B354" s="125" t="s">
        <v>742</v>
      </c>
      <c r="C354" s="126" t="s">
        <v>743</v>
      </c>
      <c r="D354" s="127" t="s">
        <v>64</v>
      </c>
      <c r="E354" s="35"/>
      <c r="F354" s="128"/>
      <c r="G354" s="128"/>
      <c r="H354" s="128"/>
      <c r="I354" s="127">
        <f t="shared" si="196"/>
        <v>0</v>
      </c>
      <c r="J354" s="88"/>
      <c r="K354" s="129">
        <f t="shared" si="197"/>
        <v>998.4384959</v>
      </c>
      <c r="L354" s="130">
        <v>0.6</v>
      </c>
      <c r="M354" s="129">
        <f t="shared" si="198"/>
        <v>665.6256639</v>
      </c>
      <c r="N354" s="130">
        <f t="shared" si="199"/>
        <v>0.4</v>
      </c>
      <c r="O354" s="131">
        <f t="array" ref="O354">INDEX('LPU Regionalizada'!$B$3:$N$785,MATCH($B354,'LPU Regionalizada'!$B$3:$B$785,0),MATCH(INDEX(CTRL!$F$3:$F$29,CTRL!$E$1),'LPU Regionalizada'!$B$3:$N$3,0))</f>
        <v>1664.06416</v>
      </c>
      <c r="P354" s="88"/>
      <c r="Q354" s="132">
        <f t="shared" si="200"/>
        <v>0</v>
      </c>
      <c r="R354" s="132">
        <f t="shared" si="201"/>
        <v>0</v>
      </c>
      <c r="S354" s="132">
        <f t="shared" si="202"/>
        <v>0</v>
      </c>
      <c r="T354" s="133">
        <f t="shared" si="203"/>
        <v>0</v>
      </c>
      <c r="U354" s="134">
        <f t="shared" si="3"/>
        <v>0</v>
      </c>
      <c r="V354" s="135"/>
      <c r="W354" s="136"/>
      <c r="X354" s="2"/>
      <c r="Y354" s="111"/>
      <c r="Z354" s="3"/>
    </row>
    <row r="355" ht="14.25" customHeight="1" outlineLevel="2">
      <c r="A355" s="124"/>
      <c r="B355" s="125" t="s">
        <v>744</v>
      </c>
      <c r="C355" s="126" t="s">
        <v>745</v>
      </c>
      <c r="D355" s="127" t="s">
        <v>167</v>
      </c>
      <c r="E355" s="35"/>
      <c r="F355" s="128">
        <v>0.0</v>
      </c>
      <c r="G355" s="128"/>
      <c r="H355" s="128">
        <v>0.5</v>
      </c>
      <c r="I355" s="127">
        <f t="shared" si="196"/>
        <v>0.5</v>
      </c>
      <c r="J355" s="88"/>
      <c r="K355" s="129">
        <f t="shared" si="197"/>
        <v>1076.168771</v>
      </c>
      <c r="L355" s="130">
        <v>0.6</v>
      </c>
      <c r="M355" s="129">
        <f t="shared" si="198"/>
        <v>717.4458475</v>
      </c>
      <c r="N355" s="130">
        <f t="shared" si="199"/>
        <v>0.4</v>
      </c>
      <c r="O355" s="131">
        <f t="array" ref="O355">INDEX('LPU Regionalizada'!$B$3:$N$785,MATCH($B355,'LPU Regionalizada'!$B$3:$B$785,0),MATCH(INDEX(CTRL!$F$3:$F$29,CTRL!$E$1),'LPU Regionalizada'!$B$3:$N$3,0))</f>
        <v>1793.614619</v>
      </c>
      <c r="P355" s="88"/>
      <c r="Q355" s="132">
        <f t="shared" si="200"/>
        <v>0</v>
      </c>
      <c r="R355" s="132">
        <f t="shared" si="201"/>
        <v>0</v>
      </c>
      <c r="S355" s="132">
        <f t="shared" si="202"/>
        <v>896.8073094</v>
      </c>
      <c r="T355" s="133">
        <f t="shared" si="203"/>
        <v>896.8073094</v>
      </c>
      <c r="U355" s="134">
        <f t="shared" si="3"/>
        <v>896.8073094</v>
      </c>
      <c r="V355" s="135"/>
      <c r="W355" s="136"/>
      <c r="X355" s="2"/>
      <c r="Y355" s="111"/>
      <c r="Z355" s="3"/>
    </row>
    <row r="356" ht="9.75" hidden="1" customHeight="1">
      <c r="A356" s="124"/>
      <c r="B356" s="125"/>
      <c r="C356" s="126" t="s">
        <v>746</v>
      </c>
      <c r="D356" s="127" t="s">
        <v>746</v>
      </c>
      <c r="E356" s="35"/>
      <c r="F356" s="128"/>
      <c r="G356" s="128"/>
      <c r="H356" s="128"/>
      <c r="I356" s="127"/>
      <c r="J356" s="88"/>
      <c r="K356" s="129"/>
      <c r="L356" s="130"/>
      <c r="M356" s="129"/>
      <c r="N356" s="130"/>
      <c r="O356" s="131"/>
      <c r="P356" s="88"/>
      <c r="Q356" s="132"/>
      <c r="R356" s="132"/>
      <c r="S356" s="132"/>
      <c r="T356" s="133"/>
      <c r="U356" s="134"/>
      <c r="V356" s="135"/>
      <c r="W356" s="136"/>
      <c r="X356" s="2"/>
      <c r="Y356" s="111"/>
      <c r="Z356" s="3"/>
    </row>
    <row r="357" ht="14.25" hidden="1" customHeight="1" collapsed="1">
      <c r="A357" s="100"/>
      <c r="B357" s="101" t="s">
        <v>747</v>
      </c>
      <c r="C357" s="102" t="s">
        <v>748</v>
      </c>
      <c r="D357" s="103"/>
      <c r="E357" s="35"/>
      <c r="F357" s="101"/>
      <c r="G357" s="104"/>
      <c r="H357" s="104"/>
      <c r="I357" s="103"/>
      <c r="J357" s="88"/>
      <c r="K357" s="105"/>
      <c r="L357" s="106"/>
      <c r="M357" s="106"/>
      <c r="N357" s="106"/>
      <c r="O357" s="107"/>
      <c r="P357" s="88"/>
      <c r="Q357" s="108"/>
      <c r="R357" s="108"/>
      <c r="S357" s="108"/>
      <c r="T357" s="108">
        <f t="shared" ref="T357:U357" si="204">T358+T366+T367+T388+T400+T409+T419+T437+T457+T491+T511+T536</f>
        <v>0</v>
      </c>
      <c r="U357" s="108">
        <f t="shared" si="204"/>
        <v>0</v>
      </c>
      <c r="V357" s="109"/>
      <c r="W357" s="110"/>
      <c r="X357" s="2"/>
      <c r="Y357" s="111"/>
      <c r="Z357" s="3"/>
    </row>
    <row r="358" ht="14.25" hidden="1" customHeight="1" outlineLevel="1">
      <c r="A358" s="112"/>
      <c r="B358" s="113" t="s">
        <v>749</v>
      </c>
      <c r="C358" s="114" t="s">
        <v>750</v>
      </c>
      <c r="D358" s="115"/>
      <c r="E358" s="35"/>
      <c r="F358" s="113"/>
      <c r="G358" s="116"/>
      <c r="H358" s="116"/>
      <c r="I358" s="115"/>
      <c r="J358" s="88"/>
      <c r="K358" s="117"/>
      <c r="L358" s="118"/>
      <c r="M358" s="118"/>
      <c r="N358" s="118"/>
      <c r="O358" s="119"/>
      <c r="P358" s="88"/>
      <c r="Q358" s="120"/>
      <c r="R358" s="120"/>
      <c r="S358" s="120"/>
      <c r="T358" s="120">
        <f>SUM(T359:T365)</f>
        <v>0</v>
      </c>
      <c r="U358" s="121">
        <f t="shared" ref="U358:U365" si="205">IFERROR(T358*(1-$H$12),"")</f>
        <v>0</v>
      </c>
      <c r="V358" s="122"/>
      <c r="W358" s="123"/>
      <c r="X358" s="2"/>
      <c r="Y358" s="111"/>
      <c r="Z358" s="3"/>
    </row>
    <row r="359" ht="14.25" hidden="1" customHeight="1" outlineLevel="2">
      <c r="A359" s="124"/>
      <c r="B359" s="125" t="s">
        <v>751</v>
      </c>
      <c r="C359" s="126" t="s">
        <v>752</v>
      </c>
      <c r="D359" s="127" t="s">
        <v>142</v>
      </c>
      <c r="E359" s="35"/>
      <c r="F359" s="128"/>
      <c r="G359" s="128"/>
      <c r="H359" s="128"/>
      <c r="I359" s="127">
        <f t="shared" ref="I359:I365" si="206">F359+G359+H359</f>
        <v>0</v>
      </c>
      <c r="J359" s="88"/>
      <c r="K359" s="129">
        <f t="shared" ref="K359:K365" si="207">L359*O359</f>
        <v>1164.77088</v>
      </c>
      <c r="L359" s="130">
        <v>0.6</v>
      </c>
      <c r="M359" s="129">
        <f t="shared" ref="M359:M365" si="208">N359*O359</f>
        <v>776.51392</v>
      </c>
      <c r="N359" s="130">
        <f t="shared" ref="N359:N365" si="209">100%-L359</f>
        <v>0.4</v>
      </c>
      <c r="O359" s="131">
        <f t="array" ref="O359">INDEX('LPU Regionalizada'!$B$3:$N$785,MATCH($B359,'LPU Regionalizada'!$B$3:$B$785,0),MATCH(INDEX(CTRL!$F$3:$F$29,CTRL!$E$1),'LPU Regionalizada'!$B$3:$N$3,0))</f>
        <v>1941.2848</v>
      </c>
      <c r="P359" s="88"/>
      <c r="Q359" s="132">
        <f t="shared" ref="Q359:Q365" si="210">F359*O359</f>
        <v>0</v>
      </c>
      <c r="R359" s="132">
        <f t="shared" ref="R359:R365" si="211">G359*O359</f>
        <v>0</v>
      </c>
      <c r="S359" s="132">
        <f t="shared" ref="S359:S365" si="212">H359*O359</f>
        <v>0</v>
      </c>
      <c r="T359" s="133">
        <f t="shared" ref="T359:T365" si="213">SUM(Q359:S359)</f>
        <v>0</v>
      </c>
      <c r="U359" s="134">
        <f t="shared" si="205"/>
        <v>0</v>
      </c>
      <c r="V359" s="135"/>
      <c r="W359" s="136"/>
      <c r="X359" s="2"/>
      <c r="Y359" s="111"/>
      <c r="Z359" s="3"/>
    </row>
    <row r="360" ht="14.25" hidden="1" customHeight="1" outlineLevel="2">
      <c r="A360" s="124"/>
      <c r="B360" s="125" t="s">
        <v>753</v>
      </c>
      <c r="C360" s="126" t="s">
        <v>754</v>
      </c>
      <c r="D360" s="127" t="s">
        <v>142</v>
      </c>
      <c r="E360" s="35"/>
      <c r="F360" s="128"/>
      <c r="G360" s="128"/>
      <c r="H360" s="128"/>
      <c r="I360" s="127">
        <f t="shared" si="206"/>
        <v>0</v>
      </c>
      <c r="J360" s="88"/>
      <c r="K360" s="129">
        <f t="shared" si="207"/>
        <v>1501.4064</v>
      </c>
      <c r="L360" s="130">
        <v>0.6</v>
      </c>
      <c r="M360" s="129">
        <f t="shared" si="208"/>
        <v>1000.9376</v>
      </c>
      <c r="N360" s="130">
        <f t="shared" si="209"/>
        <v>0.4</v>
      </c>
      <c r="O360" s="131">
        <f t="array" ref="O360">INDEX('LPU Regionalizada'!$B$3:$N$785,MATCH($B360,'LPU Regionalizada'!$B$3:$B$785,0),MATCH(INDEX(CTRL!$F$3:$F$29,CTRL!$E$1),'LPU Regionalizada'!$B$3:$N$3,0))</f>
        <v>2502.344</v>
      </c>
      <c r="P360" s="88"/>
      <c r="Q360" s="132">
        <f t="shared" si="210"/>
        <v>0</v>
      </c>
      <c r="R360" s="132">
        <f t="shared" si="211"/>
        <v>0</v>
      </c>
      <c r="S360" s="132">
        <f t="shared" si="212"/>
        <v>0</v>
      </c>
      <c r="T360" s="133">
        <f t="shared" si="213"/>
        <v>0</v>
      </c>
      <c r="U360" s="134">
        <f t="shared" si="205"/>
        <v>0</v>
      </c>
      <c r="V360" s="135"/>
      <c r="W360" s="136"/>
      <c r="X360" s="2"/>
      <c r="Y360" s="111"/>
      <c r="Z360" s="3"/>
    </row>
    <row r="361" ht="14.25" hidden="1" customHeight="1" outlineLevel="2">
      <c r="A361" s="124"/>
      <c r="B361" s="125" t="s">
        <v>755</v>
      </c>
      <c r="C361" s="126" t="s">
        <v>756</v>
      </c>
      <c r="D361" s="127" t="s">
        <v>142</v>
      </c>
      <c r="E361" s="35"/>
      <c r="F361" s="128"/>
      <c r="G361" s="128"/>
      <c r="H361" s="128"/>
      <c r="I361" s="127">
        <f t="shared" si="206"/>
        <v>0</v>
      </c>
      <c r="J361" s="88"/>
      <c r="K361" s="129">
        <f t="shared" si="207"/>
        <v>2877.3264</v>
      </c>
      <c r="L361" s="130">
        <v>0.6</v>
      </c>
      <c r="M361" s="129">
        <f t="shared" si="208"/>
        <v>1918.2176</v>
      </c>
      <c r="N361" s="130">
        <f t="shared" si="209"/>
        <v>0.4</v>
      </c>
      <c r="O361" s="131">
        <f t="array" ref="O361">INDEX('LPU Regionalizada'!$B$3:$N$785,MATCH($B361,'LPU Regionalizada'!$B$3:$B$785,0),MATCH(INDEX(CTRL!$F$3:$F$29,CTRL!$E$1),'LPU Regionalizada'!$B$3:$N$3,0))</f>
        <v>4795.544</v>
      </c>
      <c r="P361" s="88"/>
      <c r="Q361" s="132">
        <f t="shared" si="210"/>
        <v>0</v>
      </c>
      <c r="R361" s="132">
        <f t="shared" si="211"/>
        <v>0</v>
      </c>
      <c r="S361" s="132">
        <f t="shared" si="212"/>
        <v>0</v>
      </c>
      <c r="T361" s="133">
        <f t="shared" si="213"/>
        <v>0</v>
      </c>
      <c r="U361" s="134">
        <f t="shared" si="205"/>
        <v>0</v>
      </c>
      <c r="V361" s="135"/>
      <c r="W361" s="136"/>
      <c r="X361" s="2"/>
      <c r="Y361" s="111"/>
      <c r="Z361" s="3"/>
    </row>
    <row r="362" ht="14.25" hidden="1" customHeight="1" outlineLevel="2">
      <c r="A362" s="124"/>
      <c r="B362" s="125" t="s">
        <v>757</v>
      </c>
      <c r="C362" s="126" t="s">
        <v>758</v>
      </c>
      <c r="D362" s="127" t="s">
        <v>142</v>
      </c>
      <c r="E362" s="35"/>
      <c r="F362" s="128"/>
      <c r="G362" s="128"/>
      <c r="H362" s="128"/>
      <c r="I362" s="127">
        <f t="shared" si="206"/>
        <v>0</v>
      </c>
      <c r="J362" s="88"/>
      <c r="K362" s="129">
        <f t="shared" si="207"/>
        <v>4338.593376</v>
      </c>
      <c r="L362" s="130">
        <v>0.6</v>
      </c>
      <c r="M362" s="129">
        <f t="shared" si="208"/>
        <v>2892.395584</v>
      </c>
      <c r="N362" s="130">
        <f t="shared" si="209"/>
        <v>0.4</v>
      </c>
      <c r="O362" s="131">
        <f t="array" ref="O362">INDEX('LPU Regionalizada'!$B$3:$N$785,MATCH($B362,'LPU Regionalizada'!$B$3:$B$785,0),MATCH(INDEX(CTRL!$F$3:$F$29,CTRL!$E$1),'LPU Regionalizada'!$B$3:$N$3,0))</f>
        <v>7230.98896</v>
      </c>
      <c r="P362" s="88"/>
      <c r="Q362" s="132">
        <f t="shared" si="210"/>
        <v>0</v>
      </c>
      <c r="R362" s="132">
        <f t="shared" si="211"/>
        <v>0</v>
      </c>
      <c r="S362" s="132">
        <f t="shared" si="212"/>
        <v>0</v>
      </c>
      <c r="T362" s="133">
        <f t="shared" si="213"/>
        <v>0</v>
      </c>
      <c r="U362" s="134">
        <f t="shared" si="205"/>
        <v>0</v>
      </c>
      <c r="V362" s="135"/>
      <c r="W362" s="136"/>
      <c r="X362" s="2"/>
      <c r="Y362" s="111"/>
      <c r="Z362" s="3"/>
    </row>
    <row r="363" ht="14.25" hidden="1" customHeight="1" outlineLevel="2">
      <c r="A363" s="124"/>
      <c r="B363" s="125" t="s">
        <v>759</v>
      </c>
      <c r="C363" s="126" t="s">
        <v>760</v>
      </c>
      <c r="D363" s="127" t="s">
        <v>142</v>
      </c>
      <c r="E363" s="35"/>
      <c r="F363" s="128"/>
      <c r="G363" s="128"/>
      <c r="H363" s="128"/>
      <c r="I363" s="127">
        <f t="shared" si="206"/>
        <v>0</v>
      </c>
      <c r="J363" s="88"/>
      <c r="K363" s="129">
        <f t="shared" si="207"/>
        <v>3249.42384</v>
      </c>
      <c r="L363" s="130">
        <v>0.6</v>
      </c>
      <c r="M363" s="129">
        <f t="shared" si="208"/>
        <v>2166.28256</v>
      </c>
      <c r="N363" s="130">
        <f t="shared" si="209"/>
        <v>0.4</v>
      </c>
      <c r="O363" s="131">
        <f t="array" ref="O363">INDEX('LPU Regionalizada'!$B$3:$N$785,MATCH($B363,'LPU Regionalizada'!$B$3:$B$785,0),MATCH(INDEX(CTRL!$F$3:$F$29,CTRL!$E$1),'LPU Regionalizada'!$B$3:$N$3,0))</f>
        <v>5415.7064</v>
      </c>
      <c r="P363" s="88"/>
      <c r="Q363" s="132">
        <f t="shared" si="210"/>
        <v>0</v>
      </c>
      <c r="R363" s="132">
        <f t="shared" si="211"/>
        <v>0</v>
      </c>
      <c r="S363" s="132">
        <f t="shared" si="212"/>
        <v>0</v>
      </c>
      <c r="T363" s="133">
        <f t="shared" si="213"/>
        <v>0</v>
      </c>
      <c r="U363" s="134">
        <f t="shared" si="205"/>
        <v>0</v>
      </c>
      <c r="V363" s="135"/>
      <c r="W363" s="136"/>
      <c r="X363" s="2"/>
      <c r="Y363" s="111"/>
      <c r="Z363" s="3"/>
    </row>
    <row r="364" ht="14.25" hidden="1" customHeight="1" outlineLevel="2">
      <c r="A364" s="124"/>
      <c r="B364" s="125" t="s">
        <v>761</v>
      </c>
      <c r="C364" s="126" t="s">
        <v>762</v>
      </c>
      <c r="D364" s="127" t="s">
        <v>142</v>
      </c>
      <c r="E364" s="35"/>
      <c r="F364" s="128"/>
      <c r="G364" s="128"/>
      <c r="H364" s="128"/>
      <c r="I364" s="127">
        <f t="shared" si="206"/>
        <v>0</v>
      </c>
      <c r="J364" s="88"/>
      <c r="K364" s="129">
        <f t="shared" si="207"/>
        <v>4506.73392</v>
      </c>
      <c r="L364" s="130">
        <v>0.6</v>
      </c>
      <c r="M364" s="129">
        <f t="shared" si="208"/>
        <v>3004.48928</v>
      </c>
      <c r="N364" s="130">
        <f t="shared" si="209"/>
        <v>0.4</v>
      </c>
      <c r="O364" s="131">
        <f t="array" ref="O364">INDEX('LPU Regionalizada'!$B$3:$N$785,MATCH($B364,'LPU Regionalizada'!$B$3:$B$785,0),MATCH(INDEX(CTRL!$F$3:$F$29,CTRL!$E$1),'LPU Regionalizada'!$B$3:$N$3,0))</f>
        <v>7511.2232</v>
      </c>
      <c r="P364" s="88"/>
      <c r="Q364" s="132">
        <f t="shared" si="210"/>
        <v>0</v>
      </c>
      <c r="R364" s="132">
        <f t="shared" si="211"/>
        <v>0</v>
      </c>
      <c r="S364" s="132">
        <f t="shared" si="212"/>
        <v>0</v>
      </c>
      <c r="T364" s="133">
        <f t="shared" si="213"/>
        <v>0</v>
      </c>
      <c r="U364" s="134">
        <f t="shared" si="205"/>
        <v>0</v>
      </c>
      <c r="V364" s="135"/>
      <c r="W364" s="136"/>
      <c r="X364" s="2"/>
      <c r="Y364" s="111"/>
      <c r="Z364" s="3"/>
    </row>
    <row r="365" ht="14.25" hidden="1" customHeight="1" outlineLevel="2">
      <c r="A365" s="124"/>
      <c r="B365" s="125" t="s">
        <v>763</v>
      </c>
      <c r="C365" s="126" t="s">
        <v>764</v>
      </c>
      <c r="D365" s="127" t="s">
        <v>142</v>
      </c>
      <c r="E365" s="35"/>
      <c r="F365" s="128"/>
      <c r="G365" s="128"/>
      <c r="H365" s="128"/>
      <c r="I365" s="127">
        <f t="shared" si="206"/>
        <v>0</v>
      </c>
      <c r="J365" s="88"/>
      <c r="K365" s="129">
        <f t="shared" si="207"/>
        <v>6124.39152</v>
      </c>
      <c r="L365" s="130">
        <v>0.6</v>
      </c>
      <c r="M365" s="129">
        <f t="shared" si="208"/>
        <v>4082.92768</v>
      </c>
      <c r="N365" s="130">
        <f t="shared" si="209"/>
        <v>0.4</v>
      </c>
      <c r="O365" s="131">
        <f t="array" ref="O365">INDEX('LPU Regionalizada'!$B$3:$N$785,MATCH($B365,'LPU Regionalizada'!$B$3:$B$785,0),MATCH(INDEX(CTRL!$F$3:$F$29,CTRL!$E$1),'LPU Regionalizada'!$B$3:$N$3,0))</f>
        <v>10207.3192</v>
      </c>
      <c r="P365" s="88"/>
      <c r="Q365" s="132">
        <f t="shared" si="210"/>
        <v>0</v>
      </c>
      <c r="R365" s="132">
        <f t="shared" si="211"/>
        <v>0</v>
      </c>
      <c r="S365" s="132">
        <f t="shared" si="212"/>
        <v>0</v>
      </c>
      <c r="T365" s="133">
        <f t="shared" si="213"/>
        <v>0</v>
      </c>
      <c r="U365" s="134">
        <f t="shared" si="205"/>
        <v>0</v>
      </c>
      <c r="V365" s="135"/>
      <c r="W365" s="136"/>
      <c r="X365" s="2"/>
      <c r="Y365" s="111"/>
      <c r="Z365" s="3"/>
    </row>
    <row r="366" ht="14.25" hidden="1" customHeight="1" outlineLevel="1">
      <c r="A366" s="112"/>
      <c r="B366" s="113" t="s">
        <v>765</v>
      </c>
      <c r="C366" s="114" t="s">
        <v>766</v>
      </c>
      <c r="D366" s="115"/>
      <c r="E366" s="35"/>
      <c r="F366" s="113"/>
      <c r="G366" s="116"/>
      <c r="H366" s="116"/>
      <c r="I366" s="115"/>
      <c r="J366" s="88"/>
      <c r="K366" s="117"/>
      <c r="L366" s="118"/>
      <c r="M366" s="118"/>
      <c r="N366" s="118"/>
      <c r="O366" s="119"/>
      <c r="P366" s="88"/>
      <c r="Q366" s="120"/>
      <c r="R366" s="120"/>
      <c r="S366" s="120"/>
      <c r="T366" s="120"/>
      <c r="U366" s="121"/>
      <c r="V366" s="122"/>
      <c r="W366" s="123"/>
      <c r="X366" s="2"/>
      <c r="Y366" s="111"/>
      <c r="Z366" s="3"/>
    </row>
    <row r="367" ht="14.25" hidden="1" customHeight="1" outlineLevel="1">
      <c r="A367" s="112"/>
      <c r="B367" s="113" t="s">
        <v>767</v>
      </c>
      <c r="C367" s="114" t="s">
        <v>768</v>
      </c>
      <c r="D367" s="115"/>
      <c r="E367" s="35"/>
      <c r="F367" s="113"/>
      <c r="G367" s="116"/>
      <c r="H367" s="116"/>
      <c r="I367" s="115"/>
      <c r="J367" s="88"/>
      <c r="K367" s="117"/>
      <c r="L367" s="118"/>
      <c r="M367" s="118"/>
      <c r="N367" s="118"/>
      <c r="O367" s="119"/>
      <c r="P367" s="88"/>
      <c r="Q367" s="120"/>
      <c r="R367" s="120"/>
      <c r="S367" s="120"/>
      <c r="T367" s="120">
        <f>SUM(T368:T387)</f>
        <v>0</v>
      </c>
      <c r="U367" s="121">
        <f t="shared" ref="U367:U559" si="214">IFERROR(T367*(1-$H$12),"")</f>
        <v>0</v>
      </c>
      <c r="V367" s="122"/>
      <c r="W367" s="123"/>
      <c r="X367" s="2"/>
      <c r="Y367" s="111"/>
      <c r="Z367" s="3"/>
    </row>
    <row r="368" ht="14.25" hidden="1" customHeight="1" outlineLevel="2">
      <c r="A368" s="124"/>
      <c r="B368" s="125" t="s">
        <v>769</v>
      </c>
      <c r="C368" s="126" t="s">
        <v>770</v>
      </c>
      <c r="D368" s="127" t="s">
        <v>180</v>
      </c>
      <c r="E368" s="35"/>
      <c r="F368" s="128"/>
      <c r="G368" s="128"/>
      <c r="H368" s="128"/>
      <c r="I368" s="127">
        <f t="shared" ref="I368:I387" si="215">F368+G368+H368</f>
        <v>0</v>
      </c>
      <c r="J368" s="88"/>
      <c r="K368" s="129">
        <f t="shared" ref="K368:K387" si="216">L368*O368</f>
        <v>10.87008</v>
      </c>
      <c r="L368" s="130">
        <v>0.6</v>
      </c>
      <c r="M368" s="129">
        <f t="shared" ref="M368:M387" si="217">N368*O368</f>
        <v>7.24672</v>
      </c>
      <c r="N368" s="130">
        <f t="shared" ref="N368:N387" si="218">100%-L368</f>
        <v>0.4</v>
      </c>
      <c r="O368" s="131">
        <f t="array" ref="O368">INDEX('LPU Regionalizada'!$B$3:$N$785,MATCH($B368,'LPU Regionalizada'!$B$3:$B$785,0),MATCH(INDEX(CTRL!$F$3:$F$29,CTRL!$E$1),'LPU Regionalizada'!$B$3:$N$3,0))</f>
        <v>18.1168</v>
      </c>
      <c r="P368" s="88"/>
      <c r="Q368" s="132">
        <f t="shared" ref="Q368:Q387" si="219">F368*O368</f>
        <v>0</v>
      </c>
      <c r="R368" s="132">
        <f t="shared" ref="R368:R387" si="220">G368*O368</f>
        <v>0</v>
      </c>
      <c r="S368" s="132">
        <f t="shared" ref="S368:S387" si="221">H368*O368</f>
        <v>0</v>
      </c>
      <c r="T368" s="133">
        <f t="shared" ref="T368:T387" si="222">SUM(Q368:S368)</f>
        <v>0</v>
      </c>
      <c r="U368" s="134">
        <f t="shared" si="214"/>
        <v>0</v>
      </c>
      <c r="V368" s="135"/>
      <c r="W368" s="136"/>
      <c r="X368" s="2"/>
      <c r="Y368" s="111"/>
      <c r="Z368" s="3"/>
    </row>
    <row r="369" ht="14.25" hidden="1" customHeight="1" outlineLevel="2">
      <c r="A369" s="124"/>
      <c r="B369" s="125" t="s">
        <v>771</v>
      </c>
      <c r="C369" s="126" t="s">
        <v>772</v>
      </c>
      <c r="D369" s="127" t="s">
        <v>180</v>
      </c>
      <c r="E369" s="35"/>
      <c r="F369" s="128"/>
      <c r="G369" s="128"/>
      <c r="H369" s="128"/>
      <c r="I369" s="127">
        <f t="shared" si="215"/>
        <v>0</v>
      </c>
      <c r="J369" s="88"/>
      <c r="K369" s="129">
        <f t="shared" si="216"/>
        <v>11.88282984</v>
      </c>
      <c r="L369" s="130">
        <v>0.6</v>
      </c>
      <c r="M369" s="129">
        <f t="shared" si="217"/>
        <v>7.921886559</v>
      </c>
      <c r="N369" s="130">
        <f t="shared" si="218"/>
        <v>0.4</v>
      </c>
      <c r="O369" s="131">
        <f t="array" ref="O369">INDEX('LPU Regionalizada'!$B$3:$N$785,MATCH($B369,'LPU Regionalizada'!$B$3:$B$785,0),MATCH(INDEX(CTRL!$F$3:$F$29,CTRL!$E$1),'LPU Regionalizada'!$B$3:$N$3,0))</f>
        <v>19.8047164</v>
      </c>
      <c r="P369" s="88"/>
      <c r="Q369" s="132">
        <f t="shared" si="219"/>
        <v>0</v>
      </c>
      <c r="R369" s="132">
        <f t="shared" si="220"/>
        <v>0</v>
      </c>
      <c r="S369" s="132">
        <f t="shared" si="221"/>
        <v>0</v>
      </c>
      <c r="T369" s="133">
        <f t="shared" si="222"/>
        <v>0</v>
      </c>
      <c r="U369" s="134">
        <f t="shared" si="214"/>
        <v>0</v>
      </c>
      <c r="V369" s="135"/>
      <c r="W369" s="136"/>
      <c r="X369" s="2"/>
      <c r="Y369" s="111"/>
      <c r="Z369" s="3"/>
    </row>
    <row r="370" ht="14.25" hidden="1" customHeight="1" outlineLevel="2">
      <c r="A370" s="124"/>
      <c r="B370" s="125" t="s">
        <v>773</v>
      </c>
      <c r="C370" s="126" t="s">
        <v>774</v>
      </c>
      <c r="D370" s="127" t="s">
        <v>180</v>
      </c>
      <c r="E370" s="35"/>
      <c r="F370" s="128"/>
      <c r="G370" s="128"/>
      <c r="H370" s="128"/>
      <c r="I370" s="127">
        <f t="shared" si="215"/>
        <v>0</v>
      </c>
      <c r="J370" s="88"/>
      <c r="K370" s="129">
        <f t="shared" si="216"/>
        <v>16.1928</v>
      </c>
      <c r="L370" s="130">
        <v>0.6</v>
      </c>
      <c r="M370" s="129">
        <f t="shared" si="217"/>
        <v>10.7952</v>
      </c>
      <c r="N370" s="130">
        <f t="shared" si="218"/>
        <v>0.4</v>
      </c>
      <c r="O370" s="131">
        <f t="array" ref="O370">INDEX('LPU Regionalizada'!$B$3:$N$785,MATCH($B370,'LPU Regionalizada'!$B$3:$B$785,0),MATCH(INDEX(CTRL!$F$3:$F$29,CTRL!$E$1),'LPU Regionalizada'!$B$3:$N$3,0))</f>
        <v>26.988</v>
      </c>
      <c r="P370" s="88"/>
      <c r="Q370" s="132">
        <f t="shared" si="219"/>
        <v>0</v>
      </c>
      <c r="R370" s="132">
        <f t="shared" si="220"/>
        <v>0</v>
      </c>
      <c r="S370" s="132">
        <f t="shared" si="221"/>
        <v>0</v>
      </c>
      <c r="T370" s="133">
        <f t="shared" si="222"/>
        <v>0</v>
      </c>
      <c r="U370" s="134">
        <f t="shared" si="214"/>
        <v>0</v>
      </c>
      <c r="V370" s="135"/>
      <c r="W370" s="136"/>
      <c r="X370" s="2"/>
      <c r="Y370" s="111"/>
      <c r="Z370" s="3"/>
    </row>
    <row r="371" ht="14.25" hidden="1" customHeight="1" outlineLevel="2">
      <c r="A371" s="124"/>
      <c r="B371" s="125" t="s">
        <v>775</v>
      </c>
      <c r="C371" s="126" t="s">
        <v>776</v>
      </c>
      <c r="D371" s="127" t="s">
        <v>180</v>
      </c>
      <c r="E371" s="35"/>
      <c r="F371" s="128"/>
      <c r="G371" s="128"/>
      <c r="H371" s="128"/>
      <c r="I371" s="127">
        <f t="shared" si="215"/>
        <v>0</v>
      </c>
      <c r="J371" s="88"/>
      <c r="K371" s="129">
        <f t="shared" si="216"/>
        <v>14.26464</v>
      </c>
      <c r="L371" s="130">
        <v>0.6</v>
      </c>
      <c r="M371" s="129">
        <f t="shared" si="217"/>
        <v>9.50976</v>
      </c>
      <c r="N371" s="130">
        <f t="shared" si="218"/>
        <v>0.4</v>
      </c>
      <c r="O371" s="131">
        <f t="array" ref="O371">INDEX('LPU Regionalizada'!$B$3:$N$785,MATCH($B371,'LPU Regionalizada'!$B$3:$B$785,0),MATCH(INDEX(CTRL!$F$3:$F$29,CTRL!$E$1),'LPU Regionalizada'!$B$3:$N$3,0))</f>
        <v>23.7744</v>
      </c>
      <c r="P371" s="88"/>
      <c r="Q371" s="132">
        <f t="shared" si="219"/>
        <v>0</v>
      </c>
      <c r="R371" s="132">
        <f t="shared" si="220"/>
        <v>0</v>
      </c>
      <c r="S371" s="132">
        <f t="shared" si="221"/>
        <v>0</v>
      </c>
      <c r="T371" s="133">
        <f t="shared" si="222"/>
        <v>0</v>
      </c>
      <c r="U371" s="134">
        <f t="shared" si="214"/>
        <v>0</v>
      </c>
      <c r="V371" s="135"/>
      <c r="W371" s="136"/>
      <c r="X371" s="2"/>
      <c r="Y371" s="111"/>
      <c r="Z371" s="3"/>
    </row>
    <row r="372" ht="14.25" hidden="1" customHeight="1" outlineLevel="2">
      <c r="A372" s="124"/>
      <c r="B372" s="125" t="s">
        <v>777</v>
      </c>
      <c r="C372" s="126" t="s">
        <v>778</v>
      </c>
      <c r="D372" s="127" t="s">
        <v>180</v>
      </c>
      <c r="E372" s="35"/>
      <c r="F372" s="128"/>
      <c r="G372" s="128"/>
      <c r="H372" s="128"/>
      <c r="I372" s="127">
        <f t="shared" si="215"/>
        <v>0</v>
      </c>
      <c r="J372" s="88"/>
      <c r="K372" s="129">
        <f t="shared" si="216"/>
        <v>15.73728</v>
      </c>
      <c r="L372" s="130">
        <v>0.6</v>
      </c>
      <c r="M372" s="129">
        <f t="shared" si="217"/>
        <v>10.49152</v>
      </c>
      <c r="N372" s="130">
        <f t="shared" si="218"/>
        <v>0.4</v>
      </c>
      <c r="O372" s="131">
        <f t="array" ref="O372">INDEX('LPU Regionalizada'!$B$3:$N$785,MATCH($B372,'LPU Regionalizada'!$B$3:$B$785,0),MATCH(INDEX(CTRL!$F$3:$F$29,CTRL!$E$1),'LPU Regionalizada'!$B$3:$N$3,0))</f>
        <v>26.2288</v>
      </c>
      <c r="P372" s="88"/>
      <c r="Q372" s="132">
        <f t="shared" si="219"/>
        <v>0</v>
      </c>
      <c r="R372" s="132">
        <f t="shared" si="220"/>
        <v>0</v>
      </c>
      <c r="S372" s="132">
        <f t="shared" si="221"/>
        <v>0</v>
      </c>
      <c r="T372" s="133">
        <f t="shared" si="222"/>
        <v>0</v>
      </c>
      <c r="U372" s="134">
        <f t="shared" si="214"/>
        <v>0</v>
      </c>
      <c r="V372" s="135"/>
      <c r="W372" s="136"/>
      <c r="X372" s="2"/>
      <c r="Y372" s="111"/>
      <c r="Z372" s="3"/>
    </row>
    <row r="373" ht="14.25" hidden="1" customHeight="1" outlineLevel="2">
      <c r="A373" s="124"/>
      <c r="B373" s="125" t="s">
        <v>779</v>
      </c>
      <c r="C373" s="126" t="s">
        <v>780</v>
      </c>
      <c r="D373" s="127" t="s">
        <v>180</v>
      </c>
      <c r="E373" s="35"/>
      <c r="F373" s="128"/>
      <c r="G373" s="128"/>
      <c r="H373" s="128"/>
      <c r="I373" s="127">
        <f t="shared" si="215"/>
        <v>0</v>
      </c>
      <c r="J373" s="88"/>
      <c r="K373" s="129">
        <f t="shared" si="216"/>
        <v>15.37536</v>
      </c>
      <c r="L373" s="130">
        <v>0.6</v>
      </c>
      <c r="M373" s="129">
        <f t="shared" si="217"/>
        <v>10.25024</v>
      </c>
      <c r="N373" s="130">
        <f t="shared" si="218"/>
        <v>0.4</v>
      </c>
      <c r="O373" s="131">
        <f t="array" ref="O373">INDEX('LPU Regionalizada'!$B$3:$N$785,MATCH($B373,'LPU Regionalizada'!$B$3:$B$785,0),MATCH(INDEX(CTRL!$F$3:$F$29,CTRL!$E$1),'LPU Regionalizada'!$B$3:$N$3,0))</f>
        <v>25.6256</v>
      </c>
      <c r="P373" s="88"/>
      <c r="Q373" s="132">
        <f t="shared" si="219"/>
        <v>0</v>
      </c>
      <c r="R373" s="132">
        <f t="shared" si="220"/>
        <v>0</v>
      </c>
      <c r="S373" s="132">
        <f t="shared" si="221"/>
        <v>0</v>
      </c>
      <c r="T373" s="133">
        <f t="shared" si="222"/>
        <v>0</v>
      </c>
      <c r="U373" s="134">
        <f t="shared" si="214"/>
        <v>0</v>
      </c>
      <c r="V373" s="135"/>
      <c r="W373" s="136"/>
      <c r="X373" s="2"/>
      <c r="Y373" s="111"/>
      <c r="Z373" s="3"/>
    </row>
    <row r="374" ht="14.25" hidden="1" customHeight="1" outlineLevel="2">
      <c r="A374" s="124"/>
      <c r="B374" s="125" t="s">
        <v>781</v>
      </c>
      <c r="C374" s="126" t="s">
        <v>782</v>
      </c>
      <c r="D374" s="127" t="s">
        <v>180</v>
      </c>
      <c r="E374" s="35"/>
      <c r="F374" s="128"/>
      <c r="G374" s="128"/>
      <c r="H374" s="128"/>
      <c r="I374" s="127">
        <f t="shared" si="215"/>
        <v>0</v>
      </c>
      <c r="J374" s="88"/>
      <c r="K374" s="129">
        <f t="shared" si="216"/>
        <v>24.70154943</v>
      </c>
      <c r="L374" s="130">
        <v>0.6</v>
      </c>
      <c r="M374" s="129">
        <f t="shared" si="217"/>
        <v>16.46769962</v>
      </c>
      <c r="N374" s="130">
        <f t="shared" si="218"/>
        <v>0.4</v>
      </c>
      <c r="O374" s="131">
        <f t="array" ref="O374">INDEX('LPU Regionalizada'!$B$3:$N$785,MATCH($B374,'LPU Regionalizada'!$B$3:$B$785,0),MATCH(INDEX(CTRL!$F$3:$F$29,CTRL!$E$1),'LPU Regionalizada'!$B$3:$N$3,0))</f>
        <v>41.16924906</v>
      </c>
      <c r="P374" s="88"/>
      <c r="Q374" s="132">
        <f t="shared" si="219"/>
        <v>0</v>
      </c>
      <c r="R374" s="132">
        <f t="shared" si="220"/>
        <v>0</v>
      </c>
      <c r="S374" s="132">
        <f t="shared" si="221"/>
        <v>0</v>
      </c>
      <c r="T374" s="133">
        <f t="shared" si="222"/>
        <v>0</v>
      </c>
      <c r="U374" s="134">
        <f t="shared" si="214"/>
        <v>0</v>
      </c>
      <c r="V374" s="135"/>
      <c r="W374" s="136"/>
      <c r="X374" s="2"/>
      <c r="Y374" s="111"/>
      <c r="Z374" s="3"/>
    </row>
    <row r="375" ht="14.25" hidden="1" customHeight="1" outlineLevel="2">
      <c r="A375" s="124"/>
      <c r="B375" s="125" t="s">
        <v>783</v>
      </c>
      <c r="C375" s="126" t="s">
        <v>784</v>
      </c>
      <c r="D375" s="127" t="s">
        <v>180</v>
      </c>
      <c r="E375" s="35"/>
      <c r="F375" s="128"/>
      <c r="G375" s="128"/>
      <c r="H375" s="128"/>
      <c r="I375" s="127">
        <f t="shared" si="215"/>
        <v>0</v>
      </c>
      <c r="J375" s="88"/>
      <c r="K375" s="129">
        <f t="shared" si="216"/>
        <v>36.33926799</v>
      </c>
      <c r="L375" s="130">
        <v>0.6</v>
      </c>
      <c r="M375" s="129">
        <f t="shared" si="217"/>
        <v>24.22617866</v>
      </c>
      <c r="N375" s="130">
        <f t="shared" si="218"/>
        <v>0.4</v>
      </c>
      <c r="O375" s="131">
        <f t="array" ref="O375">INDEX('LPU Regionalizada'!$B$3:$N$785,MATCH($B375,'LPU Regionalizada'!$B$3:$B$785,0),MATCH(INDEX(CTRL!$F$3:$F$29,CTRL!$E$1),'LPU Regionalizada'!$B$3:$N$3,0))</f>
        <v>60.56544666</v>
      </c>
      <c r="P375" s="88"/>
      <c r="Q375" s="132">
        <f t="shared" si="219"/>
        <v>0</v>
      </c>
      <c r="R375" s="132">
        <f t="shared" si="220"/>
        <v>0</v>
      </c>
      <c r="S375" s="132">
        <f t="shared" si="221"/>
        <v>0</v>
      </c>
      <c r="T375" s="133">
        <f t="shared" si="222"/>
        <v>0</v>
      </c>
      <c r="U375" s="134">
        <f t="shared" si="214"/>
        <v>0</v>
      </c>
      <c r="V375" s="135"/>
      <c r="W375" s="136"/>
      <c r="X375" s="2"/>
      <c r="Y375" s="111"/>
      <c r="Z375" s="3"/>
    </row>
    <row r="376" ht="14.25" hidden="1" customHeight="1" outlineLevel="2">
      <c r="A376" s="124"/>
      <c r="B376" s="125" t="s">
        <v>785</v>
      </c>
      <c r="C376" s="126" t="s">
        <v>786</v>
      </c>
      <c r="D376" s="127" t="s">
        <v>180</v>
      </c>
      <c r="E376" s="35"/>
      <c r="F376" s="128"/>
      <c r="G376" s="128"/>
      <c r="H376" s="128"/>
      <c r="I376" s="127">
        <f t="shared" si="215"/>
        <v>0</v>
      </c>
      <c r="J376" s="88"/>
      <c r="K376" s="129">
        <f t="shared" si="216"/>
        <v>46.36267027</v>
      </c>
      <c r="L376" s="130">
        <v>0.6</v>
      </c>
      <c r="M376" s="129">
        <f t="shared" si="217"/>
        <v>30.90844685</v>
      </c>
      <c r="N376" s="130">
        <f t="shared" si="218"/>
        <v>0.4</v>
      </c>
      <c r="O376" s="131">
        <f t="array" ref="O376">INDEX('LPU Regionalizada'!$B$3:$N$785,MATCH($B376,'LPU Regionalizada'!$B$3:$B$785,0),MATCH(INDEX(CTRL!$F$3:$F$29,CTRL!$E$1),'LPU Regionalizada'!$B$3:$N$3,0))</f>
        <v>77.27111712</v>
      </c>
      <c r="P376" s="88"/>
      <c r="Q376" s="132">
        <f t="shared" si="219"/>
        <v>0</v>
      </c>
      <c r="R376" s="132">
        <f t="shared" si="220"/>
        <v>0</v>
      </c>
      <c r="S376" s="132">
        <f t="shared" si="221"/>
        <v>0</v>
      </c>
      <c r="T376" s="133">
        <f t="shared" si="222"/>
        <v>0</v>
      </c>
      <c r="U376" s="134">
        <f t="shared" si="214"/>
        <v>0</v>
      </c>
      <c r="V376" s="135"/>
      <c r="W376" s="136"/>
      <c r="X376" s="2"/>
      <c r="Y376" s="111"/>
      <c r="Z376" s="3"/>
    </row>
    <row r="377" ht="14.25" hidden="1" customHeight="1" outlineLevel="2">
      <c r="A377" s="124"/>
      <c r="B377" s="125" t="s">
        <v>787</v>
      </c>
      <c r="C377" s="126" t="s">
        <v>788</v>
      </c>
      <c r="D377" s="127" t="s">
        <v>180</v>
      </c>
      <c r="E377" s="35"/>
      <c r="F377" s="128"/>
      <c r="G377" s="128"/>
      <c r="H377" s="128"/>
      <c r="I377" s="127">
        <f t="shared" si="215"/>
        <v>0</v>
      </c>
      <c r="J377" s="88"/>
      <c r="K377" s="129">
        <f t="shared" si="216"/>
        <v>2.0592</v>
      </c>
      <c r="L377" s="130">
        <v>0.6</v>
      </c>
      <c r="M377" s="129">
        <f t="shared" si="217"/>
        <v>1.3728</v>
      </c>
      <c r="N377" s="130">
        <f t="shared" si="218"/>
        <v>0.4</v>
      </c>
      <c r="O377" s="131">
        <f t="array" ref="O377">INDEX('LPU Regionalizada'!$B$3:$N$785,MATCH($B377,'LPU Regionalizada'!$B$3:$B$785,0),MATCH(INDEX(CTRL!$F$3:$F$29,CTRL!$E$1),'LPU Regionalizada'!$B$3:$N$3,0))</f>
        <v>3.432</v>
      </c>
      <c r="P377" s="88"/>
      <c r="Q377" s="132">
        <f t="shared" si="219"/>
        <v>0</v>
      </c>
      <c r="R377" s="132">
        <f t="shared" si="220"/>
        <v>0</v>
      </c>
      <c r="S377" s="132">
        <f t="shared" si="221"/>
        <v>0</v>
      </c>
      <c r="T377" s="133">
        <f t="shared" si="222"/>
        <v>0</v>
      </c>
      <c r="U377" s="134">
        <f t="shared" si="214"/>
        <v>0</v>
      </c>
      <c r="V377" s="135"/>
      <c r="W377" s="136"/>
      <c r="X377" s="2"/>
      <c r="Y377" s="111"/>
      <c r="Z377" s="3"/>
    </row>
    <row r="378" ht="14.25" hidden="1" customHeight="1" outlineLevel="2">
      <c r="A378" s="124"/>
      <c r="B378" s="125" t="s">
        <v>789</v>
      </c>
      <c r="C378" s="126" t="s">
        <v>790</v>
      </c>
      <c r="D378" s="127" t="s">
        <v>180</v>
      </c>
      <c r="E378" s="35"/>
      <c r="F378" s="128"/>
      <c r="G378" s="128"/>
      <c r="H378" s="128"/>
      <c r="I378" s="127">
        <f t="shared" si="215"/>
        <v>0</v>
      </c>
      <c r="J378" s="88"/>
      <c r="K378" s="129">
        <f t="shared" si="216"/>
        <v>5.60656</v>
      </c>
      <c r="L378" s="130">
        <v>0.6</v>
      </c>
      <c r="M378" s="129">
        <f t="shared" si="217"/>
        <v>3.737706667</v>
      </c>
      <c r="N378" s="130">
        <f t="shared" si="218"/>
        <v>0.4</v>
      </c>
      <c r="O378" s="131">
        <f t="array" ref="O378">INDEX('LPU Regionalizada'!$B$3:$N$785,MATCH($B378,'LPU Regionalizada'!$B$3:$B$785,0),MATCH(INDEX(CTRL!$F$3:$F$29,CTRL!$E$1),'LPU Regionalizada'!$B$3:$N$3,0))</f>
        <v>9.344266667</v>
      </c>
      <c r="P378" s="88"/>
      <c r="Q378" s="132">
        <f t="shared" si="219"/>
        <v>0</v>
      </c>
      <c r="R378" s="132">
        <f t="shared" si="220"/>
        <v>0</v>
      </c>
      <c r="S378" s="132">
        <f t="shared" si="221"/>
        <v>0</v>
      </c>
      <c r="T378" s="133">
        <f t="shared" si="222"/>
        <v>0</v>
      </c>
      <c r="U378" s="134">
        <f t="shared" si="214"/>
        <v>0</v>
      </c>
      <c r="V378" s="135"/>
      <c r="W378" s="136"/>
      <c r="X378" s="2"/>
      <c r="Y378" s="111"/>
      <c r="Z378" s="3"/>
    </row>
    <row r="379" ht="14.25" hidden="1" customHeight="1" outlineLevel="2">
      <c r="A379" s="124"/>
      <c r="B379" s="125" t="s">
        <v>791</v>
      </c>
      <c r="C379" s="126" t="s">
        <v>792</v>
      </c>
      <c r="D379" s="127" t="s">
        <v>180</v>
      </c>
      <c r="E379" s="35"/>
      <c r="F379" s="128"/>
      <c r="G379" s="128"/>
      <c r="H379" s="128"/>
      <c r="I379" s="127">
        <f t="shared" si="215"/>
        <v>0</v>
      </c>
      <c r="J379" s="88"/>
      <c r="K379" s="129">
        <f t="shared" si="216"/>
        <v>6.24</v>
      </c>
      <c r="L379" s="130">
        <v>0.6</v>
      </c>
      <c r="M379" s="129">
        <f t="shared" si="217"/>
        <v>4.16</v>
      </c>
      <c r="N379" s="130">
        <f t="shared" si="218"/>
        <v>0.4</v>
      </c>
      <c r="O379" s="131">
        <f t="array" ref="O379">INDEX('LPU Regionalizada'!$B$3:$N$785,MATCH($B379,'LPU Regionalizada'!$B$3:$B$785,0),MATCH(INDEX(CTRL!$F$3:$F$29,CTRL!$E$1),'LPU Regionalizada'!$B$3:$N$3,0))</f>
        <v>10.4</v>
      </c>
      <c r="P379" s="88"/>
      <c r="Q379" s="132">
        <f t="shared" si="219"/>
        <v>0</v>
      </c>
      <c r="R379" s="132">
        <f t="shared" si="220"/>
        <v>0</v>
      </c>
      <c r="S379" s="132">
        <f t="shared" si="221"/>
        <v>0</v>
      </c>
      <c r="T379" s="133">
        <f t="shared" si="222"/>
        <v>0</v>
      </c>
      <c r="U379" s="134">
        <f t="shared" si="214"/>
        <v>0</v>
      </c>
      <c r="V379" s="135"/>
      <c r="W379" s="136"/>
      <c r="X379" s="2"/>
      <c r="Y379" s="111"/>
      <c r="Z379" s="3"/>
    </row>
    <row r="380" ht="14.25" hidden="1" customHeight="1" outlineLevel="2">
      <c r="A380" s="124"/>
      <c r="B380" s="125" t="s">
        <v>793</v>
      </c>
      <c r="C380" s="126" t="s">
        <v>794</v>
      </c>
      <c r="D380" s="127" t="s">
        <v>180</v>
      </c>
      <c r="E380" s="35"/>
      <c r="F380" s="128"/>
      <c r="G380" s="128"/>
      <c r="H380" s="128"/>
      <c r="I380" s="127">
        <f t="shared" si="215"/>
        <v>0</v>
      </c>
      <c r="J380" s="88"/>
      <c r="K380" s="129">
        <f t="shared" si="216"/>
        <v>9.620645296</v>
      </c>
      <c r="L380" s="130">
        <v>0.6</v>
      </c>
      <c r="M380" s="129">
        <f t="shared" si="217"/>
        <v>6.41376353</v>
      </c>
      <c r="N380" s="130">
        <f t="shared" si="218"/>
        <v>0.4</v>
      </c>
      <c r="O380" s="131">
        <f t="array" ref="O380">INDEX('LPU Regionalizada'!$B$3:$N$785,MATCH($B380,'LPU Regionalizada'!$B$3:$B$785,0),MATCH(INDEX(CTRL!$F$3:$F$29,CTRL!$E$1),'LPU Regionalizada'!$B$3:$N$3,0))</f>
        <v>16.03440883</v>
      </c>
      <c r="P380" s="88"/>
      <c r="Q380" s="132">
        <f t="shared" si="219"/>
        <v>0</v>
      </c>
      <c r="R380" s="132">
        <f t="shared" si="220"/>
        <v>0</v>
      </c>
      <c r="S380" s="132">
        <f t="shared" si="221"/>
        <v>0</v>
      </c>
      <c r="T380" s="133">
        <f t="shared" si="222"/>
        <v>0</v>
      </c>
      <c r="U380" s="134">
        <f t="shared" si="214"/>
        <v>0</v>
      </c>
      <c r="V380" s="135"/>
      <c r="W380" s="136"/>
      <c r="X380" s="2"/>
      <c r="Y380" s="111"/>
      <c r="Z380" s="3"/>
    </row>
    <row r="381" ht="14.25" hidden="1" customHeight="1" outlineLevel="2">
      <c r="A381" s="124"/>
      <c r="B381" s="125" t="s">
        <v>795</v>
      </c>
      <c r="C381" s="126" t="s">
        <v>796</v>
      </c>
      <c r="D381" s="127" t="s">
        <v>180</v>
      </c>
      <c r="E381" s="35"/>
      <c r="F381" s="128"/>
      <c r="G381" s="128"/>
      <c r="H381" s="128"/>
      <c r="I381" s="127">
        <f t="shared" si="215"/>
        <v>0</v>
      </c>
      <c r="J381" s="88"/>
      <c r="K381" s="129">
        <f t="shared" si="216"/>
        <v>8.031992966</v>
      </c>
      <c r="L381" s="130">
        <v>0.6</v>
      </c>
      <c r="M381" s="129">
        <f t="shared" si="217"/>
        <v>5.354661978</v>
      </c>
      <c r="N381" s="130">
        <f t="shared" si="218"/>
        <v>0.4</v>
      </c>
      <c r="O381" s="131">
        <f t="array" ref="O381">INDEX('LPU Regionalizada'!$B$3:$N$785,MATCH($B381,'LPU Regionalizada'!$B$3:$B$785,0),MATCH(INDEX(CTRL!$F$3:$F$29,CTRL!$E$1),'LPU Regionalizada'!$B$3:$N$3,0))</f>
        <v>13.38665494</v>
      </c>
      <c r="P381" s="88"/>
      <c r="Q381" s="132">
        <f t="shared" si="219"/>
        <v>0</v>
      </c>
      <c r="R381" s="132">
        <f t="shared" si="220"/>
        <v>0</v>
      </c>
      <c r="S381" s="132">
        <f t="shared" si="221"/>
        <v>0</v>
      </c>
      <c r="T381" s="133">
        <f t="shared" si="222"/>
        <v>0</v>
      </c>
      <c r="U381" s="134">
        <f t="shared" si="214"/>
        <v>0</v>
      </c>
      <c r="V381" s="135"/>
      <c r="W381" s="136"/>
      <c r="X381" s="2"/>
      <c r="Y381" s="111"/>
      <c r="Z381" s="3"/>
    </row>
    <row r="382" ht="14.25" hidden="1" customHeight="1" outlineLevel="2">
      <c r="A382" s="124"/>
      <c r="B382" s="125" t="s">
        <v>797</v>
      </c>
      <c r="C382" s="126" t="s">
        <v>798</v>
      </c>
      <c r="D382" s="127" t="s">
        <v>180</v>
      </c>
      <c r="E382" s="35"/>
      <c r="F382" s="128"/>
      <c r="G382" s="128"/>
      <c r="H382" s="128"/>
      <c r="I382" s="127">
        <f t="shared" si="215"/>
        <v>0</v>
      </c>
      <c r="J382" s="88"/>
      <c r="K382" s="129">
        <f t="shared" si="216"/>
        <v>10.18368</v>
      </c>
      <c r="L382" s="130">
        <v>0.6</v>
      </c>
      <c r="M382" s="129">
        <f t="shared" si="217"/>
        <v>6.78912</v>
      </c>
      <c r="N382" s="130">
        <f t="shared" si="218"/>
        <v>0.4</v>
      </c>
      <c r="O382" s="131">
        <f t="array" ref="O382">INDEX('LPU Regionalizada'!$B$3:$N$785,MATCH($B382,'LPU Regionalizada'!$B$3:$B$785,0),MATCH(INDEX(CTRL!$F$3:$F$29,CTRL!$E$1),'LPU Regionalizada'!$B$3:$N$3,0))</f>
        <v>16.9728</v>
      </c>
      <c r="P382" s="88"/>
      <c r="Q382" s="132">
        <f t="shared" si="219"/>
        <v>0</v>
      </c>
      <c r="R382" s="132">
        <f t="shared" si="220"/>
        <v>0</v>
      </c>
      <c r="S382" s="132">
        <f t="shared" si="221"/>
        <v>0</v>
      </c>
      <c r="T382" s="133">
        <f t="shared" si="222"/>
        <v>0</v>
      </c>
      <c r="U382" s="134">
        <f t="shared" si="214"/>
        <v>0</v>
      </c>
      <c r="V382" s="135"/>
      <c r="W382" s="136"/>
      <c r="X382" s="2"/>
      <c r="Y382" s="111"/>
      <c r="Z382" s="3"/>
    </row>
    <row r="383" ht="14.25" hidden="1" customHeight="1" outlineLevel="2">
      <c r="A383" s="124"/>
      <c r="B383" s="125" t="s">
        <v>799</v>
      </c>
      <c r="C383" s="126" t="s">
        <v>800</v>
      </c>
      <c r="D383" s="127" t="s">
        <v>180</v>
      </c>
      <c r="E383" s="35"/>
      <c r="F383" s="128"/>
      <c r="G383" s="128"/>
      <c r="H383" s="128"/>
      <c r="I383" s="127">
        <f t="shared" si="215"/>
        <v>0</v>
      </c>
      <c r="J383" s="88"/>
      <c r="K383" s="129">
        <f t="shared" si="216"/>
        <v>18.50784</v>
      </c>
      <c r="L383" s="130">
        <v>0.6</v>
      </c>
      <c r="M383" s="129">
        <f t="shared" si="217"/>
        <v>12.33856</v>
      </c>
      <c r="N383" s="130">
        <f t="shared" si="218"/>
        <v>0.4</v>
      </c>
      <c r="O383" s="131">
        <f t="array" ref="O383">INDEX('LPU Regionalizada'!$B$3:$N$785,MATCH($B383,'LPU Regionalizada'!$B$3:$B$785,0),MATCH(INDEX(CTRL!$F$3:$F$29,CTRL!$E$1),'LPU Regionalizada'!$B$3:$N$3,0))</f>
        <v>30.8464</v>
      </c>
      <c r="P383" s="88"/>
      <c r="Q383" s="132">
        <f t="shared" si="219"/>
        <v>0</v>
      </c>
      <c r="R383" s="132">
        <f t="shared" si="220"/>
        <v>0</v>
      </c>
      <c r="S383" s="132">
        <f t="shared" si="221"/>
        <v>0</v>
      </c>
      <c r="T383" s="133">
        <f t="shared" si="222"/>
        <v>0</v>
      </c>
      <c r="U383" s="134">
        <f t="shared" si="214"/>
        <v>0</v>
      </c>
      <c r="V383" s="135"/>
      <c r="W383" s="136"/>
      <c r="X383" s="2"/>
      <c r="Y383" s="111"/>
      <c r="Z383" s="3"/>
    </row>
    <row r="384" ht="14.25" hidden="1" customHeight="1" outlineLevel="2">
      <c r="A384" s="124"/>
      <c r="B384" s="125" t="s">
        <v>801</v>
      </c>
      <c r="C384" s="126" t="s">
        <v>802</v>
      </c>
      <c r="D384" s="127" t="s">
        <v>180</v>
      </c>
      <c r="E384" s="35"/>
      <c r="F384" s="128"/>
      <c r="G384" s="128"/>
      <c r="H384" s="128"/>
      <c r="I384" s="127">
        <f t="shared" si="215"/>
        <v>0</v>
      </c>
      <c r="J384" s="88"/>
      <c r="K384" s="129">
        <f t="shared" si="216"/>
        <v>20.46148556</v>
      </c>
      <c r="L384" s="130">
        <v>0.6</v>
      </c>
      <c r="M384" s="129">
        <f t="shared" si="217"/>
        <v>13.64099037</v>
      </c>
      <c r="N384" s="130">
        <f t="shared" si="218"/>
        <v>0.4</v>
      </c>
      <c r="O384" s="131">
        <f t="array" ref="O384">INDEX('LPU Regionalizada'!$B$3:$N$785,MATCH($B384,'LPU Regionalizada'!$B$3:$B$785,0),MATCH(INDEX(CTRL!$F$3:$F$29,CTRL!$E$1),'LPU Regionalizada'!$B$3:$N$3,0))</f>
        <v>34.10247593</v>
      </c>
      <c r="P384" s="88"/>
      <c r="Q384" s="132">
        <f t="shared" si="219"/>
        <v>0</v>
      </c>
      <c r="R384" s="132">
        <f t="shared" si="220"/>
        <v>0</v>
      </c>
      <c r="S384" s="132">
        <f t="shared" si="221"/>
        <v>0</v>
      </c>
      <c r="T384" s="133">
        <f t="shared" si="222"/>
        <v>0</v>
      </c>
      <c r="U384" s="134">
        <f t="shared" si="214"/>
        <v>0</v>
      </c>
      <c r="V384" s="135"/>
      <c r="W384" s="136"/>
      <c r="X384" s="2"/>
      <c r="Y384" s="111"/>
      <c r="Z384" s="3"/>
    </row>
    <row r="385" ht="14.25" hidden="1" customHeight="1" outlineLevel="2">
      <c r="A385" s="124"/>
      <c r="B385" s="125" t="s">
        <v>803</v>
      </c>
      <c r="C385" s="126" t="s">
        <v>804</v>
      </c>
      <c r="D385" s="127" t="s">
        <v>180</v>
      </c>
      <c r="E385" s="35"/>
      <c r="F385" s="128"/>
      <c r="G385" s="128"/>
      <c r="H385" s="128"/>
      <c r="I385" s="127">
        <f t="shared" si="215"/>
        <v>0</v>
      </c>
      <c r="J385" s="88"/>
      <c r="K385" s="129">
        <f t="shared" si="216"/>
        <v>28.7664</v>
      </c>
      <c r="L385" s="130">
        <v>0.6</v>
      </c>
      <c r="M385" s="129">
        <f t="shared" si="217"/>
        <v>19.1776</v>
      </c>
      <c r="N385" s="130">
        <f t="shared" si="218"/>
        <v>0.4</v>
      </c>
      <c r="O385" s="131">
        <f t="array" ref="O385">INDEX('LPU Regionalizada'!$B$3:$N$785,MATCH($B385,'LPU Regionalizada'!$B$3:$B$785,0),MATCH(INDEX(CTRL!$F$3:$F$29,CTRL!$E$1),'LPU Regionalizada'!$B$3:$N$3,0))</f>
        <v>47.944</v>
      </c>
      <c r="P385" s="88"/>
      <c r="Q385" s="132">
        <f t="shared" si="219"/>
        <v>0</v>
      </c>
      <c r="R385" s="132">
        <f t="shared" si="220"/>
        <v>0</v>
      </c>
      <c r="S385" s="132">
        <f t="shared" si="221"/>
        <v>0</v>
      </c>
      <c r="T385" s="133">
        <f t="shared" si="222"/>
        <v>0</v>
      </c>
      <c r="U385" s="134">
        <f t="shared" si="214"/>
        <v>0</v>
      </c>
      <c r="V385" s="135"/>
      <c r="W385" s="136"/>
      <c r="X385" s="2"/>
      <c r="Y385" s="111"/>
      <c r="Z385" s="3"/>
    </row>
    <row r="386" ht="14.25" hidden="1" customHeight="1" outlineLevel="2">
      <c r="A386" s="124"/>
      <c r="B386" s="125" t="s">
        <v>805</v>
      </c>
      <c r="C386" s="126" t="s">
        <v>806</v>
      </c>
      <c r="D386" s="127" t="s">
        <v>180</v>
      </c>
      <c r="E386" s="35"/>
      <c r="F386" s="128"/>
      <c r="G386" s="128"/>
      <c r="H386" s="128"/>
      <c r="I386" s="127">
        <f t="shared" si="215"/>
        <v>0</v>
      </c>
      <c r="J386" s="88"/>
      <c r="K386" s="129">
        <f t="shared" si="216"/>
        <v>5.8905</v>
      </c>
      <c r="L386" s="130">
        <v>0.6</v>
      </c>
      <c r="M386" s="129">
        <f t="shared" si="217"/>
        <v>3.927</v>
      </c>
      <c r="N386" s="130">
        <f t="shared" si="218"/>
        <v>0.4</v>
      </c>
      <c r="O386" s="131">
        <f t="array" ref="O386">INDEX('LPU Regionalizada'!$B$3:$N$785,MATCH($B386,'LPU Regionalizada'!$B$3:$B$785,0),MATCH(INDEX(CTRL!$F$3:$F$29,CTRL!$E$1),'LPU Regionalizada'!$B$3:$N$3,0))</f>
        <v>9.8175</v>
      </c>
      <c r="P386" s="88"/>
      <c r="Q386" s="132">
        <f t="shared" si="219"/>
        <v>0</v>
      </c>
      <c r="R386" s="132">
        <f t="shared" si="220"/>
        <v>0</v>
      </c>
      <c r="S386" s="132">
        <f t="shared" si="221"/>
        <v>0</v>
      </c>
      <c r="T386" s="133">
        <f t="shared" si="222"/>
        <v>0</v>
      </c>
      <c r="U386" s="134">
        <f t="shared" si="214"/>
        <v>0</v>
      </c>
      <c r="V386" s="135"/>
      <c r="W386" s="136"/>
      <c r="X386" s="2"/>
      <c r="Y386" s="111"/>
      <c r="Z386" s="3"/>
    </row>
    <row r="387" ht="14.25" hidden="1" customHeight="1" outlineLevel="2">
      <c r="A387" s="124"/>
      <c r="B387" s="125" t="s">
        <v>807</v>
      </c>
      <c r="C387" s="126" t="s">
        <v>808</v>
      </c>
      <c r="D387" s="127" t="s">
        <v>180</v>
      </c>
      <c r="E387" s="35"/>
      <c r="F387" s="128"/>
      <c r="G387" s="128"/>
      <c r="H387" s="128"/>
      <c r="I387" s="127">
        <f t="shared" si="215"/>
        <v>0</v>
      </c>
      <c r="J387" s="88"/>
      <c r="K387" s="129">
        <f t="shared" si="216"/>
        <v>6.2685</v>
      </c>
      <c r="L387" s="130">
        <v>0.6</v>
      </c>
      <c r="M387" s="129">
        <f t="shared" si="217"/>
        <v>4.179</v>
      </c>
      <c r="N387" s="130">
        <f t="shared" si="218"/>
        <v>0.4</v>
      </c>
      <c r="O387" s="131">
        <f t="array" ref="O387">INDEX('LPU Regionalizada'!$B$3:$N$785,MATCH($B387,'LPU Regionalizada'!$B$3:$B$785,0),MATCH(INDEX(CTRL!$F$3:$F$29,CTRL!$E$1),'LPU Regionalizada'!$B$3:$N$3,0))</f>
        <v>10.4475</v>
      </c>
      <c r="P387" s="88"/>
      <c r="Q387" s="132">
        <f t="shared" si="219"/>
        <v>0</v>
      </c>
      <c r="R387" s="132">
        <f t="shared" si="220"/>
        <v>0</v>
      </c>
      <c r="S387" s="132">
        <f t="shared" si="221"/>
        <v>0</v>
      </c>
      <c r="T387" s="133">
        <f t="shared" si="222"/>
        <v>0</v>
      </c>
      <c r="U387" s="134">
        <f t="shared" si="214"/>
        <v>0</v>
      </c>
      <c r="V387" s="135"/>
      <c r="W387" s="136"/>
      <c r="X387" s="2"/>
      <c r="Y387" s="111"/>
      <c r="Z387" s="3"/>
    </row>
    <row r="388" ht="14.25" hidden="1" customHeight="1" outlineLevel="1">
      <c r="A388" s="112"/>
      <c r="B388" s="113" t="s">
        <v>809</v>
      </c>
      <c r="C388" s="114" t="s">
        <v>810</v>
      </c>
      <c r="D388" s="115"/>
      <c r="E388" s="35"/>
      <c r="F388" s="113"/>
      <c r="G388" s="116"/>
      <c r="H388" s="116"/>
      <c r="I388" s="115"/>
      <c r="J388" s="88"/>
      <c r="K388" s="117"/>
      <c r="L388" s="118"/>
      <c r="M388" s="118"/>
      <c r="N388" s="118"/>
      <c r="O388" s="119"/>
      <c r="P388" s="88"/>
      <c r="Q388" s="120"/>
      <c r="R388" s="120"/>
      <c r="S388" s="120"/>
      <c r="T388" s="120">
        <f>SUM(T389:T399)</f>
        <v>0</v>
      </c>
      <c r="U388" s="121">
        <f t="shared" si="214"/>
        <v>0</v>
      </c>
      <c r="V388" s="122"/>
      <c r="W388" s="123"/>
      <c r="X388" s="2"/>
      <c r="Y388" s="111"/>
      <c r="Z388" s="3"/>
    </row>
    <row r="389" ht="14.25" hidden="1" customHeight="1" outlineLevel="2">
      <c r="A389" s="124"/>
      <c r="B389" s="125" t="s">
        <v>811</v>
      </c>
      <c r="C389" s="126" t="s">
        <v>812</v>
      </c>
      <c r="D389" s="127" t="s">
        <v>142</v>
      </c>
      <c r="E389" s="35"/>
      <c r="F389" s="128"/>
      <c r="G389" s="128"/>
      <c r="H389" s="128"/>
      <c r="I389" s="127">
        <f t="shared" ref="I389:I399" si="223">F389+G389+H389</f>
        <v>0</v>
      </c>
      <c r="J389" s="88"/>
      <c r="K389" s="129">
        <f t="shared" ref="K389:K399" si="224">L389*O389</f>
        <v>1.762311962</v>
      </c>
      <c r="L389" s="130">
        <v>0.6</v>
      </c>
      <c r="M389" s="129">
        <f t="shared" ref="M389:M399" si="225">N389*O389</f>
        <v>1.174874641</v>
      </c>
      <c r="N389" s="130">
        <f t="shared" ref="N389:N399" si="226">100%-L389</f>
        <v>0.4</v>
      </c>
      <c r="O389" s="131">
        <f t="array" ref="O389">INDEX('LPU Regionalizada'!$B$3:$N$785,MATCH($B389,'LPU Regionalizada'!$B$3:$B$785,0),MATCH(INDEX(CTRL!$F$3:$F$29,CTRL!$E$1),'LPU Regionalizada'!$B$3:$N$3,0))</f>
        <v>2.937186603</v>
      </c>
      <c r="P389" s="88"/>
      <c r="Q389" s="132">
        <f t="shared" ref="Q389:Q399" si="227">F389*O389</f>
        <v>0</v>
      </c>
      <c r="R389" s="132">
        <f t="shared" ref="R389:R399" si="228">G389*O389</f>
        <v>0</v>
      </c>
      <c r="S389" s="132">
        <f t="shared" ref="S389:S399" si="229">H389*O389</f>
        <v>0</v>
      </c>
      <c r="T389" s="133">
        <f t="shared" ref="T389:T399" si="230">SUM(Q389:S389)</f>
        <v>0</v>
      </c>
      <c r="U389" s="134">
        <f t="shared" si="214"/>
        <v>0</v>
      </c>
      <c r="V389" s="135"/>
      <c r="W389" s="136"/>
      <c r="X389" s="2"/>
      <c r="Y389" s="111"/>
      <c r="Z389" s="3"/>
    </row>
    <row r="390" ht="14.25" hidden="1" customHeight="1" outlineLevel="2">
      <c r="A390" s="124"/>
      <c r="B390" s="125" t="s">
        <v>813</v>
      </c>
      <c r="C390" s="126" t="s">
        <v>814</v>
      </c>
      <c r="D390" s="127" t="s">
        <v>142</v>
      </c>
      <c r="E390" s="35"/>
      <c r="F390" s="128"/>
      <c r="G390" s="128"/>
      <c r="H390" s="128"/>
      <c r="I390" s="127">
        <f t="shared" si="223"/>
        <v>0</v>
      </c>
      <c r="J390" s="88"/>
      <c r="K390" s="129">
        <f t="shared" si="224"/>
        <v>3.304334928</v>
      </c>
      <c r="L390" s="130">
        <v>0.6</v>
      </c>
      <c r="M390" s="129">
        <f t="shared" si="225"/>
        <v>2.202889952</v>
      </c>
      <c r="N390" s="130">
        <f t="shared" si="226"/>
        <v>0.4</v>
      </c>
      <c r="O390" s="131">
        <f t="array" ref="O390">INDEX('LPU Regionalizada'!$B$3:$N$785,MATCH($B390,'LPU Regionalizada'!$B$3:$B$785,0),MATCH(INDEX(CTRL!$F$3:$F$29,CTRL!$E$1),'LPU Regionalizada'!$B$3:$N$3,0))</f>
        <v>5.50722488</v>
      </c>
      <c r="P390" s="88"/>
      <c r="Q390" s="132">
        <f t="shared" si="227"/>
        <v>0</v>
      </c>
      <c r="R390" s="132">
        <f t="shared" si="228"/>
        <v>0</v>
      </c>
      <c r="S390" s="132">
        <f t="shared" si="229"/>
        <v>0</v>
      </c>
      <c r="T390" s="133">
        <f t="shared" si="230"/>
        <v>0</v>
      </c>
      <c r="U390" s="134">
        <f t="shared" si="214"/>
        <v>0</v>
      </c>
      <c r="V390" s="135"/>
      <c r="W390" s="136"/>
      <c r="X390" s="2"/>
      <c r="Y390" s="111"/>
      <c r="Z390" s="3"/>
    </row>
    <row r="391" ht="14.25" hidden="1" customHeight="1" outlineLevel="2">
      <c r="A391" s="124"/>
      <c r="B391" s="125" t="s">
        <v>815</v>
      </c>
      <c r="C391" s="126" t="s">
        <v>816</v>
      </c>
      <c r="D391" s="127" t="s">
        <v>142</v>
      </c>
      <c r="E391" s="35"/>
      <c r="F391" s="128"/>
      <c r="G391" s="128"/>
      <c r="H391" s="128"/>
      <c r="I391" s="127">
        <f t="shared" si="223"/>
        <v>0</v>
      </c>
      <c r="J391" s="88"/>
      <c r="K391" s="129">
        <f t="shared" si="224"/>
        <v>4.786145569</v>
      </c>
      <c r="L391" s="130">
        <v>0.6</v>
      </c>
      <c r="M391" s="129">
        <f t="shared" si="225"/>
        <v>3.190763713</v>
      </c>
      <c r="N391" s="130">
        <f t="shared" si="226"/>
        <v>0.4</v>
      </c>
      <c r="O391" s="131">
        <f t="array" ref="O391">INDEX('LPU Regionalizada'!$B$3:$N$785,MATCH($B391,'LPU Regionalizada'!$B$3:$B$785,0),MATCH(INDEX(CTRL!$F$3:$F$29,CTRL!$E$1),'LPU Regionalizada'!$B$3:$N$3,0))</f>
        <v>7.976909282</v>
      </c>
      <c r="P391" s="88"/>
      <c r="Q391" s="132">
        <f t="shared" si="227"/>
        <v>0</v>
      </c>
      <c r="R391" s="132">
        <f t="shared" si="228"/>
        <v>0</v>
      </c>
      <c r="S391" s="132">
        <f t="shared" si="229"/>
        <v>0</v>
      </c>
      <c r="T391" s="133">
        <f t="shared" si="230"/>
        <v>0</v>
      </c>
      <c r="U391" s="134">
        <f t="shared" si="214"/>
        <v>0</v>
      </c>
      <c r="V391" s="135"/>
      <c r="W391" s="136"/>
      <c r="X391" s="2"/>
      <c r="Y391" s="111"/>
      <c r="Z391" s="3"/>
    </row>
    <row r="392" ht="14.25" hidden="1" customHeight="1" outlineLevel="2">
      <c r="A392" s="124"/>
      <c r="B392" s="125" t="s">
        <v>817</v>
      </c>
      <c r="C392" s="126" t="s">
        <v>818</v>
      </c>
      <c r="D392" s="127" t="s">
        <v>142</v>
      </c>
      <c r="E392" s="35"/>
      <c r="F392" s="128"/>
      <c r="G392" s="128"/>
      <c r="H392" s="128"/>
      <c r="I392" s="127">
        <f t="shared" si="223"/>
        <v>0</v>
      </c>
      <c r="J392" s="88"/>
      <c r="K392" s="129">
        <f t="shared" si="224"/>
        <v>6.165422013</v>
      </c>
      <c r="L392" s="130">
        <v>0.6</v>
      </c>
      <c r="M392" s="129">
        <f t="shared" si="225"/>
        <v>4.110281342</v>
      </c>
      <c r="N392" s="130">
        <f t="shared" si="226"/>
        <v>0.4</v>
      </c>
      <c r="O392" s="131">
        <f t="array" ref="O392">INDEX('LPU Regionalizada'!$B$3:$N$785,MATCH($B392,'LPU Regionalizada'!$B$3:$B$785,0),MATCH(INDEX(CTRL!$F$3:$F$29,CTRL!$E$1),'LPU Regionalizada'!$B$3:$N$3,0))</f>
        <v>10.27570335</v>
      </c>
      <c r="P392" s="88"/>
      <c r="Q392" s="132">
        <f t="shared" si="227"/>
        <v>0</v>
      </c>
      <c r="R392" s="132">
        <f t="shared" si="228"/>
        <v>0</v>
      </c>
      <c r="S392" s="132">
        <f t="shared" si="229"/>
        <v>0</v>
      </c>
      <c r="T392" s="133">
        <f t="shared" si="230"/>
        <v>0</v>
      </c>
      <c r="U392" s="134">
        <f t="shared" si="214"/>
        <v>0</v>
      </c>
      <c r="V392" s="135"/>
      <c r="W392" s="136"/>
      <c r="X392" s="2"/>
      <c r="Y392" s="111"/>
      <c r="Z392" s="3"/>
    </row>
    <row r="393" ht="14.25" hidden="1" customHeight="1" outlineLevel="2">
      <c r="A393" s="124"/>
      <c r="B393" s="125" t="s">
        <v>819</v>
      </c>
      <c r="C393" s="126" t="s">
        <v>820</v>
      </c>
      <c r="D393" s="127" t="s">
        <v>142</v>
      </c>
      <c r="E393" s="35"/>
      <c r="F393" s="128"/>
      <c r="G393" s="128"/>
      <c r="H393" s="128"/>
      <c r="I393" s="127">
        <f t="shared" si="223"/>
        <v>0</v>
      </c>
      <c r="J393" s="88"/>
      <c r="K393" s="129">
        <f t="shared" si="224"/>
        <v>12.19360834</v>
      </c>
      <c r="L393" s="130">
        <v>0.6</v>
      </c>
      <c r="M393" s="129">
        <f t="shared" si="225"/>
        <v>8.129072226</v>
      </c>
      <c r="N393" s="130">
        <f t="shared" si="226"/>
        <v>0.4</v>
      </c>
      <c r="O393" s="131">
        <f t="array" ref="O393">INDEX('LPU Regionalizada'!$B$3:$N$785,MATCH($B393,'LPU Regionalizada'!$B$3:$B$785,0),MATCH(INDEX(CTRL!$F$3:$F$29,CTRL!$E$1),'LPU Regionalizada'!$B$3:$N$3,0))</f>
        <v>20.32268057</v>
      </c>
      <c r="P393" s="88"/>
      <c r="Q393" s="132">
        <f t="shared" si="227"/>
        <v>0</v>
      </c>
      <c r="R393" s="132">
        <f t="shared" si="228"/>
        <v>0</v>
      </c>
      <c r="S393" s="132">
        <f t="shared" si="229"/>
        <v>0</v>
      </c>
      <c r="T393" s="133">
        <f t="shared" si="230"/>
        <v>0</v>
      </c>
      <c r="U393" s="134">
        <f t="shared" si="214"/>
        <v>0</v>
      </c>
      <c r="V393" s="135"/>
      <c r="W393" s="136"/>
      <c r="X393" s="2"/>
      <c r="Y393" s="111"/>
      <c r="Z393" s="3"/>
    </row>
    <row r="394" ht="14.25" hidden="1" customHeight="1" outlineLevel="2">
      <c r="A394" s="124"/>
      <c r="B394" s="125" t="s">
        <v>821</v>
      </c>
      <c r="C394" s="126" t="s">
        <v>822</v>
      </c>
      <c r="D394" s="127" t="s">
        <v>142</v>
      </c>
      <c r="E394" s="35"/>
      <c r="F394" s="128"/>
      <c r="G394" s="128"/>
      <c r="H394" s="128"/>
      <c r="I394" s="127">
        <f t="shared" si="223"/>
        <v>0</v>
      </c>
      <c r="J394" s="88"/>
      <c r="K394" s="129">
        <f t="shared" si="224"/>
        <v>20.14340365</v>
      </c>
      <c r="L394" s="130">
        <v>0.6</v>
      </c>
      <c r="M394" s="129">
        <f t="shared" si="225"/>
        <v>13.42893577</v>
      </c>
      <c r="N394" s="130">
        <f t="shared" si="226"/>
        <v>0.4</v>
      </c>
      <c r="O394" s="131">
        <f t="array" ref="O394">INDEX('LPU Regionalizada'!$B$3:$N$785,MATCH($B394,'LPU Regionalizada'!$B$3:$B$785,0),MATCH(INDEX(CTRL!$F$3:$F$29,CTRL!$E$1),'LPU Regionalizada'!$B$3:$N$3,0))</f>
        <v>33.57233942</v>
      </c>
      <c r="P394" s="88"/>
      <c r="Q394" s="132">
        <f t="shared" si="227"/>
        <v>0</v>
      </c>
      <c r="R394" s="132">
        <f t="shared" si="228"/>
        <v>0</v>
      </c>
      <c r="S394" s="132">
        <f t="shared" si="229"/>
        <v>0</v>
      </c>
      <c r="T394" s="133">
        <f t="shared" si="230"/>
        <v>0</v>
      </c>
      <c r="U394" s="134">
        <f t="shared" si="214"/>
        <v>0</v>
      </c>
      <c r="V394" s="135"/>
      <c r="W394" s="136"/>
      <c r="X394" s="2"/>
      <c r="Y394" s="111"/>
      <c r="Z394" s="3"/>
    </row>
    <row r="395" ht="14.25" hidden="1" customHeight="1" outlineLevel="2">
      <c r="A395" s="124"/>
      <c r="B395" s="125" t="s">
        <v>823</v>
      </c>
      <c r="C395" s="126" t="s">
        <v>824</v>
      </c>
      <c r="D395" s="127" t="s">
        <v>142</v>
      </c>
      <c r="E395" s="35"/>
      <c r="F395" s="128"/>
      <c r="G395" s="128"/>
      <c r="H395" s="128"/>
      <c r="I395" s="127">
        <f t="shared" si="223"/>
        <v>0</v>
      </c>
      <c r="J395" s="88"/>
      <c r="K395" s="129">
        <f t="shared" si="224"/>
        <v>29.5827</v>
      </c>
      <c r="L395" s="130">
        <v>0.6</v>
      </c>
      <c r="M395" s="129">
        <f t="shared" si="225"/>
        <v>19.7218</v>
      </c>
      <c r="N395" s="130">
        <f t="shared" si="226"/>
        <v>0.4</v>
      </c>
      <c r="O395" s="131">
        <f t="array" ref="O395">INDEX('LPU Regionalizada'!$B$3:$N$785,MATCH($B395,'LPU Regionalizada'!$B$3:$B$785,0),MATCH(INDEX(CTRL!$F$3:$F$29,CTRL!$E$1),'LPU Regionalizada'!$B$3:$N$3,0))</f>
        <v>49.3045</v>
      </c>
      <c r="P395" s="88"/>
      <c r="Q395" s="132">
        <f t="shared" si="227"/>
        <v>0</v>
      </c>
      <c r="R395" s="132">
        <f t="shared" si="228"/>
        <v>0</v>
      </c>
      <c r="S395" s="132">
        <f t="shared" si="229"/>
        <v>0</v>
      </c>
      <c r="T395" s="133">
        <f t="shared" si="230"/>
        <v>0</v>
      </c>
      <c r="U395" s="134">
        <f t="shared" si="214"/>
        <v>0</v>
      </c>
      <c r="V395" s="135"/>
      <c r="W395" s="136"/>
      <c r="X395" s="2"/>
      <c r="Y395" s="111"/>
      <c r="Z395" s="3"/>
    </row>
    <row r="396" ht="14.25" hidden="1" customHeight="1" outlineLevel="2">
      <c r="A396" s="124"/>
      <c r="B396" s="125" t="s">
        <v>825</v>
      </c>
      <c r="C396" s="126" t="s">
        <v>826</v>
      </c>
      <c r="D396" s="127" t="s">
        <v>142</v>
      </c>
      <c r="E396" s="35"/>
      <c r="F396" s="128"/>
      <c r="G396" s="128"/>
      <c r="H396" s="128"/>
      <c r="I396" s="127">
        <f t="shared" si="223"/>
        <v>0</v>
      </c>
      <c r="J396" s="88"/>
      <c r="K396" s="129">
        <f t="shared" si="224"/>
        <v>61.2432</v>
      </c>
      <c r="L396" s="130">
        <v>0.6</v>
      </c>
      <c r="M396" s="129">
        <f t="shared" si="225"/>
        <v>40.8288</v>
      </c>
      <c r="N396" s="130">
        <f t="shared" si="226"/>
        <v>0.4</v>
      </c>
      <c r="O396" s="131">
        <f t="array" ref="O396">INDEX('LPU Regionalizada'!$B$3:$N$785,MATCH($B396,'LPU Regionalizada'!$B$3:$B$785,0),MATCH(INDEX(CTRL!$F$3:$F$29,CTRL!$E$1),'LPU Regionalizada'!$B$3:$N$3,0))</f>
        <v>102.072</v>
      </c>
      <c r="P396" s="88"/>
      <c r="Q396" s="132">
        <f t="shared" si="227"/>
        <v>0</v>
      </c>
      <c r="R396" s="132">
        <f t="shared" si="228"/>
        <v>0</v>
      </c>
      <c r="S396" s="132">
        <f t="shared" si="229"/>
        <v>0</v>
      </c>
      <c r="T396" s="133">
        <f t="shared" si="230"/>
        <v>0</v>
      </c>
      <c r="U396" s="134">
        <f t="shared" si="214"/>
        <v>0</v>
      </c>
      <c r="V396" s="135"/>
      <c r="W396" s="136"/>
      <c r="X396" s="2"/>
      <c r="Y396" s="111"/>
      <c r="Z396" s="3"/>
    </row>
    <row r="397" ht="14.25" hidden="1" customHeight="1" outlineLevel="2">
      <c r="A397" s="124"/>
      <c r="B397" s="125" t="s">
        <v>827</v>
      </c>
      <c r="C397" s="126" t="s">
        <v>828</v>
      </c>
      <c r="D397" s="127" t="s">
        <v>142</v>
      </c>
      <c r="E397" s="35"/>
      <c r="F397" s="128"/>
      <c r="G397" s="128"/>
      <c r="H397" s="128"/>
      <c r="I397" s="127">
        <f t="shared" si="223"/>
        <v>0</v>
      </c>
      <c r="J397" s="88"/>
      <c r="K397" s="129">
        <f t="shared" si="224"/>
        <v>143.1669822</v>
      </c>
      <c r="L397" s="130">
        <v>0.6</v>
      </c>
      <c r="M397" s="129">
        <f t="shared" si="225"/>
        <v>95.4446548</v>
      </c>
      <c r="N397" s="130">
        <f t="shared" si="226"/>
        <v>0.4</v>
      </c>
      <c r="O397" s="131">
        <f t="array" ref="O397">INDEX('LPU Regionalizada'!$B$3:$N$785,MATCH($B397,'LPU Regionalizada'!$B$3:$B$785,0),MATCH(INDEX(CTRL!$F$3:$F$29,CTRL!$E$1),'LPU Regionalizada'!$B$3:$N$3,0))</f>
        <v>238.611637</v>
      </c>
      <c r="P397" s="88"/>
      <c r="Q397" s="132">
        <f t="shared" si="227"/>
        <v>0</v>
      </c>
      <c r="R397" s="132">
        <f t="shared" si="228"/>
        <v>0</v>
      </c>
      <c r="S397" s="132">
        <f t="shared" si="229"/>
        <v>0</v>
      </c>
      <c r="T397" s="133">
        <f t="shared" si="230"/>
        <v>0</v>
      </c>
      <c r="U397" s="134">
        <f t="shared" si="214"/>
        <v>0</v>
      </c>
      <c r="V397" s="135"/>
      <c r="W397" s="136"/>
      <c r="X397" s="2"/>
      <c r="Y397" s="111"/>
      <c r="Z397" s="3"/>
    </row>
    <row r="398" ht="14.25" hidden="1" customHeight="1" outlineLevel="2">
      <c r="A398" s="124"/>
      <c r="B398" s="125" t="s">
        <v>829</v>
      </c>
      <c r="C398" s="126" t="s">
        <v>830</v>
      </c>
      <c r="D398" s="127" t="s">
        <v>142</v>
      </c>
      <c r="E398" s="35"/>
      <c r="F398" s="128"/>
      <c r="G398" s="128"/>
      <c r="H398" s="128"/>
      <c r="I398" s="127">
        <f t="shared" si="223"/>
        <v>0</v>
      </c>
      <c r="J398" s="88"/>
      <c r="K398" s="129">
        <f t="shared" si="224"/>
        <v>170.742</v>
      </c>
      <c r="L398" s="130">
        <v>0.6</v>
      </c>
      <c r="M398" s="129">
        <f t="shared" si="225"/>
        <v>113.828</v>
      </c>
      <c r="N398" s="130">
        <f t="shared" si="226"/>
        <v>0.4</v>
      </c>
      <c r="O398" s="131">
        <f t="array" ref="O398">INDEX('LPU Regionalizada'!$B$3:$N$785,MATCH($B398,'LPU Regionalizada'!$B$3:$B$785,0),MATCH(INDEX(CTRL!$F$3:$F$29,CTRL!$E$1),'LPU Regionalizada'!$B$3:$N$3,0))</f>
        <v>284.57</v>
      </c>
      <c r="P398" s="88"/>
      <c r="Q398" s="132">
        <f t="shared" si="227"/>
        <v>0</v>
      </c>
      <c r="R398" s="132">
        <f t="shared" si="228"/>
        <v>0</v>
      </c>
      <c r="S398" s="132">
        <f t="shared" si="229"/>
        <v>0</v>
      </c>
      <c r="T398" s="133">
        <f t="shared" si="230"/>
        <v>0</v>
      </c>
      <c r="U398" s="134">
        <f t="shared" si="214"/>
        <v>0</v>
      </c>
      <c r="V398" s="135"/>
      <c r="W398" s="136"/>
      <c r="X398" s="2"/>
      <c r="Y398" s="111"/>
      <c r="Z398" s="3"/>
    </row>
    <row r="399" ht="14.25" hidden="1" customHeight="1" outlineLevel="2">
      <c r="A399" s="124"/>
      <c r="B399" s="125" t="s">
        <v>831</v>
      </c>
      <c r="C399" s="126" t="s">
        <v>832</v>
      </c>
      <c r="D399" s="127" t="s">
        <v>142</v>
      </c>
      <c r="E399" s="35"/>
      <c r="F399" s="128"/>
      <c r="G399" s="128"/>
      <c r="H399" s="128"/>
      <c r="I399" s="127">
        <f t="shared" si="223"/>
        <v>0</v>
      </c>
      <c r="J399" s="88"/>
      <c r="K399" s="129">
        <f t="shared" si="224"/>
        <v>2.7342</v>
      </c>
      <c r="L399" s="130">
        <v>0.6</v>
      </c>
      <c r="M399" s="129">
        <f t="shared" si="225"/>
        <v>1.8228</v>
      </c>
      <c r="N399" s="130">
        <f t="shared" si="226"/>
        <v>0.4</v>
      </c>
      <c r="O399" s="131">
        <f t="array" ref="O399">INDEX('LPU Regionalizada'!$B$3:$N$785,MATCH($B399,'LPU Regionalizada'!$B$3:$B$785,0),MATCH(INDEX(CTRL!$F$3:$F$29,CTRL!$E$1),'LPU Regionalizada'!$B$3:$N$3,0))</f>
        <v>4.557</v>
      </c>
      <c r="P399" s="88"/>
      <c r="Q399" s="132">
        <f t="shared" si="227"/>
        <v>0</v>
      </c>
      <c r="R399" s="132">
        <f t="shared" si="228"/>
        <v>0</v>
      </c>
      <c r="S399" s="132">
        <f t="shared" si="229"/>
        <v>0</v>
      </c>
      <c r="T399" s="133">
        <f t="shared" si="230"/>
        <v>0</v>
      </c>
      <c r="U399" s="134">
        <f t="shared" si="214"/>
        <v>0</v>
      </c>
      <c r="V399" s="135"/>
      <c r="W399" s="136"/>
      <c r="X399" s="2"/>
      <c r="Y399" s="111"/>
      <c r="Z399" s="3"/>
    </row>
    <row r="400" ht="14.25" hidden="1" customHeight="1" outlineLevel="1">
      <c r="A400" s="112"/>
      <c r="B400" s="113" t="s">
        <v>833</v>
      </c>
      <c r="C400" s="114" t="s">
        <v>834</v>
      </c>
      <c r="D400" s="115"/>
      <c r="E400" s="35"/>
      <c r="F400" s="113"/>
      <c r="G400" s="116"/>
      <c r="H400" s="116"/>
      <c r="I400" s="115"/>
      <c r="J400" s="88"/>
      <c r="K400" s="117"/>
      <c r="L400" s="118"/>
      <c r="M400" s="118"/>
      <c r="N400" s="118"/>
      <c r="O400" s="119"/>
      <c r="P400" s="88"/>
      <c r="Q400" s="120"/>
      <c r="R400" s="120"/>
      <c r="S400" s="120"/>
      <c r="T400" s="120">
        <f>SUM(T401:T408)</f>
        <v>0</v>
      </c>
      <c r="U400" s="121">
        <f t="shared" si="214"/>
        <v>0</v>
      </c>
      <c r="V400" s="122"/>
      <c r="W400" s="123"/>
      <c r="X400" s="2"/>
      <c r="Y400" s="111"/>
      <c r="Z400" s="3"/>
    </row>
    <row r="401" ht="14.25" hidden="1" customHeight="1" outlineLevel="2">
      <c r="A401" s="124"/>
      <c r="B401" s="125" t="s">
        <v>835</v>
      </c>
      <c r="C401" s="126" t="s">
        <v>836</v>
      </c>
      <c r="D401" s="127" t="s">
        <v>142</v>
      </c>
      <c r="E401" s="35"/>
      <c r="F401" s="128"/>
      <c r="G401" s="128"/>
      <c r="H401" s="128"/>
      <c r="I401" s="127">
        <f t="shared" ref="I401:I408" si="231">F401+G401+H401</f>
        <v>0</v>
      </c>
      <c r="J401" s="88"/>
      <c r="K401" s="129">
        <f t="shared" ref="K401:K408" si="232">L401*O401</f>
        <v>11.58</v>
      </c>
      <c r="L401" s="130">
        <v>0.6</v>
      </c>
      <c r="M401" s="129">
        <f t="shared" ref="M401:M408" si="233">N401*O401</f>
        <v>7.72</v>
      </c>
      <c r="N401" s="130">
        <f t="shared" ref="N401:N408" si="234">100%-L401</f>
        <v>0.4</v>
      </c>
      <c r="O401" s="131">
        <f t="array" ref="O401">INDEX('LPU Regionalizada'!$B$3:$N$785,MATCH($B401,'LPU Regionalizada'!$B$3:$B$785,0),MATCH(INDEX(CTRL!$F$3:$F$29,CTRL!$E$1),'LPU Regionalizada'!$B$3:$N$3,0))</f>
        <v>19.3</v>
      </c>
      <c r="P401" s="88"/>
      <c r="Q401" s="132">
        <f t="shared" ref="Q401:Q408" si="235">F401*O401</f>
        <v>0</v>
      </c>
      <c r="R401" s="132">
        <f t="shared" ref="R401:R408" si="236">G401*O401</f>
        <v>0</v>
      </c>
      <c r="S401" s="132">
        <f t="shared" ref="S401:S408" si="237">H401*O401</f>
        <v>0</v>
      </c>
      <c r="T401" s="133">
        <f t="shared" ref="T401:T408" si="238">SUM(Q401:S401)</f>
        <v>0</v>
      </c>
      <c r="U401" s="134">
        <f t="shared" si="214"/>
        <v>0</v>
      </c>
      <c r="V401" s="135"/>
      <c r="W401" s="136"/>
      <c r="X401" s="2"/>
      <c r="Y401" s="111"/>
      <c r="Z401" s="3"/>
    </row>
    <row r="402" ht="14.25" hidden="1" customHeight="1" outlineLevel="2">
      <c r="A402" s="124"/>
      <c r="B402" s="125" t="s">
        <v>837</v>
      </c>
      <c r="C402" s="126" t="s">
        <v>838</v>
      </c>
      <c r="D402" s="127" t="s">
        <v>142</v>
      </c>
      <c r="E402" s="35"/>
      <c r="F402" s="128"/>
      <c r="G402" s="128"/>
      <c r="H402" s="128"/>
      <c r="I402" s="127">
        <f t="shared" si="231"/>
        <v>0</v>
      </c>
      <c r="J402" s="88"/>
      <c r="K402" s="129">
        <f t="shared" si="232"/>
        <v>15.852</v>
      </c>
      <c r="L402" s="130">
        <v>0.6</v>
      </c>
      <c r="M402" s="129">
        <f t="shared" si="233"/>
        <v>10.568</v>
      </c>
      <c r="N402" s="130">
        <f t="shared" si="234"/>
        <v>0.4</v>
      </c>
      <c r="O402" s="131">
        <f t="array" ref="O402">INDEX('LPU Regionalizada'!$B$3:$N$785,MATCH($B402,'LPU Regionalizada'!$B$3:$B$785,0),MATCH(INDEX(CTRL!$F$3:$F$29,CTRL!$E$1),'LPU Regionalizada'!$B$3:$N$3,0))</f>
        <v>26.42</v>
      </c>
      <c r="P402" s="88"/>
      <c r="Q402" s="132">
        <f t="shared" si="235"/>
        <v>0</v>
      </c>
      <c r="R402" s="132">
        <f t="shared" si="236"/>
        <v>0</v>
      </c>
      <c r="S402" s="132">
        <f t="shared" si="237"/>
        <v>0</v>
      </c>
      <c r="T402" s="133">
        <f t="shared" si="238"/>
        <v>0</v>
      </c>
      <c r="U402" s="134">
        <f t="shared" si="214"/>
        <v>0</v>
      </c>
      <c r="V402" s="135"/>
      <c r="W402" s="136"/>
      <c r="X402" s="2"/>
      <c r="Y402" s="111"/>
      <c r="Z402" s="3"/>
    </row>
    <row r="403" ht="14.25" hidden="1" customHeight="1" outlineLevel="2">
      <c r="A403" s="124"/>
      <c r="B403" s="125" t="s">
        <v>839</v>
      </c>
      <c r="C403" s="126" t="s">
        <v>840</v>
      </c>
      <c r="D403" s="127" t="s">
        <v>142</v>
      </c>
      <c r="E403" s="35"/>
      <c r="F403" s="128"/>
      <c r="G403" s="128"/>
      <c r="H403" s="128"/>
      <c r="I403" s="127">
        <f t="shared" si="231"/>
        <v>0</v>
      </c>
      <c r="J403" s="88"/>
      <c r="K403" s="129">
        <f t="shared" si="232"/>
        <v>19.55683891</v>
      </c>
      <c r="L403" s="130">
        <v>0.6</v>
      </c>
      <c r="M403" s="129">
        <f t="shared" si="233"/>
        <v>13.03789261</v>
      </c>
      <c r="N403" s="130">
        <f t="shared" si="234"/>
        <v>0.4</v>
      </c>
      <c r="O403" s="131">
        <f t="array" ref="O403">INDEX('LPU Regionalizada'!$B$3:$N$785,MATCH($B403,'LPU Regionalizada'!$B$3:$B$785,0),MATCH(INDEX(CTRL!$F$3:$F$29,CTRL!$E$1),'LPU Regionalizada'!$B$3:$N$3,0))</f>
        <v>32.59473152</v>
      </c>
      <c r="P403" s="88"/>
      <c r="Q403" s="132">
        <f t="shared" si="235"/>
        <v>0</v>
      </c>
      <c r="R403" s="132">
        <f t="shared" si="236"/>
        <v>0</v>
      </c>
      <c r="S403" s="132">
        <f t="shared" si="237"/>
        <v>0</v>
      </c>
      <c r="T403" s="133">
        <f t="shared" si="238"/>
        <v>0</v>
      </c>
      <c r="U403" s="134">
        <f t="shared" si="214"/>
        <v>0</v>
      </c>
      <c r="V403" s="135"/>
      <c r="W403" s="136"/>
      <c r="X403" s="2"/>
      <c r="Y403" s="111"/>
      <c r="Z403" s="3"/>
    </row>
    <row r="404" ht="14.25" hidden="1" customHeight="1" outlineLevel="2">
      <c r="A404" s="124"/>
      <c r="B404" s="125" t="s">
        <v>841</v>
      </c>
      <c r="C404" s="126" t="s">
        <v>842</v>
      </c>
      <c r="D404" s="127" t="s">
        <v>142</v>
      </c>
      <c r="E404" s="35"/>
      <c r="F404" s="128"/>
      <c r="G404" s="128"/>
      <c r="H404" s="128"/>
      <c r="I404" s="127">
        <f t="shared" si="231"/>
        <v>0</v>
      </c>
      <c r="J404" s="88"/>
      <c r="K404" s="129">
        <f t="shared" si="232"/>
        <v>21.6448128</v>
      </c>
      <c r="L404" s="130">
        <v>0.6</v>
      </c>
      <c r="M404" s="129">
        <f t="shared" si="233"/>
        <v>14.4298752</v>
      </c>
      <c r="N404" s="130">
        <f t="shared" si="234"/>
        <v>0.4</v>
      </c>
      <c r="O404" s="131">
        <f t="array" ref="O404">INDEX('LPU Regionalizada'!$B$3:$N$785,MATCH($B404,'LPU Regionalizada'!$B$3:$B$785,0),MATCH(INDEX(CTRL!$F$3:$F$29,CTRL!$E$1),'LPU Regionalizada'!$B$3:$N$3,0))</f>
        <v>36.074688</v>
      </c>
      <c r="P404" s="88"/>
      <c r="Q404" s="132">
        <f t="shared" si="235"/>
        <v>0</v>
      </c>
      <c r="R404" s="132">
        <f t="shared" si="236"/>
        <v>0</v>
      </c>
      <c r="S404" s="132">
        <f t="shared" si="237"/>
        <v>0</v>
      </c>
      <c r="T404" s="133">
        <f t="shared" si="238"/>
        <v>0</v>
      </c>
      <c r="U404" s="134">
        <f t="shared" si="214"/>
        <v>0</v>
      </c>
      <c r="V404" s="135"/>
      <c r="W404" s="136"/>
      <c r="X404" s="2"/>
      <c r="Y404" s="111"/>
      <c r="Z404" s="3"/>
    </row>
    <row r="405" ht="14.25" hidden="1" customHeight="1" outlineLevel="2">
      <c r="A405" s="124"/>
      <c r="B405" s="125" t="s">
        <v>843</v>
      </c>
      <c r="C405" s="126" t="s">
        <v>844</v>
      </c>
      <c r="D405" s="127" t="s">
        <v>142</v>
      </c>
      <c r="E405" s="35"/>
      <c r="F405" s="128"/>
      <c r="G405" s="128"/>
      <c r="H405" s="128"/>
      <c r="I405" s="127">
        <f t="shared" si="231"/>
        <v>0</v>
      </c>
      <c r="J405" s="88"/>
      <c r="K405" s="129">
        <f t="shared" si="232"/>
        <v>27.8459064</v>
      </c>
      <c r="L405" s="130">
        <v>0.6</v>
      </c>
      <c r="M405" s="129">
        <f t="shared" si="233"/>
        <v>18.5639376</v>
      </c>
      <c r="N405" s="130">
        <f t="shared" si="234"/>
        <v>0.4</v>
      </c>
      <c r="O405" s="131">
        <f t="array" ref="O405">INDEX('LPU Regionalizada'!$B$3:$N$785,MATCH($B405,'LPU Regionalizada'!$B$3:$B$785,0),MATCH(INDEX(CTRL!$F$3:$F$29,CTRL!$E$1),'LPU Regionalizada'!$B$3:$N$3,0))</f>
        <v>46.409844</v>
      </c>
      <c r="P405" s="88"/>
      <c r="Q405" s="132">
        <f t="shared" si="235"/>
        <v>0</v>
      </c>
      <c r="R405" s="132">
        <f t="shared" si="236"/>
        <v>0</v>
      </c>
      <c r="S405" s="132">
        <f t="shared" si="237"/>
        <v>0</v>
      </c>
      <c r="T405" s="133">
        <f t="shared" si="238"/>
        <v>0</v>
      </c>
      <c r="U405" s="134">
        <f t="shared" si="214"/>
        <v>0</v>
      </c>
      <c r="V405" s="135"/>
      <c r="W405" s="136"/>
      <c r="X405" s="2"/>
      <c r="Y405" s="111"/>
      <c r="Z405" s="3"/>
    </row>
    <row r="406" ht="14.25" hidden="1" customHeight="1" outlineLevel="2">
      <c r="A406" s="124"/>
      <c r="B406" s="125" t="s">
        <v>845</v>
      </c>
      <c r="C406" s="126" t="s">
        <v>846</v>
      </c>
      <c r="D406" s="127" t="s">
        <v>142</v>
      </c>
      <c r="E406" s="35"/>
      <c r="F406" s="128"/>
      <c r="G406" s="128"/>
      <c r="H406" s="128"/>
      <c r="I406" s="127">
        <f t="shared" si="231"/>
        <v>0</v>
      </c>
      <c r="J406" s="88"/>
      <c r="K406" s="129">
        <f t="shared" si="232"/>
        <v>39.168</v>
      </c>
      <c r="L406" s="130">
        <v>0.6</v>
      </c>
      <c r="M406" s="129">
        <f t="shared" si="233"/>
        <v>26.112</v>
      </c>
      <c r="N406" s="130">
        <f t="shared" si="234"/>
        <v>0.4</v>
      </c>
      <c r="O406" s="131">
        <f t="array" ref="O406">INDEX('LPU Regionalizada'!$B$3:$N$785,MATCH($B406,'LPU Regionalizada'!$B$3:$B$785,0),MATCH(INDEX(CTRL!$F$3:$F$29,CTRL!$E$1),'LPU Regionalizada'!$B$3:$N$3,0))</f>
        <v>65.28</v>
      </c>
      <c r="P406" s="88"/>
      <c r="Q406" s="132">
        <f t="shared" si="235"/>
        <v>0</v>
      </c>
      <c r="R406" s="132">
        <f t="shared" si="236"/>
        <v>0</v>
      </c>
      <c r="S406" s="132">
        <f t="shared" si="237"/>
        <v>0</v>
      </c>
      <c r="T406" s="133">
        <f t="shared" si="238"/>
        <v>0</v>
      </c>
      <c r="U406" s="134">
        <f t="shared" si="214"/>
        <v>0</v>
      </c>
      <c r="V406" s="135"/>
      <c r="W406" s="136"/>
      <c r="X406" s="2"/>
      <c r="Y406" s="111"/>
      <c r="Z406" s="3"/>
    </row>
    <row r="407" ht="14.25" hidden="1" customHeight="1" outlineLevel="2">
      <c r="A407" s="124"/>
      <c r="B407" s="125" t="s">
        <v>847</v>
      </c>
      <c r="C407" s="126" t="s">
        <v>848</v>
      </c>
      <c r="D407" s="127" t="s">
        <v>142</v>
      </c>
      <c r="E407" s="35"/>
      <c r="F407" s="128"/>
      <c r="G407" s="128"/>
      <c r="H407" s="128"/>
      <c r="I407" s="127">
        <f t="shared" si="231"/>
        <v>0</v>
      </c>
      <c r="J407" s="88"/>
      <c r="K407" s="129">
        <f t="shared" si="232"/>
        <v>54.96426624</v>
      </c>
      <c r="L407" s="130">
        <v>0.6</v>
      </c>
      <c r="M407" s="129">
        <f t="shared" si="233"/>
        <v>36.64284416</v>
      </c>
      <c r="N407" s="130">
        <f t="shared" si="234"/>
        <v>0.4</v>
      </c>
      <c r="O407" s="131">
        <f t="array" ref="O407">INDEX('LPU Regionalizada'!$B$3:$N$785,MATCH($B407,'LPU Regionalizada'!$B$3:$B$785,0),MATCH(INDEX(CTRL!$F$3:$F$29,CTRL!$E$1),'LPU Regionalizada'!$B$3:$N$3,0))</f>
        <v>91.6071104</v>
      </c>
      <c r="P407" s="88"/>
      <c r="Q407" s="132">
        <f t="shared" si="235"/>
        <v>0</v>
      </c>
      <c r="R407" s="132">
        <f t="shared" si="236"/>
        <v>0</v>
      </c>
      <c r="S407" s="132">
        <f t="shared" si="237"/>
        <v>0</v>
      </c>
      <c r="T407" s="133">
        <f t="shared" si="238"/>
        <v>0</v>
      </c>
      <c r="U407" s="134">
        <f t="shared" si="214"/>
        <v>0</v>
      </c>
      <c r="V407" s="135"/>
      <c r="W407" s="136"/>
      <c r="X407" s="2"/>
      <c r="Y407" s="111"/>
      <c r="Z407" s="3"/>
    </row>
    <row r="408" ht="14.25" hidden="1" customHeight="1" outlineLevel="2">
      <c r="A408" s="124"/>
      <c r="B408" s="125" t="s">
        <v>849</v>
      </c>
      <c r="C408" s="126" t="s">
        <v>850</v>
      </c>
      <c r="D408" s="127" t="s">
        <v>142</v>
      </c>
      <c r="E408" s="35"/>
      <c r="F408" s="128"/>
      <c r="G408" s="128"/>
      <c r="H408" s="128"/>
      <c r="I408" s="127">
        <f t="shared" si="231"/>
        <v>0</v>
      </c>
      <c r="J408" s="88"/>
      <c r="K408" s="129">
        <f t="shared" si="232"/>
        <v>150</v>
      </c>
      <c r="L408" s="130">
        <v>0.6</v>
      </c>
      <c r="M408" s="129">
        <f t="shared" si="233"/>
        <v>100</v>
      </c>
      <c r="N408" s="130">
        <f t="shared" si="234"/>
        <v>0.4</v>
      </c>
      <c r="O408" s="131">
        <f t="array" ref="O408">INDEX('LPU Regionalizada'!$B$3:$N$785,MATCH($B408,'LPU Regionalizada'!$B$3:$B$785,0),MATCH(INDEX(CTRL!$F$3:$F$29,CTRL!$E$1),'LPU Regionalizada'!$B$3:$N$3,0))</f>
        <v>250</v>
      </c>
      <c r="P408" s="88"/>
      <c r="Q408" s="132">
        <f t="shared" si="235"/>
        <v>0</v>
      </c>
      <c r="R408" s="132">
        <f t="shared" si="236"/>
        <v>0</v>
      </c>
      <c r="S408" s="132">
        <f t="shared" si="237"/>
        <v>0</v>
      </c>
      <c r="T408" s="133">
        <f t="shared" si="238"/>
        <v>0</v>
      </c>
      <c r="U408" s="134">
        <f t="shared" si="214"/>
        <v>0</v>
      </c>
      <c r="V408" s="135"/>
      <c r="W408" s="136"/>
      <c r="X408" s="2"/>
      <c r="Y408" s="111"/>
      <c r="Z408" s="3"/>
    </row>
    <row r="409" ht="14.25" hidden="1" customHeight="1" outlineLevel="1">
      <c r="A409" s="112"/>
      <c r="B409" s="113" t="s">
        <v>851</v>
      </c>
      <c r="C409" s="114" t="s">
        <v>852</v>
      </c>
      <c r="D409" s="115"/>
      <c r="E409" s="35"/>
      <c r="F409" s="113"/>
      <c r="G409" s="116"/>
      <c r="H409" s="116"/>
      <c r="I409" s="115"/>
      <c r="J409" s="88"/>
      <c r="K409" s="117"/>
      <c r="L409" s="118"/>
      <c r="M409" s="118"/>
      <c r="N409" s="118"/>
      <c r="O409" s="119"/>
      <c r="P409" s="88"/>
      <c r="Q409" s="120"/>
      <c r="R409" s="120"/>
      <c r="S409" s="120"/>
      <c r="T409" s="120">
        <f>SUM(T410:T418)</f>
        <v>0</v>
      </c>
      <c r="U409" s="121">
        <f t="shared" si="214"/>
        <v>0</v>
      </c>
      <c r="V409" s="122"/>
      <c r="W409" s="123"/>
      <c r="X409" s="2"/>
      <c r="Y409" s="111"/>
      <c r="Z409" s="3"/>
    </row>
    <row r="410" ht="14.25" hidden="1" customHeight="1" outlineLevel="2">
      <c r="A410" s="124"/>
      <c r="B410" s="125" t="s">
        <v>853</v>
      </c>
      <c r="C410" s="126" t="s">
        <v>854</v>
      </c>
      <c r="D410" s="127" t="s">
        <v>180</v>
      </c>
      <c r="E410" s="35"/>
      <c r="F410" s="128"/>
      <c r="G410" s="128"/>
      <c r="H410" s="128"/>
      <c r="I410" s="127">
        <f t="shared" ref="I410:I418" si="239">F410+G410+H410</f>
        <v>0</v>
      </c>
      <c r="J410" s="88"/>
      <c r="K410" s="129">
        <f t="shared" ref="K410:K418" si="240">L410*O410</f>
        <v>28.93568</v>
      </c>
      <c r="L410" s="130">
        <v>0.6</v>
      </c>
      <c r="M410" s="129">
        <f t="shared" ref="M410:M418" si="241">N410*O410</f>
        <v>19.29045333</v>
      </c>
      <c r="N410" s="130">
        <f t="shared" ref="N410:N418" si="242">100%-L410</f>
        <v>0.4</v>
      </c>
      <c r="O410" s="131">
        <f t="array" ref="O410">INDEX('LPU Regionalizada'!$B$3:$N$785,MATCH($B410,'LPU Regionalizada'!$B$3:$B$785,0),MATCH(INDEX(CTRL!$F$3:$F$29,CTRL!$E$1),'LPU Regionalizada'!$B$3:$N$3,0))</f>
        <v>48.22613333</v>
      </c>
      <c r="P410" s="88"/>
      <c r="Q410" s="132">
        <f t="shared" ref="Q410:Q418" si="243">F410*O410</f>
        <v>0</v>
      </c>
      <c r="R410" s="132">
        <f t="shared" ref="R410:R418" si="244">G410*O410</f>
        <v>0</v>
      </c>
      <c r="S410" s="132">
        <f t="shared" ref="S410:S418" si="245">H410*O410</f>
        <v>0</v>
      </c>
      <c r="T410" s="133">
        <f t="shared" ref="T410:T418" si="246">SUM(Q410:S410)</f>
        <v>0</v>
      </c>
      <c r="U410" s="134">
        <f t="shared" si="214"/>
        <v>0</v>
      </c>
      <c r="V410" s="135"/>
      <c r="W410" s="136"/>
      <c r="X410" s="2"/>
      <c r="Y410" s="111"/>
      <c r="Z410" s="3"/>
    </row>
    <row r="411" ht="14.25" hidden="1" customHeight="1" outlineLevel="2">
      <c r="A411" s="124"/>
      <c r="B411" s="125" t="s">
        <v>855</v>
      </c>
      <c r="C411" s="126" t="s">
        <v>856</v>
      </c>
      <c r="D411" s="127" t="s">
        <v>180</v>
      </c>
      <c r="E411" s="35"/>
      <c r="F411" s="128"/>
      <c r="G411" s="128"/>
      <c r="H411" s="128"/>
      <c r="I411" s="127">
        <f t="shared" si="239"/>
        <v>0</v>
      </c>
      <c r="J411" s="88"/>
      <c r="K411" s="129">
        <f t="shared" si="240"/>
        <v>21</v>
      </c>
      <c r="L411" s="130">
        <v>0.6</v>
      </c>
      <c r="M411" s="129">
        <f t="shared" si="241"/>
        <v>14</v>
      </c>
      <c r="N411" s="130">
        <f t="shared" si="242"/>
        <v>0.4</v>
      </c>
      <c r="O411" s="131">
        <f t="array" ref="O411">INDEX('LPU Regionalizada'!$B$3:$N$785,MATCH($B411,'LPU Regionalizada'!$B$3:$B$785,0),MATCH(INDEX(CTRL!$F$3:$F$29,CTRL!$E$1),'LPU Regionalizada'!$B$3:$N$3,0))</f>
        <v>35</v>
      </c>
      <c r="P411" s="88"/>
      <c r="Q411" s="132">
        <f t="shared" si="243"/>
        <v>0</v>
      </c>
      <c r="R411" s="132">
        <f t="shared" si="244"/>
        <v>0</v>
      </c>
      <c r="S411" s="132">
        <f t="shared" si="245"/>
        <v>0</v>
      </c>
      <c r="T411" s="133">
        <f t="shared" si="246"/>
        <v>0</v>
      </c>
      <c r="U411" s="134">
        <f t="shared" si="214"/>
        <v>0</v>
      </c>
      <c r="V411" s="135"/>
      <c r="W411" s="136"/>
      <c r="X411" s="2"/>
      <c r="Y411" s="111"/>
      <c r="Z411" s="3"/>
    </row>
    <row r="412" ht="14.25" hidden="1" customHeight="1" outlineLevel="2">
      <c r="A412" s="124"/>
      <c r="B412" s="125" t="s">
        <v>857</v>
      </c>
      <c r="C412" s="126" t="s">
        <v>858</v>
      </c>
      <c r="D412" s="127" t="s">
        <v>180</v>
      </c>
      <c r="E412" s="35"/>
      <c r="F412" s="128"/>
      <c r="G412" s="128"/>
      <c r="H412" s="128"/>
      <c r="I412" s="127">
        <f t="shared" si="239"/>
        <v>0</v>
      </c>
      <c r="J412" s="88"/>
      <c r="K412" s="129">
        <f t="shared" si="240"/>
        <v>42.15372</v>
      </c>
      <c r="L412" s="130">
        <v>0.6</v>
      </c>
      <c r="M412" s="129">
        <f t="shared" si="241"/>
        <v>28.10248</v>
      </c>
      <c r="N412" s="130">
        <f t="shared" si="242"/>
        <v>0.4</v>
      </c>
      <c r="O412" s="131">
        <f t="array" ref="O412">INDEX('LPU Regionalizada'!$B$3:$N$785,MATCH($B412,'LPU Regionalizada'!$B$3:$B$785,0),MATCH(INDEX(CTRL!$F$3:$F$29,CTRL!$E$1),'LPU Regionalizada'!$B$3:$N$3,0))</f>
        <v>70.2562</v>
      </c>
      <c r="P412" s="88"/>
      <c r="Q412" s="132">
        <f t="shared" si="243"/>
        <v>0</v>
      </c>
      <c r="R412" s="132">
        <f t="shared" si="244"/>
        <v>0</v>
      </c>
      <c r="S412" s="132">
        <f t="shared" si="245"/>
        <v>0</v>
      </c>
      <c r="T412" s="133">
        <f t="shared" si="246"/>
        <v>0</v>
      </c>
      <c r="U412" s="134">
        <f t="shared" si="214"/>
        <v>0</v>
      </c>
      <c r="V412" s="135"/>
      <c r="W412" s="136"/>
      <c r="X412" s="2"/>
      <c r="Y412" s="111"/>
      <c r="Z412" s="3"/>
    </row>
    <row r="413" ht="14.25" hidden="1" customHeight="1" outlineLevel="2">
      <c r="A413" s="124"/>
      <c r="B413" s="125" t="s">
        <v>859</v>
      </c>
      <c r="C413" s="126" t="s">
        <v>860</v>
      </c>
      <c r="D413" s="127" t="s">
        <v>180</v>
      </c>
      <c r="E413" s="35"/>
      <c r="F413" s="128"/>
      <c r="G413" s="128"/>
      <c r="H413" s="128"/>
      <c r="I413" s="127">
        <f t="shared" si="239"/>
        <v>0</v>
      </c>
      <c r="J413" s="88"/>
      <c r="K413" s="129">
        <f t="shared" si="240"/>
        <v>54.2136</v>
      </c>
      <c r="L413" s="130">
        <v>0.6</v>
      </c>
      <c r="M413" s="129">
        <f t="shared" si="241"/>
        <v>36.1424</v>
      </c>
      <c r="N413" s="130">
        <f t="shared" si="242"/>
        <v>0.4</v>
      </c>
      <c r="O413" s="131">
        <f t="array" ref="O413">INDEX('LPU Regionalizada'!$B$3:$N$785,MATCH($B413,'LPU Regionalizada'!$B$3:$B$785,0),MATCH(INDEX(CTRL!$F$3:$F$29,CTRL!$E$1),'LPU Regionalizada'!$B$3:$N$3,0))</f>
        <v>90.356</v>
      </c>
      <c r="P413" s="88"/>
      <c r="Q413" s="132">
        <f t="shared" si="243"/>
        <v>0</v>
      </c>
      <c r="R413" s="132">
        <f t="shared" si="244"/>
        <v>0</v>
      </c>
      <c r="S413" s="132">
        <f t="shared" si="245"/>
        <v>0</v>
      </c>
      <c r="T413" s="133">
        <f t="shared" si="246"/>
        <v>0</v>
      </c>
      <c r="U413" s="134">
        <f t="shared" si="214"/>
        <v>0</v>
      </c>
      <c r="V413" s="135"/>
      <c r="W413" s="136"/>
      <c r="X413" s="2"/>
      <c r="Y413" s="111"/>
      <c r="Z413" s="3"/>
    </row>
    <row r="414" ht="14.25" hidden="1" customHeight="1" outlineLevel="2">
      <c r="A414" s="124"/>
      <c r="B414" s="125" t="s">
        <v>861</v>
      </c>
      <c r="C414" s="126" t="s">
        <v>862</v>
      </c>
      <c r="D414" s="127" t="s">
        <v>180</v>
      </c>
      <c r="E414" s="35"/>
      <c r="F414" s="128"/>
      <c r="G414" s="128"/>
      <c r="H414" s="128"/>
      <c r="I414" s="127">
        <f t="shared" si="239"/>
        <v>0</v>
      </c>
      <c r="J414" s="88"/>
      <c r="K414" s="129">
        <f t="shared" si="240"/>
        <v>77.16912</v>
      </c>
      <c r="L414" s="130">
        <v>0.6</v>
      </c>
      <c r="M414" s="129">
        <f t="shared" si="241"/>
        <v>51.44608</v>
      </c>
      <c r="N414" s="130">
        <f t="shared" si="242"/>
        <v>0.4</v>
      </c>
      <c r="O414" s="131">
        <f t="array" ref="O414">INDEX('LPU Regionalizada'!$B$3:$N$785,MATCH($B414,'LPU Regionalizada'!$B$3:$B$785,0),MATCH(INDEX(CTRL!$F$3:$F$29,CTRL!$E$1),'LPU Regionalizada'!$B$3:$N$3,0))</f>
        <v>128.6152</v>
      </c>
      <c r="P414" s="88"/>
      <c r="Q414" s="132">
        <f t="shared" si="243"/>
        <v>0</v>
      </c>
      <c r="R414" s="132">
        <f t="shared" si="244"/>
        <v>0</v>
      </c>
      <c r="S414" s="132">
        <f t="shared" si="245"/>
        <v>0</v>
      </c>
      <c r="T414" s="133">
        <f t="shared" si="246"/>
        <v>0</v>
      </c>
      <c r="U414" s="134">
        <f t="shared" si="214"/>
        <v>0</v>
      </c>
      <c r="V414" s="135"/>
      <c r="W414" s="136"/>
      <c r="X414" s="2"/>
      <c r="Y414" s="111"/>
      <c r="Z414" s="3"/>
    </row>
    <row r="415" ht="14.25" hidden="1" customHeight="1" outlineLevel="2">
      <c r="A415" s="124"/>
      <c r="B415" s="125" t="s">
        <v>863</v>
      </c>
      <c r="C415" s="126" t="s">
        <v>864</v>
      </c>
      <c r="D415" s="127" t="s">
        <v>180</v>
      </c>
      <c r="E415" s="35"/>
      <c r="F415" s="128"/>
      <c r="G415" s="128"/>
      <c r="H415" s="128"/>
      <c r="I415" s="127">
        <f t="shared" si="239"/>
        <v>0</v>
      </c>
      <c r="J415" s="88"/>
      <c r="K415" s="129">
        <f t="shared" si="240"/>
        <v>85.54812</v>
      </c>
      <c r="L415" s="130">
        <v>0.6</v>
      </c>
      <c r="M415" s="129">
        <f t="shared" si="241"/>
        <v>57.03208</v>
      </c>
      <c r="N415" s="130">
        <f t="shared" si="242"/>
        <v>0.4</v>
      </c>
      <c r="O415" s="131">
        <f t="array" ref="O415">INDEX('LPU Regionalizada'!$B$3:$N$785,MATCH($B415,'LPU Regionalizada'!$B$3:$B$785,0),MATCH(INDEX(CTRL!$F$3:$F$29,CTRL!$E$1),'LPU Regionalizada'!$B$3:$N$3,0))</f>
        <v>142.5802</v>
      </c>
      <c r="P415" s="88"/>
      <c r="Q415" s="132">
        <f t="shared" si="243"/>
        <v>0</v>
      </c>
      <c r="R415" s="132">
        <f t="shared" si="244"/>
        <v>0</v>
      </c>
      <c r="S415" s="132">
        <f t="shared" si="245"/>
        <v>0</v>
      </c>
      <c r="T415" s="133">
        <f t="shared" si="246"/>
        <v>0</v>
      </c>
      <c r="U415" s="134">
        <f t="shared" si="214"/>
        <v>0</v>
      </c>
      <c r="V415" s="135"/>
      <c r="W415" s="136"/>
      <c r="X415" s="2"/>
      <c r="Y415" s="111"/>
      <c r="Z415" s="3"/>
    </row>
    <row r="416" ht="14.25" hidden="1" customHeight="1" outlineLevel="2">
      <c r="A416" s="124"/>
      <c r="B416" s="125" t="s">
        <v>865</v>
      </c>
      <c r="C416" s="126" t="s">
        <v>866</v>
      </c>
      <c r="D416" s="127" t="s">
        <v>180</v>
      </c>
      <c r="E416" s="35"/>
      <c r="F416" s="128"/>
      <c r="G416" s="128"/>
      <c r="H416" s="128"/>
      <c r="I416" s="127">
        <f t="shared" si="239"/>
        <v>0</v>
      </c>
      <c r="J416" s="88"/>
      <c r="K416" s="129">
        <f t="shared" si="240"/>
        <v>102.03564</v>
      </c>
      <c r="L416" s="130">
        <v>0.6</v>
      </c>
      <c r="M416" s="129">
        <f t="shared" si="241"/>
        <v>68.02376</v>
      </c>
      <c r="N416" s="130">
        <f t="shared" si="242"/>
        <v>0.4</v>
      </c>
      <c r="O416" s="131">
        <f t="array" ref="O416">INDEX('LPU Regionalizada'!$B$3:$N$785,MATCH($B416,'LPU Regionalizada'!$B$3:$B$785,0),MATCH(INDEX(CTRL!$F$3:$F$29,CTRL!$E$1),'LPU Regionalizada'!$B$3:$N$3,0))</f>
        <v>170.0594</v>
      </c>
      <c r="P416" s="88"/>
      <c r="Q416" s="132">
        <f t="shared" si="243"/>
        <v>0</v>
      </c>
      <c r="R416" s="132">
        <f t="shared" si="244"/>
        <v>0</v>
      </c>
      <c r="S416" s="132">
        <f t="shared" si="245"/>
        <v>0</v>
      </c>
      <c r="T416" s="133">
        <f t="shared" si="246"/>
        <v>0</v>
      </c>
      <c r="U416" s="134">
        <f t="shared" si="214"/>
        <v>0</v>
      </c>
      <c r="V416" s="135"/>
      <c r="W416" s="136"/>
      <c r="X416" s="2"/>
      <c r="Y416" s="111"/>
      <c r="Z416" s="3"/>
    </row>
    <row r="417" ht="14.25" hidden="1" customHeight="1" outlineLevel="2">
      <c r="A417" s="124"/>
      <c r="B417" s="125" t="s">
        <v>867</v>
      </c>
      <c r="C417" s="126" t="s">
        <v>868</v>
      </c>
      <c r="D417" s="127" t="s">
        <v>180</v>
      </c>
      <c r="E417" s="35"/>
      <c r="F417" s="128"/>
      <c r="G417" s="128"/>
      <c r="H417" s="128"/>
      <c r="I417" s="127">
        <f t="shared" si="239"/>
        <v>0</v>
      </c>
      <c r="J417" s="88"/>
      <c r="K417" s="129">
        <f t="shared" si="240"/>
        <v>35.35415385</v>
      </c>
      <c r="L417" s="130">
        <v>0.6</v>
      </c>
      <c r="M417" s="129">
        <f t="shared" si="241"/>
        <v>23.5694359</v>
      </c>
      <c r="N417" s="130">
        <f t="shared" si="242"/>
        <v>0.4</v>
      </c>
      <c r="O417" s="131">
        <f t="array" ref="O417">INDEX('LPU Regionalizada'!$B$3:$N$785,MATCH($B417,'LPU Regionalizada'!$B$3:$B$785,0),MATCH(INDEX(CTRL!$F$3:$F$29,CTRL!$E$1),'LPU Regionalizada'!$B$3:$N$3,0))</f>
        <v>58.92358974</v>
      </c>
      <c r="P417" s="88"/>
      <c r="Q417" s="132">
        <f t="shared" si="243"/>
        <v>0</v>
      </c>
      <c r="R417" s="132">
        <f t="shared" si="244"/>
        <v>0</v>
      </c>
      <c r="S417" s="132">
        <f t="shared" si="245"/>
        <v>0</v>
      </c>
      <c r="T417" s="133">
        <f t="shared" si="246"/>
        <v>0</v>
      </c>
      <c r="U417" s="134">
        <f t="shared" si="214"/>
        <v>0</v>
      </c>
      <c r="V417" s="135"/>
      <c r="W417" s="136"/>
      <c r="X417" s="2"/>
      <c r="Y417" s="111"/>
      <c r="Z417" s="3"/>
    </row>
    <row r="418" ht="14.25" hidden="1" customHeight="1" outlineLevel="2">
      <c r="A418" s="124"/>
      <c r="B418" s="125" t="s">
        <v>869</v>
      </c>
      <c r="C418" s="126" t="s">
        <v>870</v>
      </c>
      <c r="D418" s="127" t="s">
        <v>180</v>
      </c>
      <c r="E418" s="35"/>
      <c r="F418" s="128"/>
      <c r="G418" s="128"/>
      <c r="H418" s="128"/>
      <c r="I418" s="127">
        <f t="shared" si="239"/>
        <v>0</v>
      </c>
      <c r="J418" s="88"/>
      <c r="K418" s="129">
        <f t="shared" si="240"/>
        <v>18.912</v>
      </c>
      <c r="L418" s="130">
        <v>0.6</v>
      </c>
      <c r="M418" s="129">
        <f t="shared" si="241"/>
        <v>12.608</v>
      </c>
      <c r="N418" s="130">
        <f t="shared" si="242"/>
        <v>0.4</v>
      </c>
      <c r="O418" s="131">
        <f t="array" ref="O418">INDEX('LPU Regionalizada'!$B$3:$N$785,MATCH($B418,'LPU Regionalizada'!$B$3:$B$785,0),MATCH(INDEX(CTRL!$F$3:$F$29,CTRL!$E$1),'LPU Regionalizada'!$B$3:$N$3,0))</f>
        <v>31.52</v>
      </c>
      <c r="P418" s="88"/>
      <c r="Q418" s="132">
        <f t="shared" si="243"/>
        <v>0</v>
      </c>
      <c r="R418" s="132">
        <f t="shared" si="244"/>
        <v>0</v>
      </c>
      <c r="S418" s="132">
        <f t="shared" si="245"/>
        <v>0</v>
      </c>
      <c r="T418" s="133">
        <f t="shared" si="246"/>
        <v>0</v>
      </c>
      <c r="U418" s="134">
        <f t="shared" si="214"/>
        <v>0</v>
      </c>
      <c r="V418" s="135"/>
      <c r="W418" s="136"/>
      <c r="X418" s="2"/>
      <c r="Y418" s="111"/>
      <c r="Z418" s="3"/>
    </row>
    <row r="419" ht="14.25" hidden="1" customHeight="1" outlineLevel="1">
      <c r="A419" s="112"/>
      <c r="B419" s="113" t="s">
        <v>871</v>
      </c>
      <c r="C419" s="114" t="s">
        <v>872</v>
      </c>
      <c r="D419" s="115"/>
      <c r="E419" s="35"/>
      <c r="F419" s="113"/>
      <c r="G419" s="116"/>
      <c r="H419" s="116"/>
      <c r="I419" s="115"/>
      <c r="J419" s="88"/>
      <c r="K419" s="117"/>
      <c r="L419" s="118"/>
      <c r="M419" s="118"/>
      <c r="N419" s="118"/>
      <c r="O419" s="119"/>
      <c r="P419" s="88"/>
      <c r="Q419" s="120"/>
      <c r="R419" s="120"/>
      <c r="S419" s="120"/>
      <c r="T419" s="120">
        <f>SUM(T420:T436)</f>
        <v>0</v>
      </c>
      <c r="U419" s="121">
        <f t="shared" si="214"/>
        <v>0</v>
      </c>
      <c r="V419" s="122"/>
      <c r="W419" s="123"/>
      <c r="X419" s="2"/>
      <c r="Y419" s="111"/>
      <c r="Z419" s="3"/>
    </row>
    <row r="420" ht="14.25" hidden="1" customHeight="1" outlineLevel="2">
      <c r="A420" s="124"/>
      <c r="B420" s="125" t="s">
        <v>873</v>
      </c>
      <c r="C420" s="126" t="s">
        <v>874</v>
      </c>
      <c r="D420" s="127" t="s">
        <v>180</v>
      </c>
      <c r="E420" s="35"/>
      <c r="F420" s="128"/>
      <c r="G420" s="128"/>
      <c r="H420" s="128"/>
      <c r="I420" s="127">
        <f t="shared" ref="I420:I436" si="247">F420+G420+H420</f>
        <v>0</v>
      </c>
      <c r="J420" s="88"/>
      <c r="K420" s="129">
        <f t="shared" ref="K420:K436" si="248">L420*O420</f>
        <v>5.825750028</v>
      </c>
      <c r="L420" s="130">
        <v>0.6</v>
      </c>
      <c r="M420" s="129">
        <f t="shared" ref="M420:M436" si="249">N420*O420</f>
        <v>3.883833352</v>
      </c>
      <c r="N420" s="130">
        <f t="shared" ref="N420:N436" si="250">100%-L420</f>
        <v>0.4</v>
      </c>
      <c r="O420" s="131">
        <f t="array" ref="O420">INDEX('LPU Regionalizada'!$B$3:$N$785,MATCH($B420,'LPU Regionalizada'!$B$3:$B$785,0),MATCH(INDEX(CTRL!$F$3:$F$29,CTRL!$E$1),'LPU Regionalizada'!$B$3:$N$3,0))</f>
        <v>9.70958338</v>
      </c>
      <c r="P420" s="88"/>
      <c r="Q420" s="132">
        <f t="shared" ref="Q420:Q436" si="251">F420*O420</f>
        <v>0</v>
      </c>
      <c r="R420" s="132">
        <f t="shared" ref="R420:R436" si="252">G420*O420</f>
        <v>0</v>
      </c>
      <c r="S420" s="132">
        <f t="shared" ref="S420:S436" si="253">H420*O420</f>
        <v>0</v>
      </c>
      <c r="T420" s="133">
        <f t="shared" ref="T420:T436" si="254">SUM(Q420:S420)</f>
        <v>0</v>
      </c>
      <c r="U420" s="134">
        <f t="shared" si="214"/>
        <v>0</v>
      </c>
      <c r="V420" s="135"/>
      <c r="W420" s="136"/>
      <c r="X420" s="2"/>
      <c r="Y420" s="111"/>
      <c r="Z420" s="3"/>
    </row>
    <row r="421" ht="14.25" hidden="1" customHeight="1" outlineLevel="2">
      <c r="A421" s="124"/>
      <c r="B421" s="125" t="s">
        <v>875</v>
      </c>
      <c r="C421" s="126" t="s">
        <v>876</v>
      </c>
      <c r="D421" s="127" t="s">
        <v>180</v>
      </c>
      <c r="E421" s="35"/>
      <c r="F421" s="128"/>
      <c r="G421" s="128"/>
      <c r="H421" s="128"/>
      <c r="I421" s="127">
        <f t="shared" si="247"/>
        <v>0</v>
      </c>
      <c r="J421" s="88"/>
      <c r="K421" s="129">
        <f t="shared" si="248"/>
        <v>9.550129414</v>
      </c>
      <c r="L421" s="130">
        <v>0.6</v>
      </c>
      <c r="M421" s="129">
        <f t="shared" si="249"/>
        <v>6.366752943</v>
      </c>
      <c r="N421" s="130">
        <f t="shared" si="250"/>
        <v>0.4</v>
      </c>
      <c r="O421" s="131">
        <f t="array" ref="O421">INDEX('LPU Regionalizada'!$B$3:$N$785,MATCH($B421,'LPU Regionalizada'!$B$3:$B$785,0),MATCH(INDEX(CTRL!$F$3:$F$29,CTRL!$E$1),'LPU Regionalizada'!$B$3:$N$3,0))</f>
        <v>15.91688236</v>
      </c>
      <c r="P421" s="88"/>
      <c r="Q421" s="132">
        <f t="shared" si="251"/>
        <v>0</v>
      </c>
      <c r="R421" s="132">
        <f t="shared" si="252"/>
        <v>0</v>
      </c>
      <c r="S421" s="132">
        <f t="shared" si="253"/>
        <v>0</v>
      </c>
      <c r="T421" s="133">
        <f t="shared" si="254"/>
        <v>0</v>
      </c>
      <c r="U421" s="134">
        <f t="shared" si="214"/>
        <v>0</v>
      </c>
      <c r="V421" s="135"/>
      <c r="W421" s="136"/>
      <c r="X421" s="2"/>
      <c r="Y421" s="111"/>
      <c r="Z421" s="3"/>
    </row>
    <row r="422" ht="14.25" hidden="1" customHeight="1" outlineLevel="2">
      <c r="A422" s="124"/>
      <c r="B422" s="125" t="s">
        <v>877</v>
      </c>
      <c r="C422" s="126" t="s">
        <v>878</v>
      </c>
      <c r="D422" s="127" t="s">
        <v>180</v>
      </c>
      <c r="E422" s="35"/>
      <c r="F422" s="128"/>
      <c r="G422" s="128"/>
      <c r="H422" s="128"/>
      <c r="I422" s="127">
        <f t="shared" si="247"/>
        <v>0</v>
      </c>
      <c r="J422" s="88"/>
      <c r="K422" s="129">
        <f t="shared" si="248"/>
        <v>14.21190848</v>
      </c>
      <c r="L422" s="130">
        <v>0.6</v>
      </c>
      <c r="M422" s="129">
        <f t="shared" si="249"/>
        <v>9.474605655</v>
      </c>
      <c r="N422" s="130">
        <f t="shared" si="250"/>
        <v>0.4</v>
      </c>
      <c r="O422" s="131">
        <f t="array" ref="O422">INDEX('LPU Regionalizada'!$B$3:$N$785,MATCH($B422,'LPU Regionalizada'!$B$3:$B$785,0),MATCH(INDEX(CTRL!$F$3:$F$29,CTRL!$E$1),'LPU Regionalizada'!$B$3:$N$3,0))</f>
        <v>23.68651414</v>
      </c>
      <c r="P422" s="88"/>
      <c r="Q422" s="132">
        <f t="shared" si="251"/>
        <v>0</v>
      </c>
      <c r="R422" s="132">
        <f t="shared" si="252"/>
        <v>0</v>
      </c>
      <c r="S422" s="132">
        <f t="shared" si="253"/>
        <v>0</v>
      </c>
      <c r="T422" s="133">
        <f t="shared" si="254"/>
        <v>0</v>
      </c>
      <c r="U422" s="134">
        <f t="shared" si="214"/>
        <v>0</v>
      </c>
      <c r="V422" s="135"/>
      <c r="W422" s="136"/>
      <c r="X422" s="2"/>
      <c r="Y422" s="111"/>
      <c r="Z422" s="3"/>
    </row>
    <row r="423" ht="14.25" hidden="1" customHeight="1" outlineLevel="2">
      <c r="A423" s="124"/>
      <c r="B423" s="125" t="s">
        <v>879</v>
      </c>
      <c r="C423" s="126" t="s">
        <v>880</v>
      </c>
      <c r="D423" s="127" t="s">
        <v>180</v>
      </c>
      <c r="E423" s="35"/>
      <c r="F423" s="128"/>
      <c r="G423" s="128"/>
      <c r="H423" s="128"/>
      <c r="I423" s="127">
        <f t="shared" si="247"/>
        <v>0</v>
      </c>
      <c r="J423" s="88"/>
      <c r="K423" s="129">
        <f t="shared" si="248"/>
        <v>19.2894143</v>
      </c>
      <c r="L423" s="130">
        <v>0.6</v>
      </c>
      <c r="M423" s="129">
        <f t="shared" si="249"/>
        <v>12.85960953</v>
      </c>
      <c r="N423" s="130">
        <f t="shared" si="250"/>
        <v>0.4</v>
      </c>
      <c r="O423" s="131">
        <f t="array" ref="O423">INDEX('LPU Regionalizada'!$B$3:$N$785,MATCH($B423,'LPU Regionalizada'!$B$3:$B$785,0),MATCH(INDEX(CTRL!$F$3:$F$29,CTRL!$E$1),'LPU Regionalizada'!$B$3:$N$3,0))</f>
        <v>32.14902384</v>
      </c>
      <c r="P423" s="88"/>
      <c r="Q423" s="132">
        <f t="shared" si="251"/>
        <v>0</v>
      </c>
      <c r="R423" s="132">
        <f t="shared" si="252"/>
        <v>0</v>
      </c>
      <c r="S423" s="132">
        <f t="shared" si="253"/>
        <v>0</v>
      </c>
      <c r="T423" s="133">
        <f t="shared" si="254"/>
        <v>0</v>
      </c>
      <c r="U423" s="134">
        <f t="shared" si="214"/>
        <v>0</v>
      </c>
      <c r="V423" s="135"/>
      <c r="W423" s="136"/>
      <c r="X423" s="2"/>
      <c r="Y423" s="111"/>
      <c r="Z423" s="3"/>
    </row>
    <row r="424" ht="14.25" hidden="1" customHeight="1" outlineLevel="2">
      <c r="A424" s="124"/>
      <c r="B424" s="125" t="s">
        <v>881</v>
      </c>
      <c r="C424" s="126" t="s">
        <v>882</v>
      </c>
      <c r="D424" s="127" t="s">
        <v>180</v>
      </c>
      <c r="E424" s="35"/>
      <c r="F424" s="128"/>
      <c r="G424" s="128"/>
      <c r="H424" s="128"/>
      <c r="I424" s="127">
        <f t="shared" si="247"/>
        <v>0</v>
      </c>
      <c r="J424" s="88"/>
      <c r="K424" s="129">
        <f t="shared" si="248"/>
        <v>26.28117683</v>
      </c>
      <c r="L424" s="130">
        <v>0.6</v>
      </c>
      <c r="M424" s="129">
        <f t="shared" si="249"/>
        <v>17.52078455</v>
      </c>
      <c r="N424" s="130">
        <f t="shared" si="250"/>
        <v>0.4</v>
      </c>
      <c r="O424" s="131">
        <f t="array" ref="O424">INDEX('LPU Regionalizada'!$B$3:$N$785,MATCH($B424,'LPU Regionalizada'!$B$3:$B$785,0),MATCH(INDEX(CTRL!$F$3:$F$29,CTRL!$E$1),'LPU Regionalizada'!$B$3:$N$3,0))</f>
        <v>43.80196139</v>
      </c>
      <c r="P424" s="88"/>
      <c r="Q424" s="132">
        <f t="shared" si="251"/>
        <v>0</v>
      </c>
      <c r="R424" s="132">
        <f t="shared" si="252"/>
        <v>0</v>
      </c>
      <c r="S424" s="132">
        <f t="shared" si="253"/>
        <v>0</v>
      </c>
      <c r="T424" s="133">
        <f t="shared" si="254"/>
        <v>0</v>
      </c>
      <c r="U424" s="134">
        <f t="shared" si="214"/>
        <v>0</v>
      </c>
      <c r="V424" s="135"/>
      <c r="W424" s="136"/>
      <c r="X424" s="2"/>
      <c r="Y424" s="111"/>
      <c r="Z424" s="3"/>
    </row>
    <row r="425" ht="14.25" hidden="1" customHeight="1" outlineLevel="2">
      <c r="A425" s="124"/>
      <c r="B425" s="125" t="s">
        <v>883</v>
      </c>
      <c r="C425" s="126" t="s">
        <v>884</v>
      </c>
      <c r="D425" s="127" t="s">
        <v>180</v>
      </c>
      <c r="E425" s="35"/>
      <c r="F425" s="128"/>
      <c r="G425" s="128"/>
      <c r="H425" s="128"/>
      <c r="I425" s="127">
        <f t="shared" si="247"/>
        <v>0</v>
      </c>
      <c r="J425" s="88"/>
      <c r="K425" s="129">
        <f t="shared" si="248"/>
        <v>37.19908892</v>
      </c>
      <c r="L425" s="130">
        <v>0.6</v>
      </c>
      <c r="M425" s="129">
        <f t="shared" si="249"/>
        <v>24.79939262</v>
      </c>
      <c r="N425" s="130">
        <f t="shared" si="250"/>
        <v>0.4</v>
      </c>
      <c r="O425" s="131">
        <f t="array" ref="O425">INDEX('LPU Regionalizada'!$B$3:$N$785,MATCH($B425,'LPU Regionalizada'!$B$3:$B$785,0),MATCH(INDEX(CTRL!$F$3:$F$29,CTRL!$E$1),'LPU Regionalizada'!$B$3:$N$3,0))</f>
        <v>61.99848154</v>
      </c>
      <c r="P425" s="88"/>
      <c r="Q425" s="132">
        <f t="shared" si="251"/>
        <v>0</v>
      </c>
      <c r="R425" s="132">
        <f t="shared" si="252"/>
        <v>0</v>
      </c>
      <c r="S425" s="132">
        <f t="shared" si="253"/>
        <v>0</v>
      </c>
      <c r="T425" s="133">
        <f t="shared" si="254"/>
        <v>0</v>
      </c>
      <c r="U425" s="134">
        <f t="shared" si="214"/>
        <v>0</v>
      </c>
      <c r="V425" s="135"/>
      <c r="W425" s="136"/>
      <c r="X425" s="2"/>
      <c r="Y425" s="111"/>
      <c r="Z425" s="3"/>
    </row>
    <row r="426" ht="14.25" hidden="1" customHeight="1" outlineLevel="2">
      <c r="A426" s="124"/>
      <c r="B426" s="125" t="s">
        <v>885</v>
      </c>
      <c r="C426" s="126" t="s">
        <v>886</v>
      </c>
      <c r="D426" s="127" t="s">
        <v>180</v>
      </c>
      <c r="E426" s="35"/>
      <c r="F426" s="128"/>
      <c r="G426" s="128"/>
      <c r="H426" s="128"/>
      <c r="I426" s="127">
        <f t="shared" si="247"/>
        <v>0</v>
      </c>
      <c r="J426" s="88"/>
      <c r="K426" s="129">
        <f t="shared" si="248"/>
        <v>52.95922599</v>
      </c>
      <c r="L426" s="130">
        <v>0.6</v>
      </c>
      <c r="M426" s="129">
        <f t="shared" si="249"/>
        <v>35.30615066</v>
      </c>
      <c r="N426" s="130">
        <f t="shared" si="250"/>
        <v>0.4</v>
      </c>
      <c r="O426" s="131">
        <f t="array" ref="O426">INDEX('LPU Regionalizada'!$B$3:$N$785,MATCH($B426,'LPU Regionalizada'!$B$3:$B$785,0),MATCH(INDEX(CTRL!$F$3:$F$29,CTRL!$E$1),'LPU Regionalizada'!$B$3:$N$3,0))</f>
        <v>88.26537665</v>
      </c>
      <c r="P426" s="88"/>
      <c r="Q426" s="132">
        <f t="shared" si="251"/>
        <v>0</v>
      </c>
      <c r="R426" s="132">
        <f t="shared" si="252"/>
        <v>0</v>
      </c>
      <c r="S426" s="132">
        <f t="shared" si="253"/>
        <v>0</v>
      </c>
      <c r="T426" s="133">
        <f t="shared" si="254"/>
        <v>0</v>
      </c>
      <c r="U426" s="134">
        <f t="shared" si="214"/>
        <v>0</v>
      </c>
      <c r="V426" s="135"/>
      <c r="W426" s="136"/>
      <c r="X426" s="2"/>
      <c r="Y426" s="111"/>
      <c r="Z426" s="3"/>
    </row>
    <row r="427" ht="14.25" hidden="1" customHeight="1" outlineLevel="2">
      <c r="A427" s="124"/>
      <c r="B427" s="125" t="s">
        <v>887</v>
      </c>
      <c r="C427" s="126" t="s">
        <v>888</v>
      </c>
      <c r="D427" s="127" t="s">
        <v>180</v>
      </c>
      <c r="E427" s="35"/>
      <c r="F427" s="128"/>
      <c r="G427" s="128"/>
      <c r="H427" s="128"/>
      <c r="I427" s="127">
        <f t="shared" si="247"/>
        <v>0</v>
      </c>
      <c r="J427" s="88"/>
      <c r="K427" s="129">
        <f t="shared" si="248"/>
        <v>68.08791975</v>
      </c>
      <c r="L427" s="130">
        <v>0.6</v>
      </c>
      <c r="M427" s="129">
        <f t="shared" si="249"/>
        <v>45.3919465</v>
      </c>
      <c r="N427" s="130">
        <f t="shared" si="250"/>
        <v>0.4</v>
      </c>
      <c r="O427" s="131">
        <f t="array" ref="O427">INDEX('LPU Regionalizada'!$B$3:$N$785,MATCH($B427,'LPU Regionalizada'!$B$3:$B$785,0),MATCH(INDEX(CTRL!$F$3:$F$29,CTRL!$E$1),'LPU Regionalizada'!$B$3:$N$3,0))</f>
        <v>113.4798663</v>
      </c>
      <c r="P427" s="88"/>
      <c r="Q427" s="132">
        <f t="shared" si="251"/>
        <v>0</v>
      </c>
      <c r="R427" s="132">
        <f t="shared" si="252"/>
        <v>0</v>
      </c>
      <c r="S427" s="132">
        <f t="shared" si="253"/>
        <v>0</v>
      </c>
      <c r="T427" s="133">
        <f t="shared" si="254"/>
        <v>0</v>
      </c>
      <c r="U427" s="134">
        <f t="shared" si="214"/>
        <v>0</v>
      </c>
      <c r="V427" s="135"/>
      <c r="W427" s="136"/>
      <c r="X427" s="2"/>
      <c r="Y427" s="111"/>
      <c r="Z427" s="3"/>
    </row>
    <row r="428" ht="14.25" hidden="1" customHeight="1" outlineLevel="2">
      <c r="A428" s="124"/>
      <c r="B428" s="125" t="s">
        <v>889</v>
      </c>
      <c r="C428" s="126" t="s">
        <v>890</v>
      </c>
      <c r="D428" s="127" t="s">
        <v>180</v>
      </c>
      <c r="E428" s="35"/>
      <c r="F428" s="128"/>
      <c r="G428" s="128"/>
      <c r="H428" s="128"/>
      <c r="I428" s="127">
        <f t="shared" si="247"/>
        <v>0</v>
      </c>
      <c r="J428" s="88"/>
      <c r="K428" s="129">
        <f t="shared" si="248"/>
        <v>109.6371</v>
      </c>
      <c r="L428" s="130">
        <v>0.6</v>
      </c>
      <c r="M428" s="129">
        <f t="shared" si="249"/>
        <v>73.0914</v>
      </c>
      <c r="N428" s="130">
        <f t="shared" si="250"/>
        <v>0.4</v>
      </c>
      <c r="O428" s="131">
        <f t="array" ref="O428">INDEX('LPU Regionalizada'!$B$3:$N$785,MATCH($B428,'LPU Regionalizada'!$B$3:$B$785,0),MATCH(INDEX(CTRL!$F$3:$F$29,CTRL!$E$1),'LPU Regionalizada'!$B$3:$N$3,0))</f>
        <v>182.7285</v>
      </c>
      <c r="P428" s="88"/>
      <c r="Q428" s="132">
        <f t="shared" si="251"/>
        <v>0</v>
      </c>
      <c r="R428" s="132">
        <f t="shared" si="252"/>
        <v>0</v>
      </c>
      <c r="S428" s="132">
        <f t="shared" si="253"/>
        <v>0</v>
      </c>
      <c r="T428" s="133">
        <f t="shared" si="254"/>
        <v>0</v>
      </c>
      <c r="U428" s="134">
        <f t="shared" si="214"/>
        <v>0</v>
      </c>
      <c r="V428" s="135"/>
      <c r="W428" s="136"/>
      <c r="X428" s="2"/>
      <c r="Y428" s="111"/>
      <c r="Z428" s="3"/>
    </row>
    <row r="429" ht="14.25" hidden="1" customHeight="1" outlineLevel="2">
      <c r="A429" s="124"/>
      <c r="B429" s="125" t="s">
        <v>891</v>
      </c>
      <c r="C429" s="126" t="s">
        <v>892</v>
      </c>
      <c r="D429" s="127" t="s">
        <v>180</v>
      </c>
      <c r="E429" s="35"/>
      <c r="F429" s="128"/>
      <c r="G429" s="128"/>
      <c r="H429" s="128"/>
      <c r="I429" s="127">
        <f t="shared" si="247"/>
        <v>0</v>
      </c>
      <c r="J429" s="88"/>
      <c r="K429" s="129">
        <f t="shared" si="248"/>
        <v>139.24905</v>
      </c>
      <c r="L429" s="130">
        <v>0.6</v>
      </c>
      <c r="M429" s="129">
        <f t="shared" si="249"/>
        <v>92.8327</v>
      </c>
      <c r="N429" s="130">
        <f t="shared" si="250"/>
        <v>0.4</v>
      </c>
      <c r="O429" s="131">
        <f t="array" ref="O429">INDEX('LPU Regionalizada'!$B$3:$N$785,MATCH($B429,'LPU Regionalizada'!$B$3:$B$785,0),MATCH(INDEX(CTRL!$F$3:$F$29,CTRL!$E$1),'LPU Regionalizada'!$B$3:$N$3,0))</f>
        <v>232.08175</v>
      </c>
      <c r="P429" s="88"/>
      <c r="Q429" s="132">
        <f t="shared" si="251"/>
        <v>0</v>
      </c>
      <c r="R429" s="132">
        <f t="shared" si="252"/>
        <v>0</v>
      </c>
      <c r="S429" s="132">
        <f t="shared" si="253"/>
        <v>0</v>
      </c>
      <c r="T429" s="133">
        <f t="shared" si="254"/>
        <v>0</v>
      </c>
      <c r="U429" s="134">
        <f t="shared" si="214"/>
        <v>0</v>
      </c>
      <c r="V429" s="135"/>
      <c r="W429" s="136"/>
      <c r="X429" s="2"/>
      <c r="Y429" s="111"/>
      <c r="Z429" s="3"/>
    </row>
    <row r="430" ht="14.25" hidden="1" customHeight="1" outlineLevel="2">
      <c r="A430" s="124"/>
      <c r="B430" s="125" t="s">
        <v>893</v>
      </c>
      <c r="C430" s="126" t="s">
        <v>894</v>
      </c>
      <c r="D430" s="127" t="s">
        <v>180</v>
      </c>
      <c r="E430" s="35"/>
      <c r="F430" s="128"/>
      <c r="G430" s="128"/>
      <c r="H430" s="128"/>
      <c r="I430" s="127">
        <f t="shared" si="247"/>
        <v>0</v>
      </c>
      <c r="J430" s="88"/>
      <c r="K430" s="129">
        <f t="shared" si="248"/>
        <v>167.69355</v>
      </c>
      <c r="L430" s="130">
        <v>0.6</v>
      </c>
      <c r="M430" s="129">
        <f t="shared" si="249"/>
        <v>111.7957</v>
      </c>
      <c r="N430" s="130">
        <f t="shared" si="250"/>
        <v>0.4</v>
      </c>
      <c r="O430" s="131">
        <f t="array" ref="O430">INDEX('LPU Regionalizada'!$B$3:$N$785,MATCH($B430,'LPU Regionalizada'!$B$3:$B$785,0),MATCH(INDEX(CTRL!$F$3:$F$29,CTRL!$E$1),'LPU Regionalizada'!$B$3:$N$3,0))</f>
        <v>279.48925</v>
      </c>
      <c r="P430" s="88"/>
      <c r="Q430" s="132">
        <f t="shared" si="251"/>
        <v>0</v>
      </c>
      <c r="R430" s="132">
        <f t="shared" si="252"/>
        <v>0</v>
      </c>
      <c r="S430" s="132">
        <f t="shared" si="253"/>
        <v>0</v>
      </c>
      <c r="T430" s="133">
        <f t="shared" si="254"/>
        <v>0</v>
      </c>
      <c r="U430" s="134">
        <f t="shared" si="214"/>
        <v>0</v>
      </c>
      <c r="V430" s="135"/>
      <c r="W430" s="136"/>
      <c r="X430" s="2"/>
      <c r="Y430" s="111"/>
      <c r="Z430" s="3"/>
    </row>
    <row r="431" ht="14.25" hidden="1" customHeight="1" outlineLevel="2">
      <c r="A431" s="124"/>
      <c r="B431" s="125" t="s">
        <v>895</v>
      </c>
      <c r="C431" s="126" t="s">
        <v>896</v>
      </c>
      <c r="D431" s="127" t="s">
        <v>180</v>
      </c>
      <c r="E431" s="35"/>
      <c r="F431" s="128"/>
      <c r="G431" s="128"/>
      <c r="H431" s="128"/>
      <c r="I431" s="127">
        <f t="shared" si="247"/>
        <v>0</v>
      </c>
      <c r="J431" s="88"/>
      <c r="K431" s="129">
        <f t="shared" si="248"/>
        <v>1.512617259</v>
      </c>
      <c r="L431" s="130">
        <v>0.6</v>
      </c>
      <c r="M431" s="129">
        <f t="shared" si="249"/>
        <v>1.008411506</v>
      </c>
      <c r="N431" s="130">
        <f t="shared" si="250"/>
        <v>0.4</v>
      </c>
      <c r="O431" s="131">
        <f t="array" ref="O431">INDEX('LPU Regionalizada'!$B$3:$N$785,MATCH($B431,'LPU Regionalizada'!$B$3:$B$785,0),MATCH(INDEX(CTRL!$F$3:$F$29,CTRL!$E$1),'LPU Regionalizada'!$B$3:$N$3,0))</f>
        <v>2.521028766</v>
      </c>
      <c r="P431" s="88"/>
      <c r="Q431" s="132">
        <f t="shared" si="251"/>
        <v>0</v>
      </c>
      <c r="R431" s="132">
        <f t="shared" si="252"/>
        <v>0</v>
      </c>
      <c r="S431" s="132">
        <f t="shared" si="253"/>
        <v>0</v>
      </c>
      <c r="T431" s="133">
        <f t="shared" si="254"/>
        <v>0</v>
      </c>
      <c r="U431" s="134">
        <f t="shared" si="214"/>
        <v>0</v>
      </c>
      <c r="V431" s="135"/>
      <c r="W431" s="136"/>
      <c r="X431" s="2"/>
      <c r="Y431" s="111"/>
      <c r="Z431" s="3"/>
    </row>
    <row r="432" ht="14.25" hidden="1" customHeight="1" outlineLevel="2">
      <c r="A432" s="124"/>
      <c r="B432" s="125" t="s">
        <v>897</v>
      </c>
      <c r="C432" s="126" t="s">
        <v>898</v>
      </c>
      <c r="D432" s="127" t="s">
        <v>180</v>
      </c>
      <c r="E432" s="35"/>
      <c r="F432" s="128"/>
      <c r="G432" s="128"/>
      <c r="H432" s="128"/>
      <c r="I432" s="127">
        <f t="shared" si="247"/>
        <v>0</v>
      </c>
      <c r="J432" s="88"/>
      <c r="K432" s="129">
        <f t="shared" si="248"/>
        <v>2.160453797</v>
      </c>
      <c r="L432" s="130">
        <v>0.6</v>
      </c>
      <c r="M432" s="129">
        <f t="shared" si="249"/>
        <v>1.440302531</v>
      </c>
      <c r="N432" s="130">
        <f t="shared" si="250"/>
        <v>0.4</v>
      </c>
      <c r="O432" s="131">
        <f t="array" ref="O432">INDEX('LPU Regionalizada'!$B$3:$N$785,MATCH($B432,'LPU Regionalizada'!$B$3:$B$785,0),MATCH(INDEX(CTRL!$F$3:$F$29,CTRL!$E$1),'LPU Regionalizada'!$B$3:$N$3,0))</f>
        <v>3.600756328</v>
      </c>
      <c r="P432" s="88"/>
      <c r="Q432" s="132">
        <f t="shared" si="251"/>
        <v>0</v>
      </c>
      <c r="R432" s="132">
        <f t="shared" si="252"/>
        <v>0</v>
      </c>
      <c r="S432" s="132">
        <f t="shared" si="253"/>
        <v>0</v>
      </c>
      <c r="T432" s="133">
        <f t="shared" si="254"/>
        <v>0</v>
      </c>
      <c r="U432" s="134">
        <f t="shared" si="214"/>
        <v>0</v>
      </c>
      <c r="V432" s="135"/>
      <c r="W432" s="136"/>
      <c r="X432" s="2"/>
      <c r="Y432" s="111"/>
      <c r="Z432" s="3"/>
    </row>
    <row r="433" ht="14.25" hidden="1" customHeight="1" outlineLevel="2">
      <c r="A433" s="124"/>
      <c r="B433" s="125" t="s">
        <v>899</v>
      </c>
      <c r="C433" s="126" t="s">
        <v>900</v>
      </c>
      <c r="D433" s="127" t="s">
        <v>180</v>
      </c>
      <c r="E433" s="35"/>
      <c r="F433" s="128"/>
      <c r="G433" s="128"/>
      <c r="H433" s="128"/>
      <c r="I433" s="127">
        <f t="shared" si="247"/>
        <v>0</v>
      </c>
      <c r="J433" s="88"/>
      <c r="K433" s="129">
        <f t="shared" si="248"/>
        <v>3.686800696</v>
      </c>
      <c r="L433" s="130">
        <v>0.6</v>
      </c>
      <c r="M433" s="129">
        <f t="shared" si="249"/>
        <v>2.457867131</v>
      </c>
      <c r="N433" s="130">
        <f t="shared" si="250"/>
        <v>0.4</v>
      </c>
      <c r="O433" s="131">
        <f t="array" ref="O433">INDEX('LPU Regionalizada'!$B$3:$N$785,MATCH($B433,'LPU Regionalizada'!$B$3:$B$785,0),MATCH(INDEX(CTRL!$F$3:$F$29,CTRL!$E$1),'LPU Regionalizada'!$B$3:$N$3,0))</f>
        <v>6.144667827</v>
      </c>
      <c r="P433" s="88"/>
      <c r="Q433" s="132">
        <f t="shared" si="251"/>
        <v>0</v>
      </c>
      <c r="R433" s="132">
        <f t="shared" si="252"/>
        <v>0</v>
      </c>
      <c r="S433" s="132">
        <f t="shared" si="253"/>
        <v>0</v>
      </c>
      <c r="T433" s="133">
        <f t="shared" si="254"/>
        <v>0</v>
      </c>
      <c r="U433" s="134">
        <f t="shared" si="214"/>
        <v>0</v>
      </c>
      <c r="V433" s="135"/>
      <c r="W433" s="136"/>
      <c r="X433" s="2"/>
      <c r="Y433" s="111"/>
      <c r="Z433" s="3"/>
    </row>
    <row r="434" ht="14.25" hidden="1" customHeight="1" outlineLevel="2">
      <c r="A434" s="124"/>
      <c r="B434" s="125" t="s">
        <v>901</v>
      </c>
      <c r="C434" s="126" t="s">
        <v>902</v>
      </c>
      <c r="D434" s="127" t="s">
        <v>180</v>
      </c>
      <c r="E434" s="35"/>
      <c r="F434" s="128"/>
      <c r="G434" s="128"/>
      <c r="H434" s="128"/>
      <c r="I434" s="127">
        <f t="shared" si="247"/>
        <v>0</v>
      </c>
      <c r="J434" s="88"/>
      <c r="K434" s="129">
        <f t="shared" si="248"/>
        <v>5.516328583</v>
      </c>
      <c r="L434" s="130">
        <v>0.6</v>
      </c>
      <c r="M434" s="129">
        <f t="shared" si="249"/>
        <v>3.677552389</v>
      </c>
      <c r="N434" s="130">
        <f t="shared" si="250"/>
        <v>0.4</v>
      </c>
      <c r="O434" s="131">
        <f t="array" ref="O434">INDEX('LPU Regionalizada'!$B$3:$N$785,MATCH($B434,'LPU Regionalizada'!$B$3:$B$785,0),MATCH(INDEX(CTRL!$F$3:$F$29,CTRL!$E$1),'LPU Regionalizada'!$B$3:$N$3,0))</f>
        <v>9.193880972</v>
      </c>
      <c r="P434" s="88"/>
      <c r="Q434" s="132">
        <f t="shared" si="251"/>
        <v>0</v>
      </c>
      <c r="R434" s="132">
        <f t="shared" si="252"/>
        <v>0</v>
      </c>
      <c r="S434" s="132">
        <f t="shared" si="253"/>
        <v>0</v>
      </c>
      <c r="T434" s="133">
        <f t="shared" si="254"/>
        <v>0</v>
      </c>
      <c r="U434" s="134">
        <f t="shared" si="214"/>
        <v>0</v>
      </c>
      <c r="V434" s="135"/>
      <c r="W434" s="136"/>
      <c r="X434" s="2"/>
      <c r="Y434" s="111"/>
      <c r="Z434" s="3"/>
    </row>
    <row r="435" ht="14.25" hidden="1" customHeight="1" outlineLevel="2">
      <c r="A435" s="124"/>
      <c r="B435" s="125" t="s">
        <v>903</v>
      </c>
      <c r="C435" s="126" t="s">
        <v>904</v>
      </c>
      <c r="D435" s="127" t="s">
        <v>180</v>
      </c>
      <c r="E435" s="35"/>
      <c r="F435" s="128"/>
      <c r="G435" s="128"/>
      <c r="H435" s="128"/>
      <c r="I435" s="127">
        <f t="shared" si="247"/>
        <v>0</v>
      </c>
      <c r="J435" s="88"/>
      <c r="K435" s="129">
        <f t="shared" si="248"/>
        <v>5.257149479</v>
      </c>
      <c r="L435" s="130">
        <v>0.6</v>
      </c>
      <c r="M435" s="129">
        <f t="shared" si="249"/>
        <v>3.504766319</v>
      </c>
      <c r="N435" s="130">
        <f t="shared" si="250"/>
        <v>0.4</v>
      </c>
      <c r="O435" s="131">
        <f t="array" ref="O435">INDEX('LPU Regionalizada'!$B$3:$N$785,MATCH($B435,'LPU Regionalizada'!$B$3:$B$785,0),MATCH(INDEX(CTRL!$F$3:$F$29,CTRL!$E$1),'LPU Regionalizada'!$B$3:$N$3,0))</f>
        <v>8.761915798</v>
      </c>
      <c r="P435" s="88"/>
      <c r="Q435" s="132">
        <f t="shared" si="251"/>
        <v>0</v>
      </c>
      <c r="R435" s="132">
        <f t="shared" si="252"/>
        <v>0</v>
      </c>
      <c r="S435" s="132">
        <f t="shared" si="253"/>
        <v>0</v>
      </c>
      <c r="T435" s="133">
        <f t="shared" si="254"/>
        <v>0</v>
      </c>
      <c r="U435" s="134">
        <f t="shared" si="214"/>
        <v>0</v>
      </c>
      <c r="V435" s="135"/>
      <c r="W435" s="136"/>
      <c r="X435" s="2"/>
      <c r="Y435" s="111"/>
      <c r="Z435" s="3"/>
    </row>
    <row r="436" ht="14.25" hidden="1" customHeight="1" outlineLevel="2">
      <c r="A436" s="124"/>
      <c r="B436" s="125" t="s">
        <v>905</v>
      </c>
      <c r="C436" s="126" t="s">
        <v>906</v>
      </c>
      <c r="D436" s="127" t="s">
        <v>180</v>
      </c>
      <c r="E436" s="35"/>
      <c r="F436" s="128"/>
      <c r="G436" s="128"/>
      <c r="H436" s="128">
        <v>0.0</v>
      </c>
      <c r="I436" s="127">
        <f t="shared" si="247"/>
        <v>0</v>
      </c>
      <c r="J436" s="88"/>
      <c r="K436" s="129">
        <f t="shared" si="248"/>
        <v>6.707832</v>
      </c>
      <c r="L436" s="130">
        <v>0.6</v>
      </c>
      <c r="M436" s="129">
        <f t="shared" si="249"/>
        <v>4.471888</v>
      </c>
      <c r="N436" s="130">
        <f t="shared" si="250"/>
        <v>0.4</v>
      </c>
      <c r="O436" s="131">
        <f t="array" ref="O436">INDEX('LPU Regionalizada'!$B$3:$N$785,MATCH($B436,'LPU Regionalizada'!$B$3:$B$785,0),MATCH(INDEX(CTRL!$F$3:$F$29,CTRL!$E$1),'LPU Regionalizada'!$B$3:$N$3,0))</f>
        <v>11.17972</v>
      </c>
      <c r="P436" s="88"/>
      <c r="Q436" s="132">
        <f t="shared" si="251"/>
        <v>0</v>
      </c>
      <c r="R436" s="132">
        <f t="shared" si="252"/>
        <v>0</v>
      </c>
      <c r="S436" s="132">
        <f t="shared" si="253"/>
        <v>0</v>
      </c>
      <c r="T436" s="133">
        <f t="shared" si="254"/>
        <v>0</v>
      </c>
      <c r="U436" s="134">
        <f t="shared" si="214"/>
        <v>0</v>
      </c>
      <c r="V436" s="135"/>
      <c r="W436" s="136"/>
      <c r="X436" s="2"/>
      <c r="Y436" s="111"/>
      <c r="Z436" s="3"/>
    </row>
    <row r="437" ht="14.25" hidden="1" customHeight="1" outlineLevel="1">
      <c r="A437" s="112"/>
      <c r="B437" s="113" t="s">
        <v>907</v>
      </c>
      <c r="C437" s="114" t="s">
        <v>908</v>
      </c>
      <c r="D437" s="115"/>
      <c r="E437" s="35"/>
      <c r="F437" s="113"/>
      <c r="G437" s="116"/>
      <c r="H437" s="116"/>
      <c r="I437" s="115"/>
      <c r="J437" s="88"/>
      <c r="K437" s="117"/>
      <c r="L437" s="118"/>
      <c r="M437" s="118"/>
      <c r="N437" s="118"/>
      <c r="O437" s="119"/>
      <c r="P437" s="88"/>
      <c r="Q437" s="120"/>
      <c r="R437" s="120"/>
      <c r="S437" s="120"/>
      <c r="T437" s="120">
        <f>SUM(T438:T456)</f>
        <v>0</v>
      </c>
      <c r="U437" s="121">
        <f t="shared" si="214"/>
        <v>0</v>
      </c>
      <c r="V437" s="122"/>
      <c r="W437" s="123"/>
      <c r="X437" s="2"/>
      <c r="Y437" s="111"/>
      <c r="Z437" s="3"/>
    </row>
    <row r="438" ht="14.25" hidden="1" customHeight="1" outlineLevel="2">
      <c r="A438" s="124"/>
      <c r="B438" s="125" t="s">
        <v>909</v>
      </c>
      <c r="C438" s="126" t="s">
        <v>910</v>
      </c>
      <c r="D438" s="127" t="s">
        <v>911</v>
      </c>
      <c r="E438" s="35"/>
      <c r="F438" s="128"/>
      <c r="G438" s="128"/>
      <c r="H438" s="128"/>
      <c r="I438" s="127">
        <f t="shared" ref="I438:I456" si="255">F438+G438+H438</f>
        <v>0</v>
      </c>
      <c r="J438" s="88"/>
      <c r="K438" s="129">
        <f t="shared" ref="K438:K456" si="256">L438*O438</f>
        <v>40.8</v>
      </c>
      <c r="L438" s="130">
        <v>0.6</v>
      </c>
      <c r="M438" s="129">
        <f t="shared" ref="M438:M456" si="257">N438*O438</f>
        <v>27.2</v>
      </c>
      <c r="N438" s="130">
        <f t="shared" ref="N438:N456" si="258">100%-L438</f>
        <v>0.4</v>
      </c>
      <c r="O438" s="131">
        <f t="array" ref="O438">INDEX('LPU Regionalizada'!$B$3:$N$785,MATCH($B438,'LPU Regionalizada'!$B$3:$B$785,0),MATCH(INDEX(CTRL!$F$3:$F$29,CTRL!$E$1),'LPU Regionalizada'!$B$3:$N$3,0))</f>
        <v>68</v>
      </c>
      <c r="P438" s="88"/>
      <c r="Q438" s="132">
        <f t="shared" ref="Q438:Q456" si="259">F438*O438</f>
        <v>0</v>
      </c>
      <c r="R438" s="132">
        <f t="shared" ref="R438:R456" si="260">G438*O438</f>
        <v>0</v>
      </c>
      <c r="S438" s="132">
        <f t="shared" ref="S438:S456" si="261">H438*O438</f>
        <v>0</v>
      </c>
      <c r="T438" s="133">
        <f t="shared" ref="T438:T456" si="262">SUM(Q438:S438)</f>
        <v>0</v>
      </c>
      <c r="U438" s="134">
        <f t="shared" si="214"/>
        <v>0</v>
      </c>
      <c r="V438" s="135"/>
      <c r="W438" s="136"/>
      <c r="X438" s="2"/>
      <c r="Y438" s="111"/>
      <c r="Z438" s="3"/>
    </row>
    <row r="439" ht="14.25" hidden="1" customHeight="1" outlineLevel="2">
      <c r="A439" s="124"/>
      <c r="B439" s="125" t="s">
        <v>912</v>
      </c>
      <c r="C439" s="126" t="s">
        <v>913</v>
      </c>
      <c r="D439" s="127" t="s">
        <v>911</v>
      </c>
      <c r="E439" s="35"/>
      <c r="F439" s="128"/>
      <c r="G439" s="128"/>
      <c r="H439" s="128"/>
      <c r="I439" s="127">
        <f t="shared" si="255"/>
        <v>0</v>
      </c>
      <c r="J439" s="88"/>
      <c r="K439" s="129">
        <f t="shared" si="256"/>
        <v>61.815</v>
      </c>
      <c r="L439" s="130">
        <v>0.6</v>
      </c>
      <c r="M439" s="129">
        <f t="shared" si="257"/>
        <v>41.21</v>
      </c>
      <c r="N439" s="130">
        <f t="shared" si="258"/>
        <v>0.4</v>
      </c>
      <c r="O439" s="131">
        <f t="array" ref="O439">INDEX('LPU Regionalizada'!$B$3:$N$785,MATCH($B439,'LPU Regionalizada'!$B$3:$B$785,0),MATCH(INDEX(CTRL!$F$3:$F$29,CTRL!$E$1),'LPU Regionalizada'!$B$3:$N$3,0))</f>
        <v>103.025</v>
      </c>
      <c r="P439" s="88"/>
      <c r="Q439" s="132">
        <f t="shared" si="259"/>
        <v>0</v>
      </c>
      <c r="R439" s="132">
        <f t="shared" si="260"/>
        <v>0</v>
      </c>
      <c r="S439" s="132">
        <f t="shared" si="261"/>
        <v>0</v>
      </c>
      <c r="T439" s="133">
        <f t="shared" si="262"/>
        <v>0</v>
      </c>
      <c r="U439" s="134">
        <f t="shared" si="214"/>
        <v>0</v>
      </c>
      <c r="V439" s="135"/>
      <c r="W439" s="136"/>
      <c r="X439" s="2"/>
      <c r="Y439" s="111"/>
      <c r="Z439" s="3"/>
    </row>
    <row r="440" ht="14.25" hidden="1" customHeight="1" outlineLevel="2">
      <c r="A440" s="124"/>
      <c r="B440" s="125" t="s">
        <v>914</v>
      </c>
      <c r="C440" s="126" t="s">
        <v>915</v>
      </c>
      <c r="D440" s="127" t="s">
        <v>911</v>
      </c>
      <c r="E440" s="35"/>
      <c r="F440" s="128"/>
      <c r="G440" s="128"/>
      <c r="H440" s="128"/>
      <c r="I440" s="127">
        <f t="shared" si="255"/>
        <v>0</v>
      </c>
      <c r="J440" s="88"/>
      <c r="K440" s="129">
        <f t="shared" si="256"/>
        <v>63.336</v>
      </c>
      <c r="L440" s="130">
        <v>0.6</v>
      </c>
      <c r="M440" s="129">
        <f t="shared" si="257"/>
        <v>42.224</v>
      </c>
      <c r="N440" s="130">
        <f t="shared" si="258"/>
        <v>0.4</v>
      </c>
      <c r="O440" s="131">
        <f t="array" ref="O440">INDEX('LPU Regionalizada'!$B$3:$N$785,MATCH($B440,'LPU Regionalizada'!$B$3:$B$785,0),MATCH(INDEX(CTRL!$F$3:$F$29,CTRL!$E$1),'LPU Regionalizada'!$B$3:$N$3,0))</f>
        <v>105.56</v>
      </c>
      <c r="P440" s="88"/>
      <c r="Q440" s="132">
        <f t="shared" si="259"/>
        <v>0</v>
      </c>
      <c r="R440" s="132">
        <f t="shared" si="260"/>
        <v>0</v>
      </c>
      <c r="S440" s="132">
        <f t="shared" si="261"/>
        <v>0</v>
      </c>
      <c r="T440" s="133">
        <f t="shared" si="262"/>
        <v>0</v>
      </c>
      <c r="U440" s="134">
        <f t="shared" si="214"/>
        <v>0</v>
      </c>
      <c r="V440" s="135"/>
      <c r="W440" s="136"/>
      <c r="X440" s="2"/>
      <c r="Y440" s="111"/>
      <c r="Z440" s="3"/>
    </row>
    <row r="441" ht="14.25" hidden="1" customHeight="1" outlineLevel="2">
      <c r="A441" s="124"/>
      <c r="B441" s="125" t="s">
        <v>916</v>
      </c>
      <c r="C441" s="126" t="s">
        <v>917</v>
      </c>
      <c r="D441" s="127" t="s">
        <v>911</v>
      </c>
      <c r="E441" s="35"/>
      <c r="F441" s="128"/>
      <c r="G441" s="128"/>
      <c r="H441" s="128"/>
      <c r="I441" s="127">
        <f t="shared" si="255"/>
        <v>0</v>
      </c>
      <c r="J441" s="88"/>
      <c r="K441" s="129">
        <f t="shared" si="256"/>
        <v>18.900648</v>
      </c>
      <c r="L441" s="130">
        <v>0.6</v>
      </c>
      <c r="M441" s="129">
        <f t="shared" si="257"/>
        <v>12.600432</v>
      </c>
      <c r="N441" s="130">
        <f t="shared" si="258"/>
        <v>0.4</v>
      </c>
      <c r="O441" s="131">
        <f t="array" ref="O441">INDEX('LPU Regionalizada'!$B$3:$N$785,MATCH($B441,'LPU Regionalizada'!$B$3:$B$785,0),MATCH(INDEX(CTRL!$F$3:$F$29,CTRL!$E$1),'LPU Regionalizada'!$B$3:$N$3,0))</f>
        <v>31.50108</v>
      </c>
      <c r="P441" s="88"/>
      <c r="Q441" s="132">
        <f t="shared" si="259"/>
        <v>0</v>
      </c>
      <c r="R441" s="132">
        <f t="shared" si="260"/>
        <v>0</v>
      </c>
      <c r="S441" s="132">
        <f t="shared" si="261"/>
        <v>0</v>
      </c>
      <c r="T441" s="133">
        <f t="shared" si="262"/>
        <v>0</v>
      </c>
      <c r="U441" s="134">
        <f t="shared" si="214"/>
        <v>0</v>
      </c>
      <c r="V441" s="135"/>
      <c r="W441" s="136"/>
      <c r="X441" s="2"/>
      <c r="Y441" s="111"/>
      <c r="Z441" s="3"/>
    </row>
    <row r="442" ht="14.25" hidden="1" customHeight="1" outlineLevel="2">
      <c r="A442" s="124"/>
      <c r="B442" s="125" t="s">
        <v>918</v>
      </c>
      <c r="C442" s="126" t="s">
        <v>919</v>
      </c>
      <c r="D442" s="127" t="s">
        <v>911</v>
      </c>
      <c r="E442" s="35"/>
      <c r="F442" s="128"/>
      <c r="G442" s="128"/>
      <c r="H442" s="128"/>
      <c r="I442" s="127">
        <f t="shared" si="255"/>
        <v>0</v>
      </c>
      <c r="J442" s="88"/>
      <c r="K442" s="129">
        <f t="shared" si="256"/>
        <v>12.47595483</v>
      </c>
      <c r="L442" s="130">
        <v>0.6</v>
      </c>
      <c r="M442" s="129">
        <f t="shared" si="257"/>
        <v>8.317303218</v>
      </c>
      <c r="N442" s="130">
        <f t="shared" si="258"/>
        <v>0.4</v>
      </c>
      <c r="O442" s="131">
        <f t="array" ref="O442">INDEX('LPU Regionalizada'!$B$3:$N$785,MATCH($B442,'LPU Regionalizada'!$B$3:$B$785,0),MATCH(INDEX(CTRL!$F$3:$F$29,CTRL!$E$1),'LPU Regionalizada'!$B$3:$N$3,0))</f>
        <v>20.79325805</v>
      </c>
      <c r="P442" s="88"/>
      <c r="Q442" s="132">
        <f t="shared" si="259"/>
        <v>0</v>
      </c>
      <c r="R442" s="132">
        <f t="shared" si="260"/>
        <v>0</v>
      </c>
      <c r="S442" s="132">
        <f t="shared" si="261"/>
        <v>0</v>
      </c>
      <c r="T442" s="133">
        <f t="shared" si="262"/>
        <v>0</v>
      </c>
      <c r="U442" s="134">
        <f t="shared" si="214"/>
        <v>0</v>
      </c>
      <c r="V442" s="135"/>
      <c r="W442" s="136"/>
      <c r="X442" s="2"/>
      <c r="Y442" s="111"/>
      <c r="Z442" s="3"/>
    </row>
    <row r="443" ht="14.25" hidden="1" customHeight="1" outlineLevel="2">
      <c r="A443" s="124"/>
      <c r="B443" s="125" t="s">
        <v>920</v>
      </c>
      <c r="C443" s="126" t="s">
        <v>921</v>
      </c>
      <c r="D443" s="127" t="s">
        <v>911</v>
      </c>
      <c r="E443" s="35"/>
      <c r="F443" s="128"/>
      <c r="G443" s="128"/>
      <c r="H443" s="128"/>
      <c r="I443" s="127">
        <f t="shared" si="255"/>
        <v>0</v>
      </c>
      <c r="J443" s="88"/>
      <c r="K443" s="129">
        <f t="shared" si="256"/>
        <v>18.20271845</v>
      </c>
      <c r="L443" s="130">
        <v>0.6</v>
      </c>
      <c r="M443" s="129">
        <f t="shared" si="257"/>
        <v>12.13514563</v>
      </c>
      <c r="N443" s="130">
        <f t="shared" si="258"/>
        <v>0.4</v>
      </c>
      <c r="O443" s="131">
        <f t="array" ref="O443">INDEX('LPU Regionalizada'!$B$3:$N$785,MATCH($B443,'LPU Regionalizada'!$B$3:$B$785,0),MATCH(INDEX(CTRL!$F$3:$F$29,CTRL!$E$1),'LPU Regionalizada'!$B$3:$N$3,0))</f>
        <v>30.33786408</v>
      </c>
      <c r="P443" s="88"/>
      <c r="Q443" s="132">
        <f t="shared" si="259"/>
        <v>0</v>
      </c>
      <c r="R443" s="132">
        <f t="shared" si="260"/>
        <v>0</v>
      </c>
      <c r="S443" s="132">
        <f t="shared" si="261"/>
        <v>0</v>
      </c>
      <c r="T443" s="133">
        <f t="shared" si="262"/>
        <v>0</v>
      </c>
      <c r="U443" s="134">
        <f t="shared" si="214"/>
        <v>0</v>
      </c>
      <c r="V443" s="135"/>
      <c r="W443" s="136"/>
      <c r="X443" s="2"/>
      <c r="Y443" s="111"/>
      <c r="Z443" s="3"/>
    </row>
    <row r="444" ht="14.25" hidden="1" customHeight="1" outlineLevel="2">
      <c r="A444" s="124"/>
      <c r="B444" s="125" t="s">
        <v>922</v>
      </c>
      <c r="C444" s="126" t="s">
        <v>923</v>
      </c>
      <c r="D444" s="127" t="s">
        <v>911</v>
      </c>
      <c r="E444" s="35"/>
      <c r="F444" s="128"/>
      <c r="G444" s="128"/>
      <c r="H444" s="128"/>
      <c r="I444" s="127">
        <f t="shared" si="255"/>
        <v>0</v>
      </c>
      <c r="J444" s="88"/>
      <c r="K444" s="129">
        <f t="shared" si="256"/>
        <v>17.02145455</v>
      </c>
      <c r="L444" s="130">
        <v>0.6</v>
      </c>
      <c r="M444" s="129">
        <f t="shared" si="257"/>
        <v>11.34763636</v>
      </c>
      <c r="N444" s="130">
        <f t="shared" si="258"/>
        <v>0.4</v>
      </c>
      <c r="O444" s="131">
        <f t="array" ref="O444">INDEX('LPU Regionalizada'!$B$3:$N$785,MATCH($B444,'LPU Regionalizada'!$B$3:$B$785,0),MATCH(INDEX(CTRL!$F$3:$F$29,CTRL!$E$1),'LPU Regionalizada'!$B$3:$N$3,0))</f>
        <v>28.36909091</v>
      </c>
      <c r="P444" s="88"/>
      <c r="Q444" s="132">
        <f t="shared" si="259"/>
        <v>0</v>
      </c>
      <c r="R444" s="132">
        <f t="shared" si="260"/>
        <v>0</v>
      </c>
      <c r="S444" s="132">
        <f t="shared" si="261"/>
        <v>0</v>
      </c>
      <c r="T444" s="133">
        <f t="shared" si="262"/>
        <v>0</v>
      </c>
      <c r="U444" s="134">
        <f t="shared" si="214"/>
        <v>0</v>
      </c>
      <c r="V444" s="135"/>
      <c r="W444" s="136"/>
      <c r="X444" s="2"/>
      <c r="Y444" s="111"/>
      <c r="Z444" s="3"/>
    </row>
    <row r="445" ht="14.25" hidden="1" customHeight="1" outlineLevel="2">
      <c r="A445" s="124"/>
      <c r="B445" s="125" t="s">
        <v>924</v>
      </c>
      <c r="C445" s="126" t="s">
        <v>925</v>
      </c>
      <c r="D445" s="127" t="s">
        <v>911</v>
      </c>
      <c r="E445" s="35"/>
      <c r="F445" s="128"/>
      <c r="G445" s="128"/>
      <c r="H445" s="128"/>
      <c r="I445" s="127">
        <f t="shared" si="255"/>
        <v>0</v>
      </c>
      <c r="J445" s="88"/>
      <c r="K445" s="129">
        <f t="shared" si="256"/>
        <v>11.73145631</v>
      </c>
      <c r="L445" s="130">
        <v>0.6</v>
      </c>
      <c r="M445" s="129">
        <f t="shared" si="257"/>
        <v>7.820970874</v>
      </c>
      <c r="N445" s="130">
        <f t="shared" si="258"/>
        <v>0.4</v>
      </c>
      <c r="O445" s="131">
        <f t="array" ref="O445">INDEX('LPU Regionalizada'!$B$3:$N$785,MATCH($B445,'LPU Regionalizada'!$B$3:$B$785,0),MATCH(INDEX(CTRL!$F$3:$F$29,CTRL!$E$1),'LPU Regionalizada'!$B$3:$N$3,0))</f>
        <v>19.55242718</v>
      </c>
      <c r="P445" s="88"/>
      <c r="Q445" s="132">
        <f t="shared" si="259"/>
        <v>0</v>
      </c>
      <c r="R445" s="132">
        <f t="shared" si="260"/>
        <v>0</v>
      </c>
      <c r="S445" s="132">
        <f t="shared" si="261"/>
        <v>0</v>
      </c>
      <c r="T445" s="133">
        <f t="shared" si="262"/>
        <v>0</v>
      </c>
      <c r="U445" s="134">
        <f t="shared" si="214"/>
        <v>0</v>
      </c>
      <c r="V445" s="135"/>
      <c r="W445" s="136"/>
      <c r="X445" s="2"/>
      <c r="Y445" s="111"/>
      <c r="Z445" s="3"/>
    </row>
    <row r="446" ht="14.25" hidden="1" customHeight="1" outlineLevel="2">
      <c r="A446" s="124"/>
      <c r="B446" s="125" t="s">
        <v>926</v>
      </c>
      <c r="C446" s="126" t="s">
        <v>927</v>
      </c>
      <c r="D446" s="127" t="s">
        <v>911</v>
      </c>
      <c r="E446" s="35"/>
      <c r="F446" s="128"/>
      <c r="G446" s="128"/>
      <c r="H446" s="128"/>
      <c r="I446" s="127">
        <f t="shared" si="255"/>
        <v>0</v>
      </c>
      <c r="J446" s="88"/>
      <c r="K446" s="129">
        <f t="shared" si="256"/>
        <v>35.814</v>
      </c>
      <c r="L446" s="130">
        <v>0.6</v>
      </c>
      <c r="M446" s="129">
        <f t="shared" si="257"/>
        <v>23.876</v>
      </c>
      <c r="N446" s="130">
        <f t="shared" si="258"/>
        <v>0.4</v>
      </c>
      <c r="O446" s="131">
        <f t="array" ref="O446">INDEX('LPU Regionalizada'!$B$3:$N$785,MATCH($B446,'LPU Regionalizada'!$B$3:$B$785,0),MATCH(INDEX(CTRL!$F$3:$F$29,CTRL!$E$1),'LPU Regionalizada'!$B$3:$N$3,0))</f>
        <v>59.69</v>
      </c>
      <c r="P446" s="88"/>
      <c r="Q446" s="132">
        <f t="shared" si="259"/>
        <v>0</v>
      </c>
      <c r="R446" s="132">
        <f t="shared" si="260"/>
        <v>0</v>
      </c>
      <c r="S446" s="132">
        <f t="shared" si="261"/>
        <v>0</v>
      </c>
      <c r="T446" s="133">
        <f t="shared" si="262"/>
        <v>0</v>
      </c>
      <c r="U446" s="134">
        <f t="shared" si="214"/>
        <v>0</v>
      </c>
      <c r="V446" s="135"/>
      <c r="W446" s="136"/>
      <c r="X446" s="2"/>
      <c r="Y446" s="111"/>
      <c r="Z446" s="3"/>
    </row>
    <row r="447" ht="14.25" hidden="1" customHeight="1" outlineLevel="2">
      <c r="A447" s="124"/>
      <c r="B447" s="125" t="s">
        <v>928</v>
      </c>
      <c r="C447" s="126" t="s">
        <v>929</v>
      </c>
      <c r="D447" s="127" t="s">
        <v>142</v>
      </c>
      <c r="E447" s="35"/>
      <c r="F447" s="128"/>
      <c r="G447" s="128"/>
      <c r="H447" s="128"/>
      <c r="I447" s="127">
        <f t="shared" si="255"/>
        <v>0</v>
      </c>
      <c r="J447" s="88"/>
      <c r="K447" s="129">
        <f t="shared" si="256"/>
        <v>7.50576</v>
      </c>
      <c r="L447" s="130">
        <v>0.6</v>
      </c>
      <c r="M447" s="129">
        <f t="shared" si="257"/>
        <v>5.00384</v>
      </c>
      <c r="N447" s="130">
        <f t="shared" si="258"/>
        <v>0.4</v>
      </c>
      <c r="O447" s="131">
        <f t="array" ref="O447">INDEX('LPU Regionalizada'!$B$3:$N$785,MATCH($B447,'LPU Regionalizada'!$B$3:$B$785,0),MATCH(INDEX(CTRL!$F$3:$F$29,CTRL!$E$1),'LPU Regionalizada'!$B$3:$N$3,0))</f>
        <v>12.5096</v>
      </c>
      <c r="P447" s="88"/>
      <c r="Q447" s="132">
        <f t="shared" si="259"/>
        <v>0</v>
      </c>
      <c r="R447" s="132">
        <f t="shared" si="260"/>
        <v>0</v>
      </c>
      <c r="S447" s="132">
        <f t="shared" si="261"/>
        <v>0</v>
      </c>
      <c r="T447" s="133">
        <f t="shared" si="262"/>
        <v>0</v>
      </c>
      <c r="U447" s="134">
        <f t="shared" si="214"/>
        <v>0</v>
      </c>
      <c r="V447" s="135"/>
      <c r="W447" s="136"/>
      <c r="X447" s="2"/>
      <c r="Y447" s="111"/>
      <c r="Z447" s="3"/>
    </row>
    <row r="448" ht="14.25" hidden="1" customHeight="1" outlineLevel="2">
      <c r="A448" s="124"/>
      <c r="B448" s="125" t="s">
        <v>930</v>
      </c>
      <c r="C448" s="126" t="s">
        <v>931</v>
      </c>
      <c r="D448" s="127" t="s">
        <v>142</v>
      </c>
      <c r="E448" s="35"/>
      <c r="F448" s="128"/>
      <c r="G448" s="128"/>
      <c r="H448" s="128"/>
      <c r="I448" s="127">
        <f t="shared" si="255"/>
        <v>0</v>
      </c>
      <c r="J448" s="88"/>
      <c r="K448" s="129">
        <f t="shared" si="256"/>
        <v>9.69705</v>
      </c>
      <c r="L448" s="130">
        <v>0.6</v>
      </c>
      <c r="M448" s="129">
        <f t="shared" si="257"/>
        <v>6.4647</v>
      </c>
      <c r="N448" s="130">
        <f t="shared" si="258"/>
        <v>0.4</v>
      </c>
      <c r="O448" s="131">
        <f t="array" ref="O448">INDEX('LPU Regionalizada'!$B$3:$N$785,MATCH($B448,'LPU Regionalizada'!$B$3:$B$785,0),MATCH(INDEX(CTRL!$F$3:$F$29,CTRL!$E$1),'LPU Regionalizada'!$B$3:$N$3,0))</f>
        <v>16.16175</v>
      </c>
      <c r="P448" s="88"/>
      <c r="Q448" s="132">
        <f t="shared" si="259"/>
        <v>0</v>
      </c>
      <c r="R448" s="132">
        <f t="shared" si="260"/>
        <v>0</v>
      </c>
      <c r="S448" s="132">
        <f t="shared" si="261"/>
        <v>0</v>
      </c>
      <c r="T448" s="133">
        <f t="shared" si="262"/>
        <v>0</v>
      </c>
      <c r="U448" s="134">
        <f t="shared" si="214"/>
        <v>0</v>
      </c>
      <c r="V448" s="135"/>
      <c r="W448" s="136"/>
      <c r="X448" s="2"/>
      <c r="Y448" s="111"/>
      <c r="Z448" s="3"/>
    </row>
    <row r="449" ht="14.25" hidden="1" customHeight="1" outlineLevel="2">
      <c r="A449" s="124"/>
      <c r="B449" s="125" t="s">
        <v>932</v>
      </c>
      <c r="C449" s="126" t="s">
        <v>933</v>
      </c>
      <c r="D449" s="127" t="s">
        <v>142</v>
      </c>
      <c r="E449" s="35"/>
      <c r="F449" s="128"/>
      <c r="G449" s="128"/>
      <c r="H449" s="128"/>
      <c r="I449" s="127">
        <f t="shared" si="255"/>
        <v>0</v>
      </c>
      <c r="J449" s="88"/>
      <c r="K449" s="129">
        <f t="shared" si="256"/>
        <v>4.52088</v>
      </c>
      <c r="L449" s="130">
        <v>0.6</v>
      </c>
      <c r="M449" s="129">
        <f t="shared" si="257"/>
        <v>3.01392</v>
      </c>
      <c r="N449" s="130">
        <f t="shared" si="258"/>
        <v>0.4</v>
      </c>
      <c r="O449" s="131">
        <f t="array" ref="O449">INDEX('LPU Regionalizada'!$B$3:$N$785,MATCH($B449,'LPU Regionalizada'!$B$3:$B$785,0),MATCH(INDEX(CTRL!$F$3:$F$29,CTRL!$E$1),'LPU Regionalizada'!$B$3:$N$3,0))</f>
        <v>7.5348</v>
      </c>
      <c r="P449" s="88"/>
      <c r="Q449" s="132">
        <f t="shared" si="259"/>
        <v>0</v>
      </c>
      <c r="R449" s="132">
        <f t="shared" si="260"/>
        <v>0</v>
      </c>
      <c r="S449" s="132">
        <f t="shared" si="261"/>
        <v>0</v>
      </c>
      <c r="T449" s="133">
        <f t="shared" si="262"/>
        <v>0</v>
      </c>
      <c r="U449" s="134">
        <f t="shared" si="214"/>
        <v>0</v>
      </c>
      <c r="V449" s="135"/>
      <c r="W449" s="136"/>
      <c r="X449" s="2"/>
      <c r="Y449" s="111"/>
      <c r="Z449" s="3"/>
    </row>
    <row r="450" ht="14.25" hidden="1" customHeight="1" outlineLevel="2">
      <c r="A450" s="124"/>
      <c r="B450" s="125" t="s">
        <v>934</v>
      </c>
      <c r="C450" s="126" t="s">
        <v>935</v>
      </c>
      <c r="D450" s="127" t="s">
        <v>142</v>
      </c>
      <c r="E450" s="35"/>
      <c r="F450" s="128"/>
      <c r="G450" s="128"/>
      <c r="H450" s="128"/>
      <c r="I450" s="127">
        <f t="shared" si="255"/>
        <v>0</v>
      </c>
      <c r="J450" s="88"/>
      <c r="K450" s="129">
        <f t="shared" si="256"/>
        <v>9.26289</v>
      </c>
      <c r="L450" s="130">
        <v>0.6</v>
      </c>
      <c r="M450" s="129">
        <f t="shared" si="257"/>
        <v>6.17526</v>
      </c>
      <c r="N450" s="130">
        <f t="shared" si="258"/>
        <v>0.4</v>
      </c>
      <c r="O450" s="131">
        <f t="array" ref="O450">INDEX('LPU Regionalizada'!$B$3:$N$785,MATCH($B450,'LPU Regionalizada'!$B$3:$B$785,0),MATCH(INDEX(CTRL!$F$3:$F$29,CTRL!$E$1),'LPU Regionalizada'!$B$3:$N$3,0))</f>
        <v>15.43815</v>
      </c>
      <c r="P450" s="88"/>
      <c r="Q450" s="132">
        <f t="shared" si="259"/>
        <v>0</v>
      </c>
      <c r="R450" s="132">
        <f t="shared" si="260"/>
        <v>0</v>
      </c>
      <c r="S450" s="132">
        <f t="shared" si="261"/>
        <v>0</v>
      </c>
      <c r="T450" s="133">
        <f t="shared" si="262"/>
        <v>0</v>
      </c>
      <c r="U450" s="134">
        <f t="shared" si="214"/>
        <v>0</v>
      </c>
      <c r="V450" s="135"/>
      <c r="W450" s="136"/>
      <c r="X450" s="2"/>
      <c r="Y450" s="111"/>
      <c r="Z450" s="3"/>
    </row>
    <row r="451" ht="14.25" hidden="1" customHeight="1" outlineLevel="2">
      <c r="A451" s="124"/>
      <c r="B451" s="125" t="s">
        <v>936</v>
      </c>
      <c r="C451" s="126" t="s">
        <v>937</v>
      </c>
      <c r="D451" s="127" t="s">
        <v>142</v>
      </c>
      <c r="E451" s="35"/>
      <c r="F451" s="128"/>
      <c r="G451" s="128"/>
      <c r="H451" s="128"/>
      <c r="I451" s="127">
        <f t="shared" si="255"/>
        <v>0</v>
      </c>
      <c r="J451" s="88"/>
      <c r="K451" s="129">
        <f t="shared" si="256"/>
        <v>7.038117532</v>
      </c>
      <c r="L451" s="130">
        <v>0.6</v>
      </c>
      <c r="M451" s="129">
        <f t="shared" si="257"/>
        <v>4.692078354</v>
      </c>
      <c r="N451" s="130">
        <f t="shared" si="258"/>
        <v>0.4</v>
      </c>
      <c r="O451" s="131">
        <f t="array" ref="O451">INDEX('LPU Regionalizada'!$B$3:$N$785,MATCH($B451,'LPU Regionalizada'!$B$3:$B$785,0),MATCH(INDEX(CTRL!$F$3:$F$29,CTRL!$E$1),'LPU Regionalizada'!$B$3:$N$3,0))</f>
        <v>11.73019589</v>
      </c>
      <c r="P451" s="88"/>
      <c r="Q451" s="132">
        <f t="shared" si="259"/>
        <v>0</v>
      </c>
      <c r="R451" s="132">
        <f t="shared" si="260"/>
        <v>0</v>
      </c>
      <c r="S451" s="132">
        <f t="shared" si="261"/>
        <v>0</v>
      </c>
      <c r="T451" s="133">
        <f t="shared" si="262"/>
        <v>0</v>
      </c>
      <c r="U451" s="134">
        <f t="shared" si="214"/>
        <v>0</v>
      </c>
      <c r="V451" s="135"/>
      <c r="W451" s="136"/>
      <c r="X451" s="2"/>
      <c r="Y451" s="111"/>
      <c r="Z451" s="3"/>
    </row>
    <row r="452" ht="14.25" hidden="1" customHeight="1" outlineLevel="2">
      <c r="A452" s="124"/>
      <c r="B452" s="125" t="s">
        <v>938</v>
      </c>
      <c r="C452" s="126" t="s">
        <v>939</v>
      </c>
      <c r="D452" s="127" t="s">
        <v>142</v>
      </c>
      <c r="E452" s="35"/>
      <c r="F452" s="128"/>
      <c r="G452" s="128"/>
      <c r="H452" s="128"/>
      <c r="I452" s="127">
        <f t="shared" si="255"/>
        <v>0</v>
      </c>
      <c r="J452" s="88"/>
      <c r="K452" s="129">
        <f t="shared" si="256"/>
        <v>6.781324018</v>
      </c>
      <c r="L452" s="130">
        <v>0.6</v>
      </c>
      <c r="M452" s="129">
        <f t="shared" si="257"/>
        <v>4.520882679</v>
      </c>
      <c r="N452" s="130">
        <f t="shared" si="258"/>
        <v>0.4</v>
      </c>
      <c r="O452" s="131">
        <f t="array" ref="O452">INDEX('LPU Regionalizada'!$B$3:$N$785,MATCH($B452,'LPU Regionalizada'!$B$3:$B$785,0),MATCH(INDEX(CTRL!$F$3:$F$29,CTRL!$E$1),'LPU Regionalizada'!$B$3:$N$3,0))</f>
        <v>11.3022067</v>
      </c>
      <c r="P452" s="88"/>
      <c r="Q452" s="132">
        <f t="shared" si="259"/>
        <v>0</v>
      </c>
      <c r="R452" s="132">
        <f t="shared" si="260"/>
        <v>0</v>
      </c>
      <c r="S452" s="132">
        <f t="shared" si="261"/>
        <v>0</v>
      </c>
      <c r="T452" s="133">
        <f t="shared" si="262"/>
        <v>0</v>
      </c>
      <c r="U452" s="134">
        <f t="shared" si="214"/>
        <v>0</v>
      </c>
      <c r="V452" s="135"/>
      <c r="W452" s="136"/>
      <c r="X452" s="2"/>
      <c r="Y452" s="111"/>
      <c r="Z452" s="3"/>
    </row>
    <row r="453" ht="14.25" hidden="1" customHeight="1" outlineLevel="2">
      <c r="A453" s="124"/>
      <c r="B453" s="125" t="s">
        <v>940</v>
      </c>
      <c r="C453" s="126" t="s">
        <v>941</v>
      </c>
      <c r="D453" s="127" t="s">
        <v>142</v>
      </c>
      <c r="E453" s="35"/>
      <c r="F453" s="128"/>
      <c r="G453" s="128"/>
      <c r="H453" s="128"/>
      <c r="I453" s="127">
        <f t="shared" si="255"/>
        <v>0</v>
      </c>
      <c r="J453" s="88"/>
      <c r="K453" s="129">
        <f t="shared" si="256"/>
        <v>5.071398325</v>
      </c>
      <c r="L453" s="130">
        <v>0.6</v>
      </c>
      <c r="M453" s="129">
        <f t="shared" si="257"/>
        <v>3.380932217</v>
      </c>
      <c r="N453" s="130">
        <f t="shared" si="258"/>
        <v>0.4</v>
      </c>
      <c r="O453" s="131">
        <f t="array" ref="O453">INDEX('LPU Regionalizada'!$B$3:$N$785,MATCH($B453,'LPU Regionalizada'!$B$3:$B$785,0),MATCH(INDEX(CTRL!$F$3:$F$29,CTRL!$E$1),'LPU Regionalizada'!$B$3:$N$3,0))</f>
        <v>8.452330542</v>
      </c>
      <c r="P453" s="88"/>
      <c r="Q453" s="132">
        <f t="shared" si="259"/>
        <v>0</v>
      </c>
      <c r="R453" s="132">
        <f t="shared" si="260"/>
        <v>0</v>
      </c>
      <c r="S453" s="132">
        <f t="shared" si="261"/>
        <v>0</v>
      </c>
      <c r="T453" s="133">
        <f t="shared" si="262"/>
        <v>0</v>
      </c>
      <c r="U453" s="134">
        <f t="shared" si="214"/>
        <v>0</v>
      </c>
      <c r="V453" s="135"/>
      <c r="W453" s="136"/>
      <c r="X453" s="2"/>
      <c r="Y453" s="111"/>
      <c r="Z453" s="3"/>
    </row>
    <row r="454" ht="14.25" hidden="1" customHeight="1" outlineLevel="2">
      <c r="A454" s="124"/>
      <c r="B454" s="125" t="s">
        <v>942</v>
      </c>
      <c r="C454" s="126" t="s">
        <v>943</v>
      </c>
      <c r="D454" s="127" t="s">
        <v>142</v>
      </c>
      <c r="E454" s="35"/>
      <c r="F454" s="128"/>
      <c r="G454" s="128"/>
      <c r="H454" s="128"/>
      <c r="I454" s="127">
        <f t="shared" si="255"/>
        <v>0</v>
      </c>
      <c r="J454" s="88"/>
      <c r="K454" s="129">
        <f t="shared" si="256"/>
        <v>8.373040387</v>
      </c>
      <c r="L454" s="130">
        <v>0.6</v>
      </c>
      <c r="M454" s="129">
        <f t="shared" si="257"/>
        <v>5.582026925</v>
      </c>
      <c r="N454" s="130">
        <f t="shared" si="258"/>
        <v>0.4</v>
      </c>
      <c r="O454" s="131">
        <f t="array" ref="O454">INDEX('LPU Regionalizada'!$B$3:$N$785,MATCH($B454,'LPU Regionalizada'!$B$3:$B$785,0),MATCH(INDEX(CTRL!$F$3:$F$29,CTRL!$E$1),'LPU Regionalizada'!$B$3:$N$3,0))</f>
        <v>13.95506731</v>
      </c>
      <c r="P454" s="88"/>
      <c r="Q454" s="132">
        <f t="shared" si="259"/>
        <v>0</v>
      </c>
      <c r="R454" s="132">
        <f t="shared" si="260"/>
        <v>0</v>
      </c>
      <c r="S454" s="132">
        <f t="shared" si="261"/>
        <v>0</v>
      </c>
      <c r="T454" s="133">
        <f t="shared" si="262"/>
        <v>0</v>
      </c>
      <c r="U454" s="134">
        <f t="shared" si="214"/>
        <v>0</v>
      </c>
      <c r="V454" s="135"/>
      <c r="W454" s="136"/>
      <c r="X454" s="2"/>
      <c r="Y454" s="111"/>
      <c r="Z454" s="3"/>
    </row>
    <row r="455" ht="14.25" hidden="1" customHeight="1" outlineLevel="2">
      <c r="A455" s="124"/>
      <c r="B455" s="125" t="s">
        <v>944</v>
      </c>
      <c r="C455" s="126" t="s">
        <v>945</v>
      </c>
      <c r="D455" s="127" t="s">
        <v>946</v>
      </c>
      <c r="E455" s="35"/>
      <c r="F455" s="128"/>
      <c r="G455" s="128"/>
      <c r="H455" s="128"/>
      <c r="I455" s="127">
        <f t="shared" si="255"/>
        <v>0</v>
      </c>
      <c r="J455" s="88"/>
      <c r="K455" s="129">
        <f t="shared" si="256"/>
        <v>4.51131</v>
      </c>
      <c r="L455" s="130">
        <v>0.6</v>
      </c>
      <c r="M455" s="129">
        <f t="shared" si="257"/>
        <v>3.00754</v>
      </c>
      <c r="N455" s="130">
        <f t="shared" si="258"/>
        <v>0.4</v>
      </c>
      <c r="O455" s="131">
        <f t="array" ref="O455">INDEX('LPU Regionalizada'!$B$3:$N$785,MATCH($B455,'LPU Regionalizada'!$B$3:$B$785,0),MATCH(INDEX(CTRL!$F$3:$F$29,CTRL!$E$1),'LPU Regionalizada'!$B$3:$N$3,0))</f>
        <v>7.51885</v>
      </c>
      <c r="P455" s="88"/>
      <c r="Q455" s="132">
        <f t="shared" si="259"/>
        <v>0</v>
      </c>
      <c r="R455" s="132">
        <f t="shared" si="260"/>
        <v>0</v>
      </c>
      <c r="S455" s="132">
        <f t="shared" si="261"/>
        <v>0</v>
      </c>
      <c r="T455" s="133">
        <f t="shared" si="262"/>
        <v>0</v>
      </c>
      <c r="U455" s="134">
        <f t="shared" si="214"/>
        <v>0</v>
      </c>
      <c r="V455" s="135"/>
      <c r="W455" s="136"/>
      <c r="X455" s="2"/>
      <c r="Y455" s="111"/>
      <c r="Z455" s="3"/>
    </row>
    <row r="456" ht="14.25" hidden="1" customHeight="1" outlineLevel="2">
      <c r="A456" s="124"/>
      <c r="B456" s="125" t="s">
        <v>947</v>
      </c>
      <c r="C456" s="126" t="s">
        <v>948</v>
      </c>
      <c r="D456" s="127" t="s">
        <v>946</v>
      </c>
      <c r="E456" s="35"/>
      <c r="F456" s="128"/>
      <c r="G456" s="128"/>
      <c r="H456" s="128"/>
      <c r="I456" s="127">
        <f t="shared" si="255"/>
        <v>0</v>
      </c>
      <c r="J456" s="88"/>
      <c r="K456" s="129">
        <f t="shared" si="256"/>
        <v>2.937</v>
      </c>
      <c r="L456" s="130">
        <v>0.6</v>
      </c>
      <c r="M456" s="129">
        <f t="shared" si="257"/>
        <v>1.958</v>
      </c>
      <c r="N456" s="130">
        <f t="shared" si="258"/>
        <v>0.4</v>
      </c>
      <c r="O456" s="131">
        <f t="array" ref="O456">INDEX('LPU Regionalizada'!$B$3:$N$785,MATCH($B456,'LPU Regionalizada'!$B$3:$B$785,0),MATCH(INDEX(CTRL!$F$3:$F$29,CTRL!$E$1),'LPU Regionalizada'!$B$3:$N$3,0))</f>
        <v>4.895</v>
      </c>
      <c r="P456" s="88"/>
      <c r="Q456" s="132">
        <f t="shared" si="259"/>
        <v>0</v>
      </c>
      <c r="R456" s="132">
        <f t="shared" si="260"/>
        <v>0</v>
      </c>
      <c r="S456" s="132">
        <f t="shared" si="261"/>
        <v>0</v>
      </c>
      <c r="T456" s="133">
        <f t="shared" si="262"/>
        <v>0</v>
      </c>
      <c r="U456" s="134">
        <f t="shared" si="214"/>
        <v>0</v>
      </c>
      <c r="V456" s="135"/>
      <c r="W456" s="136"/>
      <c r="X456" s="2"/>
      <c r="Y456" s="111"/>
      <c r="Z456" s="3"/>
    </row>
    <row r="457" ht="14.25" hidden="1" customHeight="1" outlineLevel="1">
      <c r="A457" s="112"/>
      <c r="B457" s="113" t="s">
        <v>949</v>
      </c>
      <c r="C457" s="114" t="s">
        <v>950</v>
      </c>
      <c r="D457" s="115"/>
      <c r="E457" s="35"/>
      <c r="F457" s="113"/>
      <c r="G457" s="116"/>
      <c r="H457" s="116"/>
      <c r="I457" s="115"/>
      <c r="J457" s="88"/>
      <c r="K457" s="117"/>
      <c r="L457" s="118"/>
      <c r="M457" s="118"/>
      <c r="N457" s="118"/>
      <c r="O457" s="119"/>
      <c r="P457" s="88"/>
      <c r="Q457" s="120"/>
      <c r="R457" s="120"/>
      <c r="S457" s="120"/>
      <c r="T457" s="120">
        <f>SUM(T458:T490)</f>
        <v>0</v>
      </c>
      <c r="U457" s="121">
        <f t="shared" si="214"/>
        <v>0</v>
      </c>
      <c r="V457" s="122"/>
      <c r="W457" s="123"/>
      <c r="X457" s="2"/>
      <c r="Y457" s="111"/>
      <c r="Z457" s="3"/>
    </row>
    <row r="458" ht="14.25" hidden="1" customHeight="1" outlineLevel="2">
      <c r="A458" s="124"/>
      <c r="B458" s="125" t="s">
        <v>951</v>
      </c>
      <c r="C458" s="126" t="s">
        <v>952</v>
      </c>
      <c r="D458" s="127" t="s">
        <v>142</v>
      </c>
      <c r="E458" s="35"/>
      <c r="F458" s="128"/>
      <c r="G458" s="128"/>
      <c r="H458" s="128"/>
      <c r="I458" s="127">
        <f t="shared" ref="I458:I490" si="263">F458+G458+H458</f>
        <v>0</v>
      </c>
      <c r="J458" s="88"/>
      <c r="K458" s="129">
        <f t="shared" ref="K458:K490" si="264">L458*O458</f>
        <v>228.0528</v>
      </c>
      <c r="L458" s="130">
        <v>0.6</v>
      </c>
      <c r="M458" s="129">
        <f t="shared" ref="M458:M490" si="265">N458*O458</f>
        <v>152.0352</v>
      </c>
      <c r="N458" s="130">
        <f t="shared" ref="N458:N490" si="266">100%-L458</f>
        <v>0.4</v>
      </c>
      <c r="O458" s="131">
        <f t="array" ref="O458">INDEX('LPU Regionalizada'!$B$3:$N$785,MATCH($B458,'LPU Regionalizada'!$B$3:$B$785,0),MATCH(INDEX(CTRL!$F$3:$F$29,CTRL!$E$1),'LPU Regionalizada'!$B$3:$N$3,0))</f>
        <v>380.088</v>
      </c>
      <c r="P458" s="88"/>
      <c r="Q458" s="132">
        <f t="shared" ref="Q458:Q490" si="267">F458*O458</f>
        <v>0</v>
      </c>
      <c r="R458" s="132">
        <f t="shared" ref="R458:R490" si="268">G458*O458</f>
        <v>0</v>
      </c>
      <c r="S458" s="132">
        <f t="shared" ref="S458:S490" si="269">H458*O458</f>
        <v>0</v>
      </c>
      <c r="T458" s="133">
        <f t="shared" ref="T458:T490" si="270">SUM(Q458:S458)</f>
        <v>0</v>
      </c>
      <c r="U458" s="134">
        <f t="shared" si="214"/>
        <v>0</v>
      </c>
      <c r="V458" s="135"/>
      <c r="W458" s="136"/>
      <c r="X458" s="2"/>
      <c r="Y458" s="111"/>
      <c r="Z458" s="3"/>
    </row>
    <row r="459" ht="14.25" hidden="1" customHeight="1" outlineLevel="2">
      <c r="A459" s="124"/>
      <c r="B459" s="125" t="s">
        <v>953</v>
      </c>
      <c r="C459" s="126" t="s">
        <v>954</v>
      </c>
      <c r="D459" s="127" t="s">
        <v>142</v>
      </c>
      <c r="E459" s="35"/>
      <c r="F459" s="128"/>
      <c r="G459" s="128"/>
      <c r="H459" s="128"/>
      <c r="I459" s="127">
        <f t="shared" si="263"/>
        <v>0</v>
      </c>
      <c r="J459" s="88"/>
      <c r="K459" s="129">
        <f t="shared" si="264"/>
        <v>141.8741088</v>
      </c>
      <c r="L459" s="130">
        <v>0.6</v>
      </c>
      <c r="M459" s="129">
        <f t="shared" si="265"/>
        <v>94.5827392</v>
      </c>
      <c r="N459" s="130">
        <f t="shared" si="266"/>
        <v>0.4</v>
      </c>
      <c r="O459" s="131">
        <f t="array" ref="O459">INDEX('LPU Regionalizada'!$B$3:$N$785,MATCH($B459,'LPU Regionalizada'!$B$3:$B$785,0),MATCH(INDEX(CTRL!$F$3:$F$29,CTRL!$E$1),'LPU Regionalizada'!$B$3:$N$3,0))</f>
        <v>236.456848</v>
      </c>
      <c r="P459" s="88"/>
      <c r="Q459" s="132">
        <f t="shared" si="267"/>
        <v>0</v>
      </c>
      <c r="R459" s="132">
        <f t="shared" si="268"/>
        <v>0</v>
      </c>
      <c r="S459" s="132">
        <f t="shared" si="269"/>
        <v>0</v>
      </c>
      <c r="T459" s="133">
        <f t="shared" si="270"/>
        <v>0</v>
      </c>
      <c r="U459" s="134">
        <f t="shared" si="214"/>
        <v>0</v>
      </c>
      <c r="V459" s="135"/>
      <c r="W459" s="136"/>
      <c r="X459" s="2"/>
      <c r="Y459" s="111"/>
      <c r="Z459" s="3"/>
    </row>
    <row r="460" ht="14.25" hidden="1" customHeight="1" outlineLevel="2">
      <c r="A460" s="124"/>
      <c r="B460" s="125" t="s">
        <v>955</v>
      </c>
      <c r="C460" s="126" t="s">
        <v>956</v>
      </c>
      <c r="D460" s="127" t="s">
        <v>142</v>
      </c>
      <c r="E460" s="35"/>
      <c r="F460" s="128"/>
      <c r="G460" s="128"/>
      <c r="H460" s="128"/>
      <c r="I460" s="127">
        <f t="shared" si="263"/>
        <v>0</v>
      </c>
      <c r="J460" s="88"/>
      <c r="K460" s="129">
        <f t="shared" si="264"/>
        <v>188.2744076</v>
      </c>
      <c r="L460" s="130">
        <v>0.6</v>
      </c>
      <c r="M460" s="129">
        <f t="shared" si="265"/>
        <v>125.5162717</v>
      </c>
      <c r="N460" s="130">
        <f t="shared" si="266"/>
        <v>0.4</v>
      </c>
      <c r="O460" s="131">
        <f t="array" ref="O460">INDEX('LPU Regionalizada'!$B$3:$N$785,MATCH($B460,'LPU Regionalizada'!$B$3:$B$785,0),MATCH(INDEX(CTRL!$F$3:$F$29,CTRL!$E$1),'LPU Regionalizada'!$B$3:$N$3,0))</f>
        <v>313.7906793</v>
      </c>
      <c r="P460" s="88"/>
      <c r="Q460" s="132">
        <f t="shared" si="267"/>
        <v>0</v>
      </c>
      <c r="R460" s="132">
        <f t="shared" si="268"/>
        <v>0</v>
      </c>
      <c r="S460" s="132">
        <f t="shared" si="269"/>
        <v>0</v>
      </c>
      <c r="T460" s="133">
        <f t="shared" si="270"/>
        <v>0</v>
      </c>
      <c r="U460" s="134">
        <f t="shared" si="214"/>
        <v>0</v>
      </c>
      <c r="V460" s="135"/>
      <c r="W460" s="136"/>
      <c r="X460" s="2"/>
      <c r="Y460" s="111"/>
      <c r="Z460" s="3"/>
    </row>
    <row r="461" ht="14.25" hidden="1" customHeight="1" outlineLevel="2">
      <c r="A461" s="124"/>
      <c r="B461" s="125" t="s">
        <v>957</v>
      </c>
      <c r="C461" s="126" t="s">
        <v>958</v>
      </c>
      <c r="D461" s="127" t="s">
        <v>142</v>
      </c>
      <c r="E461" s="35"/>
      <c r="F461" s="128"/>
      <c r="G461" s="128"/>
      <c r="H461" s="128"/>
      <c r="I461" s="127">
        <f t="shared" si="263"/>
        <v>0</v>
      </c>
      <c r="J461" s="88"/>
      <c r="K461" s="129">
        <f t="shared" si="264"/>
        <v>138.3805945</v>
      </c>
      <c r="L461" s="130">
        <v>0.6</v>
      </c>
      <c r="M461" s="129">
        <f t="shared" si="265"/>
        <v>92.25372969</v>
      </c>
      <c r="N461" s="130">
        <f t="shared" si="266"/>
        <v>0.4</v>
      </c>
      <c r="O461" s="131">
        <f t="array" ref="O461">INDEX('LPU Regionalizada'!$B$3:$N$785,MATCH($B461,'LPU Regionalizada'!$B$3:$B$785,0),MATCH(INDEX(CTRL!$F$3:$F$29,CTRL!$E$1),'LPU Regionalizada'!$B$3:$N$3,0))</f>
        <v>230.6343242</v>
      </c>
      <c r="P461" s="88"/>
      <c r="Q461" s="132">
        <f t="shared" si="267"/>
        <v>0</v>
      </c>
      <c r="R461" s="132">
        <f t="shared" si="268"/>
        <v>0</v>
      </c>
      <c r="S461" s="132">
        <f t="shared" si="269"/>
        <v>0</v>
      </c>
      <c r="T461" s="133">
        <f t="shared" si="270"/>
        <v>0</v>
      </c>
      <c r="U461" s="134">
        <f t="shared" si="214"/>
        <v>0</v>
      </c>
      <c r="V461" s="135"/>
      <c r="W461" s="136"/>
      <c r="X461" s="2"/>
      <c r="Y461" s="111"/>
      <c r="Z461" s="3"/>
    </row>
    <row r="462" ht="14.25" hidden="1" customHeight="1" outlineLevel="2">
      <c r="A462" s="124"/>
      <c r="B462" s="125" t="s">
        <v>959</v>
      </c>
      <c r="C462" s="126" t="s">
        <v>960</v>
      </c>
      <c r="D462" s="127" t="s">
        <v>142</v>
      </c>
      <c r="E462" s="35"/>
      <c r="F462" s="128"/>
      <c r="G462" s="128"/>
      <c r="H462" s="128"/>
      <c r="I462" s="127">
        <f t="shared" si="263"/>
        <v>0</v>
      </c>
      <c r="J462" s="88"/>
      <c r="K462" s="129">
        <f t="shared" si="264"/>
        <v>393.432</v>
      </c>
      <c r="L462" s="130">
        <v>0.6</v>
      </c>
      <c r="M462" s="129">
        <f t="shared" si="265"/>
        <v>262.288</v>
      </c>
      <c r="N462" s="130">
        <f t="shared" si="266"/>
        <v>0.4</v>
      </c>
      <c r="O462" s="131">
        <f t="array" ref="O462">INDEX('LPU Regionalizada'!$B$3:$N$785,MATCH($B462,'LPU Regionalizada'!$B$3:$B$785,0),MATCH(INDEX(CTRL!$F$3:$F$29,CTRL!$E$1),'LPU Regionalizada'!$B$3:$N$3,0))</f>
        <v>655.72</v>
      </c>
      <c r="P462" s="88"/>
      <c r="Q462" s="132">
        <f t="shared" si="267"/>
        <v>0</v>
      </c>
      <c r="R462" s="132">
        <f t="shared" si="268"/>
        <v>0</v>
      </c>
      <c r="S462" s="132">
        <f t="shared" si="269"/>
        <v>0</v>
      </c>
      <c r="T462" s="133">
        <f t="shared" si="270"/>
        <v>0</v>
      </c>
      <c r="U462" s="134">
        <f t="shared" si="214"/>
        <v>0</v>
      </c>
      <c r="V462" s="135"/>
      <c r="W462" s="136"/>
      <c r="X462" s="2"/>
      <c r="Y462" s="111"/>
      <c r="Z462" s="3"/>
    </row>
    <row r="463" ht="14.25" hidden="1" customHeight="1" outlineLevel="2">
      <c r="A463" s="124"/>
      <c r="B463" s="125" t="s">
        <v>961</v>
      </c>
      <c r="C463" s="126" t="s">
        <v>962</v>
      </c>
      <c r="D463" s="127" t="s">
        <v>142</v>
      </c>
      <c r="E463" s="35"/>
      <c r="F463" s="128"/>
      <c r="G463" s="128"/>
      <c r="H463" s="128">
        <v>0.0</v>
      </c>
      <c r="I463" s="127">
        <f t="shared" si="263"/>
        <v>0</v>
      </c>
      <c r="J463" s="88"/>
      <c r="K463" s="129">
        <f t="shared" si="264"/>
        <v>85.176</v>
      </c>
      <c r="L463" s="130">
        <v>0.6</v>
      </c>
      <c r="M463" s="129">
        <f t="shared" si="265"/>
        <v>56.784</v>
      </c>
      <c r="N463" s="130">
        <f t="shared" si="266"/>
        <v>0.4</v>
      </c>
      <c r="O463" s="131">
        <f t="array" ref="O463">INDEX('LPU Regionalizada'!$B$3:$N$785,MATCH($B463,'LPU Regionalizada'!$B$3:$B$785,0),MATCH(INDEX(CTRL!$F$3:$F$29,CTRL!$E$1),'LPU Regionalizada'!$B$3:$N$3,0))</f>
        <v>141.96</v>
      </c>
      <c r="P463" s="88"/>
      <c r="Q463" s="132">
        <f t="shared" si="267"/>
        <v>0</v>
      </c>
      <c r="R463" s="132">
        <f t="shared" si="268"/>
        <v>0</v>
      </c>
      <c r="S463" s="132">
        <f t="shared" si="269"/>
        <v>0</v>
      </c>
      <c r="T463" s="133">
        <f t="shared" si="270"/>
        <v>0</v>
      </c>
      <c r="U463" s="134">
        <f t="shared" si="214"/>
        <v>0</v>
      </c>
      <c r="V463" s="135"/>
      <c r="W463" s="136"/>
      <c r="X463" s="2"/>
      <c r="Y463" s="111"/>
      <c r="Z463" s="3"/>
    </row>
    <row r="464" ht="14.25" hidden="1" customHeight="1" outlineLevel="2">
      <c r="A464" s="124"/>
      <c r="B464" s="125" t="s">
        <v>963</v>
      </c>
      <c r="C464" s="126" t="s">
        <v>964</v>
      </c>
      <c r="D464" s="127" t="s">
        <v>180</v>
      </c>
      <c r="E464" s="35"/>
      <c r="F464" s="128"/>
      <c r="G464" s="128"/>
      <c r="H464" s="128"/>
      <c r="I464" s="127">
        <f t="shared" si="263"/>
        <v>0</v>
      </c>
      <c r="J464" s="88"/>
      <c r="K464" s="129">
        <f t="shared" si="264"/>
        <v>33.2592</v>
      </c>
      <c r="L464" s="130">
        <v>0.6</v>
      </c>
      <c r="M464" s="129">
        <f t="shared" si="265"/>
        <v>22.1728</v>
      </c>
      <c r="N464" s="130">
        <f t="shared" si="266"/>
        <v>0.4</v>
      </c>
      <c r="O464" s="131">
        <f t="array" ref="O464">INDEX('LPU Regionalizada'!$B$3:$N$785,MATCH($B464,'LPU Regionalizada'!$B$3:$B$785,0),MATCH(INDEX(CTRL!$F$3:$F$29,CTRL!$E$1),'LPU Regionalizada'!$B$3:$N$3,0))</f>
        <v>55.432</v>
      </c>
      <c r="P464" s="88"/>
      <c r="Q464" s="132">
        <f t="shared" si="267"/>
        <v>0</v>
      </c>
      <c r="R464" s="132">
        <f t="shared" si="268"/>
        <v>0</v>
      </c>
      <c r="S464" s="132">
        <f t="shared" si="269"/>
        <v>0</v>
      </c>
      <c r="T464" s="133">
        <f t="shared" si="270"/>
        <v>0</v>
      </c>
      <c r="U464" s="134">
        <f t="shared" si="214"/>
        <v>0</v>
      </c>
      <c r="V464" s="135"/>
      <c r="W464" s="136"/>
      <c r="X464" s="2"/>
      <c r="Y464" s="111"/>
      <c r="Z464" s="3"/>
    </row>
    <row r="465" ht="14.25" hidden="1" customHeight="1" outlineLevel="2">
      <c r="A465" s="124"/>
      <c r="B465" s="125" t="s">
        <v>965</v>
      </c>
      <c r="C465" s="126" t="s">
        <v>966</v>
      </c>
      <c r="D465" s="127" t="s">
        <v>142</v>
      </c>
      <c r="E465" s="35"/>
      <c r="F465" s="128"/>
      <c r="G465" s="128"/>
      <c r="H465" s="128"/>
      <c r="I465" s="127">
        <f t="shared" si="263"/>
        <v>0</v>
      </c>
      <c r="J465" s="88"/>
      <c r="K465" s="129">
        <f t="shared" si="264"/>
        <v>3052.346233</v>
      </c>
      <c r="L465" s="130">
        <v>0.6</v>
      </c>
      <c r="M465" s="129">
        <f t="shared" si="265"/>
        <v>2034.897489</v>
      </c>
      <c r="N465" s="130">
        <f t="shared" si="266"/>
        <v>0.4</v>
      </c>
      <c r="O465" s="131">
        <f t="array" ref="O465">INDEX('LPU Regionalizada'!$B$3:$N$785,MATCH($B465,'LPU Regionalizada'!$B$3:$B$785,0),MATCH(INDEX(CTRL!$F$3:$F$29,CTRL!$E$1),'LPU Regionalizada'!$B$3:$N$3,0))</f>
        <v>5087.243722</v>
      </c>
      <c r="P465" s="88"/>
      <c r="Q465" s="132">
        <f t="shared" si="267"/>
        <v>0</v>
      </c>
      <c r="R465" s="132">
        <f t="shared" si="268"/>
        <v>0</v>
      </c>
      <c r="S465" s="132">
        <f t="shared" si="269"/>
        <v>0</v>
      </c>
      <c r="T465" s="133">
        <f t="shared" si="270"/>
        <v>0</v>
      </c>
      <c r="U465" s="134">
        <f t="shared" si="214"/>
        <v>0</v>
      </c>
      <c r="V465" s="135"/>
      <c r="W465" s="136"/>
      <c r="X465" s="2"/>
      <c r="Y465" s="111"/>
      <c r="Z465" s="3"/>
    </row>
    <row r="466" ht="14.25" hidden="1" customHeight="1" outlineLevel="2">
      <c r="A466" s="124"/>
      <c r="B466" s="125" t="s">
        <v>967</v>
      </c>
      <c r="C466" s="126" t="s">
        <v>968</v>
      </c>
      <c r="D466" s="127" t="s">
        <v>142</v>
      </c>
      <c r="E466" s="35"/>
      <c r="F466" s="128"/>
      <c r="G466" s="128"/>
      <c r="H466" s="128"/>
      <c r="I466" s="127">
        <f t="shared" si="263"/>
        <v>0</v>
      </c>
      <c r="J466" s="88"/>
      <c r="K466" s="129">
        <f t="shared" si="264"/>
        <v>3170.944383</v>
      </c>
      <c r="L466" s="130">
        <v>0.6</v>
      </c>
      <c r="M466" s="129">
        <f t="shared" si="265"/>
        <v>2113.962922</v>
      </c>
      <c r="N466" s="130">
        <f t="shared" si="266"/>
        <v>0.4</v>
      </c>
      <c r="O466" s="131">
        <f t="array" ref="O466">INDEX('LPU Regionalizada'!$B$3:$N$785,MATCH($B466,'LPU Regionalizada'!$B$3:$B$785,0),MATCH(INDEX(CTRL!$F$3:$F$29,CTRL!$E$1),'LPU Regionalizada'!$B$3:$N$3,0))</f>
        <v>5284.907306</v>
      </c>
      <c r="P466" s="88"/>
      <c r="Q466" s="132">
        <f t="shared" si="267"/>
        <v>0</v>
      </c>
      <c r="R466" s="132">
        <f t="shared" si="268"/>
        <v>0</v>
      </c>
      <c r="S466" s="132">
        <f t="shared" si="269"/>
        <v>0</v>
      </c>
      <c r="T466" s="133">
        <f t="shared" si="270"/>
        <v>0</v>
      </c>
      <c r="U466" s="134">
        <f t="shared" si="214"/>
        <v>0</v>
      </c>
      <c r="V466" s="135"/>
      <c r="W466" s="136"/>
      <c r="X466" s="2"/>
      <c r="Y466" s="111"/>
      <c r="Z466" s="3"/>
    </row>
    <row r="467" ht="14.25" hidden="1" customHeight="1" outlineLevel="2">
      <c r="A467" s="124"/>
      <c r="B467" s="125" t="s">
        <v>969</v>
      </c>
      <c r="C467" s="126" t="s">
        <v>970</v>
      </c>
      <c r="D467" s="127" t="s">
        <v>142</v>
      </c>
      <c r="E467" s="35"/>
      <c r="F467" s="128"/>
      <c r="G467" s="128"/>
      <c r="H467" s="128"/>
      <c r="I467" s="127">
        <f t="shared" si="263"/>
        <v>0</v>
      </c>
      <c r="J467" s="88"/>
      <c r="K467" s="129">
        <f t="shared" si="264"/>
        <v>268.944</v>
      </c>
      <c r="L467" s="130">
        <v>0.6</v>
      </c>
      <c r="M467" s="129">
        <f t="shared" si="265"/>
        <v>179.296</v>
      </c>
      <c r="N467" s="130">
        <f t="shared" si="266"/>
        <v>0.4</v>
      </c>
      <c r="O467" s="131">
        <f t="array" ref="O467">INDEX('LPU Regionalizada'!$B$3:$N$785,MATCH($B467,'LPU Regionalizada'!$B$3:$B$785,0),MATCH(INDEX(CTRL!$F$3:$F$29,CTRL!$E$1),'LPU Regionalizada'!$B$3:$N$3,0))</f>
        <v>448.24</v>
      </c>
      <c r="P467" s="88"/>
      <c r="Q467" s="132">
        <f t="shared" si="267"/>
        <v>0</v>
      </c>
      <c r="R467" s="132">
        <f t="shared" si="268"/>
        <v>0</v>
      </c>
      <c r="S467" s="132">
        <f t="shared" si="269"/>
        <v>0</v>
      </c>
      <c r="T467" s="133">
        <f t="shared" si="270"/>
        <v>0</v>
      </c>
      <c r="U467" s="134">
        <f t="shared" si="214"/>
        <v>0</v>
      </c>
      <c r="V467" s="135"/>
      <c r="W467" s="136"/>
      <c r="X467" s="2"/>
      <c r="Y467" s="111"/>
      <c r="Z467" s="3"/>
    </row>
    <row r="468" ht="14.25" hidden="1" customHeight="1" outlineLevel="2">
      <c r="A468" s="124"/>
      <c r="B468" s="125" t="s">
        <v>971</v>
      </c>
      <c r="C468" s="126" t="s">
        <v>972</v>
      </c>
      <c r="D468" s="127" t="s">
        <v>142</v>
      </c>
      <c r="E468" s="35"/>
      <c r="F468" s="128"/>
      <c r="G468" s="128"/>
      <c r="H468" s="128"/>
      <c r="I468" s="127">
        <f t="shared" si="263"/>
        <v>0</v>
      </c>
      <c r="J468" s="88"/>
      <c r="K468" s="129">
        <f t="shared" si="264"/>
        <v>1353.2688</v>
      </c>
      <c r="L468" s="130">
        <v>0.6</v>
      </c>
      <c r="M468" s="129">
        <f t="shared" si="265"/>
        <v>902.1792</v>
      </c>
      <c r="N468" s="130">
        <f t="shared" si="266"/>
        <v>0.4</v>
      </c>
      <c r="O468" s="131">
        <f t="array" ref="O468">INDEX('LPU Regionalizada'!$B$3:$N$785,MATCH($B468,'LPU Regionalizada'!$B$3:$B$785,0),MATCH(INDEX(CTRL!$F$3:$F$29,CTRL!$E$1),'LPU Regionalizada'!$B$3:$N$3,0))</f>
        <v>2255.448</v>
      </c>
      <c r="P468" s="88"/>
      <c r="Q468" s="132">
        <f t="shared" si="267"/>
        <v>0</v>
      </c>
      <c r="R468" s="132">
        <f t="shared" si="268"/>
        <v>0</v>
      </c>
      <c r="S468" s="132">
        <f t="shared" si="269"/>
        <v>0</v>
      </c>
      <c r="T468" s="133">
        <f t="shared" si="270"/>
        <v>0</v>
      </c>
      <c r="U468" s="134">
        <f t="shared" si="214"/>
        <v>0</v>
      </c>
      <c r="V468" s="135"/>
      <c r="W468" s="136"/>
      <c r="X468" s="2"/>
      <c r="Y468" s="111"/>
      <c r="Z468" s="3"/>
    </row>
    <row r="469" ht="14.25" hidden="1" customHeight="1" outlineLevel="2">
      <c r="A469" s="124"/>
      <c r="B469" s="125" t="s">
        <v>973</v>
      </c>
      <c r="C469" s="126" t="s">
        <v>974</v>
      </c>
      <c r="D469" s="127" t="s">
        <v>142</v>
      </c>
      <c r="E469" s="35"/>
      <c r="F469" s="128"/>
      <c r="G469" s="128"/>
      <c r="H469" s="128"/>
      <c r="I469" s="127">
        <f t="shared" si="263"/>
        <v>0</v>
      </c>
      <c r="J469" s="88"/>
      <c r="K469" s="129">
        <f t="shared" si="264"/>
        <v>1437.6336</v>
      </c>
      <c r="L469" s="130">
        <v>0.6</v>
      </c>
      <c r="M469" s="129">
        <f t="shared" si="265"/>
        <v>958.4224</v>
      </c>
      <c r="N469" s="130">
        <f t="shared" si="266"/>
        <v>0.4</v>
      </c>
      <c r="O469" s="131">
        <f t="array" ref="O469">INDEX('LPU Regionalizada'!$B$3:$N$785,MATCH($B469,'LPU Regionalizada'!$B$3:$B$785,0),MATCH(INDEX(CTRL!$F$3:$F$29,CTRL!$E$1),'LPU Regionalizada'!$B$3:$N$3,0))</f>
        <v>2396.056</v>
      </c>
      <c r="P469" s="88"/>
      <c r="Q469" s="132">
        <f t="shared" si="267"/>
        <v>0</v>
      </c>
      <c r="R469" s="132">
        <f t="shared" si="268"/>
        <v>0</v>
      </c>
      <c r="S469" s="132">
        <f t="shared" si="269"/>
        <v>0</v>
      </c>
      <c r="T469" s="133">
        <f t="shared" si="270"/>
        <v>0</v>
      </c>
      <c r="U469" s="134">
        <f t="shared" si="214"/>
        <v>0</v>
      </c>
      <c r="V469" s="135"/>
      <c r="W469" s="136"/>
      <c r="X469" s="2"/>
      <c r="Y469" s="111"/>
      <c r="Z469" s="3"/>
    </row>
    <row r="470" ht="14.25" hidden="1" customHeight="1" outlineLevel="2">
      <c r="A470" s="124"/>
      <c r="B470" s="125" t="s">
        <v>975</v>
      </c>
      <c r="C470" s="126" t="s">
        <v>976</v>
      </c>
      <c r="D470" s="127" t="s">
        <v>142</v>
      </c>
      <c r="E470" s="35"/>
      <c r="F470" s="128"/>
      <c r="G470" s="128"/>
      <c r="H470" s="128"/>
      <c r="I470" s="127">
        <f t="shared" si="263"/>
        <v>0</v>
      </c>
      <c r="J470" s="88"/>
      <c r="K470" s="129">
        <f t="shared" si="264"/>
        <v>1603.350123</v>
      </c>
      <c r="L470" s="130">
        <v>0.6</v>
      </c>
      <c r="M470" s="129">
        <f t="shared" si="265"/>
        <v>1068.900082</v>
      </c>
      <c r="N470" s="130">
        <f t="shared" si="266"/>
        <v>0.4</v>
      </c>
      <c r="O470" s="131">
        <f t="array" ref="O470">INDEX('LPU Regionalizada'!$B$3:$N$785,MATCH($B470,'LPU Regionalizada'!$B$3:$B$785,0),MATCH(INDEX(CTRL!$F$3:$F$29,CTRL!$E$1),'LPU Regionalizada'!$B$3:$N$3,0))</f>
        <v>2672.250204</v>
      </c>
      <c r="P470" s="88"/>
      <c r="Q470" s="132">
        <f t="shared" si="267"/>
        <v>0</v>
      </c>
      <c r="R470" s="132">
        <f t="shared" si="268"/>
        <v>0</v>
      </c>
      <c r="S470" s="132">
        <f t="shared" si="269"/>
        <v>0</v>
      </c>
      <c r="T470" s="133">
        <f t="shared" si="270"/>
        <v>0</v>
      </c>
      <c r="U470" s="134">
        <f t="shared" si="214"/>
        <v>0</v>
      </c>
      <c r="V470" s="135"/>
      <c r="W470" s="136"/>
      <c r="X470" s="2"/>
      <c r="Y470" s="111"/>
      <c r="Z470" s="3"/>
    </row>
    <row r="471" ht="14.25" hidden="1" customHeight="1" outlineLevel="2">
      <c r="A471" s="124"/>
      <c r="B471" s="125" t="s">
        <v>977</v>
      </c>
      <c r="C471" s="126" t="s">
        <v>978</v>
      </c>
      <c r="D471" s="127" t="s">
        <v>142</v>
      </c>
      <c r="E471" s="35"/>
      <c r="F471" s="128"/>
      <c r="G471" s="128"/>
      <c r="H471" s="128"/>
      <c r="I471" s="127">
        <f t="shared" si="263"/>
        <v>0</v>
      </c>
      <c r="J471" s="88"/>
      <c r="K471" s="129">
        <f t="shared" si="264"/>
        <v>1728.96</v>
      </c>
      <c r="L471" s="130">
        <v>0.6</v>
      </c>
      <c r="M471" s="129">
        <f t="shared" si="265"/>
        <v>1152.64</v>
      </c>
      <c r="N471" s="130">
        <f t="shared" si="266"/>
        <v>0.4</v>
      </c>
      <c r="O471" s="131">
        <f t="array" ref="O471">INDEX('LPU Regionalizada'!$B$3:$N$785,MATCH($B471,'LPU Regionalizada'!$B$3:$B$785,0),MATCH(INDEX(CTRL!$F$3:$F$29,CTRL!$E$1),'LPU Regionalizada'!$B$3:$N$3,0))</f>
        <v>2881.6</v>
      </c>
      <c r="P471" s="88"/>
      <c r="Q471" s="132">
        <f t="shared" si="267"/>
        <v>0</v>
      </c>
      <c r="R471" s="132">
        <f t="shared" si="268"/>
        <v>0</v>
      </c>
      <c r="S471" s="132">
        <f t="shared" si="269"/>
        <v>0</v>
      </c>
      <c r="T471" s="133">
        <f t="shared" si="270"/>
        <v>0</v>
      </c>
      <c r="U471" s="134">
        <f t="shared" si="214"/>
        <v>0</v>
      </c>
      <c r="V471" s="135"/>
      <c r="W471" s="136"/>
      <c r="X471" s="2"/>
      <c r="Y471" s="111"/>
      <c r="Z471" s="3"/>
    </row>
    <row r="472" ht="14.25" hidden="1" customHeight="1" outlineLevel="2">
      <c r="A472" s="124"/>
      <c r="B472" s="125" t="s">
        <v>979</v>
      </c>
      <c r="C472" s="126" t="s">
        <v>980</v>
      </c>
      <c r="D472" s="127" t="s">
        <v>142</v>
      </c>
      <c r="E472" s="35"/>
      <c r="F472" s="128"/>
      <c r="G472" s="128"/>
      <c r="H472" s="128"/>
      <c r="I472" s="127">
        <f t="shared" si="263"/>
        <v>0</v>
      </c>
      <c r="J472" s="88"/>
      <c r="K472" s="129">
        <f t="shared" si="264"/>
        <v>224.9645611</v>
      </c>
      <c r="L472" s="130">
        <v>0.6</v>
      </c>
      <c r="M472" s="129">
        <f t="shared" si="265"/>
        <v>149.9763741</v>
      </c>
      <c r="N472" s="130">
        <f t="shared" si="266"/>
        <v>0.4</v>
      </c>
      <c r="O472" s="131">
        <f t="array" ref="O472">INDEX('LPU Regionalizada'!$B$3:$N$785,MATCH($B472,'LPU Regionalizada'!$B$3:$B$785,0),MATCH(INDEX(CTRL!$F$3:$F$29,CTRL!$E$1),'LPU Regionalizada'!$B$3:$N$3,0))</f>
        <v>374.9409352</v>
      </c>
      <c r="P472" s="88"/>
      <c r="Q472" s="132">
        <f t="shared" si="267"/>
        <v>0</v>
      </c>
      <c r="R472" s="132">
        <f t="shared" si="268"/>
        <v>0</v>
      </c>
      <c r="S472" s="132">
        <f t="shared" si="269"/>
        <v>0</v>
      </c>
      <c r="T472" s="133">
        <f t="shared" si="270"/>
        <v>0</v>
      </c>
      <c r="U472" s="134">
        <f t="shared" si="214"/>
        <v>0</v>
      </c>
      <c r="V472" s="135"/>
      <c r="W472" s="136"/>
      <c r="X472" s="2"/>
      <c r="Y472" s="111"/>
      <c r="Z472" s="3"/>
    </row>
    <row r="473" ht="14.25" hidden="1" customHeight="1" outlineLevel="2">
      <c r="A473" s="124"/>
      <c r="B473" s="125" t="s">
        <v>981</v>
      </c>
      <c r="C473" s="126" t="s">
        <v>982</v>
      </c>
      <c r="D473" s="127" t="s">
        <v>142</v>
      </c>
      <c r="E473" s="35"/>
      <c r="F473" s="128"/>
      <c r="G473" s="128"/>
      <c r="H473" s="128"/>
      <c r="I473" s="127">
        <f t="shared" si="263"/>
        <v>0</v>
      </c>
      <c r="J473" s="88"/>
      <c r="K473" s="129">
        <f t="shared" si="264"/>
        <v>162.810339</v>
      </c>
      <c r="L473" s="130">
        <v>0.6</v>
      </c>
      <c r="M473" s="129">
        <f t="shared" si="265"/>
        <v>108.540226</v>
      </c>
      <c r="N473" s="130">
        <f t="shared" si="266"/>
        <v>0.4</v>
      </c>
      <c r="O473" s="131">
        <f t="array" ref="O473">INDEX('LPU Regionalizada'!$B$3:$N$785,MATCH($B473,'LPU Regionalizada'!$B$3:$B$785,0),MATCH(INDEX(CTRL!$F$3:$F$29,CTRL!$E$1),'LPU Regionalizada'!$B$3:$N$3,0))</f>
        <v>271.350565</v>
      </c>
      <c r="P473" s="88"/>
      <c r="Q473" s="132">
        <f t="shared" si="267"/>
        <v>0</v>
      </c>
      <c r="R473" s="132">
        <f t="shared" si="268"/>
        <v>0</v>
      </c>
      <c r="S473" s="132">
        <f t="shared" si="269"/>
        <v>0</v>
      </c>
      <c r="T473" s="133">
        <f t="shared" si="270"/>
        <v>0</v>
      </c>
      <c r="U473" s="134">
        <f t="shared" si="214"/>
        <v>0</v>
      </c>
      <c r="V473" s="135"/>
      <c r="W473" s="136"/>
      <c r="X473" s="2"/>
      <c r="Y473" s="111"/>
      <c r="Z473" s="3"/>
    </row>
    <row r="474" ht="14.25" hidden="1" customHeight="1" outlineLevel="2">
      <c r="A474" s="124"/>
      <c r="B474" s="125" t="s">
        <v>983</v>
      </c>
      <c r="C474" s="126" t="s">
        <v>984</v>
      </c>
      <c r="D474" s="127" t="s">
        <v>142</v>
      </c>
      <c r="E474" s="35"/>
      <c r="F474" s="128"/>
      <c r="G474" s="128"/>
      <c r="H474" s="128"/>
      <c r="I474" s="127">
        <f t="shared" si="263"/>
        <v>0</v>
      </c>
      <c r="J474" s="88"/>
      <c r="K474" s="129">
        <f t="shared" si="264"/>
        <v>166.7728732</v>
      </c>
      <c r="L474" s="130">
        <v>0.6</v>
      </c>
      <c r="M474" s="129">
        <f t="shared" si="265"/>
        <v>111.1819155</v>
      </c>
      <c r="N474" s="130">
        <f t="shared" si="266"/>
        <v>0.4</v>
      </c>
      <c r="O474" s="131">
        <f t="array" ref="O474">INDEX('LPU Regionalizada'!$B$3:$N$785,MATCH($B474,'LPU Regionalizada'!$B$3:$B$785,0),MATCH(INDEX(CTRL!$F$3:$F$29,CTRL!$E$1),'LPU Regionalizada'!$B$3:$N$3,0))</f>
        <v>277.9547887</v>
      </c>
      <c r="P474" s="88"/>
      <c r="Q474" s="132">
        <f t="shared" si="267"/>
        <v>0</v>
      </c>
      <c r="R474" s="132">
        <f t="shared" si="268"/>
        <v>0</v>
      </c>
      <c r="S474" s="132">
        <f t="shared" si="269"/>
        <v>0</v>
      </c>
      <c r="T474" s="133">
        <f t="shared" si="270"/>
        <v>0</v>
      </c>
      <c r="U474" s="134">
        <f t="shared" si="214"/>
        <v>0</v>
      </c>
      <c r="V474" s="135"/>
      <c r="W474" s="136"/>
      <c r="X474" s="2"/>
      <c r="Y474" s="111"/>
      <c r="Z474" s="3"/>
    </row>
    <row r="475" ht="14.25" hidden="1" customHeight="1" outlineLevel="2">
      <c r="A475" s="124"/>
      <c r="B475" s="125" t="s">
        <v>985</v>
      </c>
      <c r="C475" s="126" t="s">
        <v>986</v>
      </c>
      <c r="D475" s="127" t="s">
        <v>142</v>
      </c>
      <c r="E475" s="35"/>
      <c r="F475" s="128"/>
      <c r="G475" s="128"/>
      <c r="H475" s="128">
        <v>0.0</v>
      </c>
      <c r="I475" s="127">
        <f t="shared" si="263"/>
        <v>0</v>
      </c>
      <c r="J475" s="88"/>
      <c r="K475" s="129">
        <f t="shared" si="264"/>
        <v>166.7728732</v>
      </c>
      <c r="L475" s="130">
        <v>0.6</v>
      </c>
      <c r="M475" s="129">
        <f t="shared" si="265"/>
        <v>111.1819155</v>
      </c>
      <c r="N475" s="130">
        <f t="shared" si="266"/>
        <v>0.4</v>
      </c>
      <c r="O475" s="131">
        <f t="array" ref="O475">INDEX('LPU Regionalizada'!$B$3:$N$785,MATCH($B475,'LPU Regionalizada'!$B$3:$B$785,0),MATCH(INDEX(CTRL!$F$3:$F$29,CTRL!$E$1),'LPU Regionalizada'!$B$3:$N$3,0))</f>
        <v>277.9547887</v>
      </c>
      <c r="P475" s="88"/>
      <c r="Q475" s="132">
        <f t="shared" si="267"/>
        <v>0</v>
      </c>
      <c r="R475" s="132">
        <f t="shared" si="268"/>
        <v>0</v>
      </c>
      <c r="S475" s="132">
        <f t="shared" si="269"/>
        <v>0</v>
      </c>
      <c r="T475" s="133">
        <f t="shared" si="270"/>
        <v>0</v>
      </c>
      <c r="U475" s="134">
        <f t="shared" si="214"/>
        <v>0</v>
      </c>
      <c r="V475" s="135"/>
      <c r="W475" s="136"/>
      <c r="X475" s="2"/>
      <c r="Y475" s="111"/>
      <c r="Z475" s="3"/>
    </row>
    <row r="476" ht="14.25" hidden="1" customHeight="1" outlineLevel="2">
      <c r="A476" s="124"/>
      <c r="B476" s="125" t="s">
        <v>987</v>
      </c>
      <c r="C476" s="126" t="s">
        <v>988</v>
      </c>
      <c r="D476" s="127" t="s">
        <v>142</v>
      </c>
      <c r="E476" s="35"/>
      <c r="F476" s="128"/>
      <c r="G476" s="128"/>
      <c r="H476" s="128"/>
      <c r="I476" s="127">
        <f t="shared" si="263"/>
        <v>0</v>
      </c>
      <c r="J476" s="88"/>
      <c r="K476" s="129">
        <f t="shared" si="264"/>
        <v>166.7728732</v>
      </c>
      <c r="L476" s="130">
        <v>0.6</v>
      </c>
      <c r="M476" s="129">
        <f t="shared" si="265"/>
        <v>111.1819155</v>
      </c>
      <c r="N476" s="130">
        <f t="shared" si="266"/>
        <v>0.4</v>
      </c>
      <c r="O476" s="131">
        <f t="array" ref="O476">INDEX('LPU Regionalizada'!$B$3:$N$785,MATCH($B476,'LPU Regionalizada'!$B$3:$B$785,0),MATCH(INDEX(CTRL!$F$3:$F$29,CTRL!$E$1),'LPU Regionalizada'!$B$3:$N$3,0))</f>
        <v>277.9547887</v>
      </c>
      <c r="P476" s="88"/>
      <c r="Q476" s="132">
        <f t="shared" si="267"/>
        <v>0</v>
      </c>
      <c r="R476" s="132">
        <f t="shared" si="268"/>
        <v>0</v>
      </c>
      <c r="S476" s="132">
        <f t="shared" si="269"/>
        <v>0</v>
      </c>
      <c r="T476" s="133">
        <f t="shared" si="270"/>
        <v>0</v>
      </c>
      <c r="U476" s="134">
        <f t="shared" si="214"/>
        <v>0</v>
      </c>
      <c r="V476" s="135"/>
      <c r="W476" s="136"/>
      <c r="X476" s="2"/>
      <c r="Y476" s="111"/>
      <c r="Z476" s="3"/>
    </row>
    <row r="477" ht="14.25" hidden="1" customHeight="1" outlineLevel="2">
      <c r="A477" s="124"/>
      <c r="B477" s="125" t="s">
        <v>989</v>
      </c>
      <c r="C477" s="126" t="s">
        <v>990</v>
      </c>
      <c r="D477" s="127" t="s">
        <v>142</v>
      </c>
      <c r="E477" s="35"/>
      <c r="F477" s="128"/>
      <c r="G477" s="128"/>
      <c r="H477" s="128"/>
      <c r="I477" s="127">
        <f t="shared" si="263"/>
        <v>0</v>
      </c>
      <c r="J477" s="88"/>
      <c r="K477" s="129">
        <f t="shared" si="264"/>
        <v>166.7728732</v>
      </c>
      <c r="L477" s="130">
        <v>0.6</v>
      </c>
      <c r="M477" s="129">
        <f t="shared" si="265"/>
        <v>111.1819155</v>
      </c>
      <c r="N477" s="130">
        <f t="shared" si="266"/>
        <v>0.4</v>
      </c>
      <c r="O477" s="131">
        <f t="array" ref="O477">INDEX('LPU Regionalizada'!$B$3:$N$785,MATCH($B477,'LPU Regionalizada'!$B$3:$B$785,0),MATCH(INDEX(CTRL!$F$3:$F$29,CTRL!$E$1),'LPU Regionalizada'!$B$3:$N$3,0))</f>
        <v>277.9547887</v>
      </c>
      <c r="P477" s="88"/>
      <c r="Q477" s="132">
        <f t="shared" si="267"/>
        <v>0</v>
      </c>
      <c r="R477" s="132">
        <f t="shared" si="268"/>
        <v>0</v>
      </c>
      <c r="S477" s="132">
        <f t="shared" si="269"/>
        <v>0</v>
      </c>
      <c r="T477" s="133">
        <f t="shared" si="270"/>
        <v>0</v>
      </c>
      <c r="U477" s="134">
        <f t="shared" si="214"/>
        <v>0</v>
      </c>
      <c r="V477" s="135"/>
      <c r="W477" s="136"/>
      <c r="X477" s="2"/>
      <c r="Y477" s="111"/>
      <c r="Z477" s="3"/>
    </row>
    <row r="478" ht="14.25" hidden="1" customHeight="1" outlineLevel="2">
      <c r="A478" s="124"/>
      <c r="B478" s="125" t="s">
        <v>991</v>
      </c>
      <c r="C478" s="126" t="s">
        <v>992</v>
      </c>
      <c r="D478" s="127" t="s">
        <v>142</v>
      </c>
      <c r="E478" s="35"/>
      <c r="F478" s="128"/>
      <c r="G478" s="128"/>
      <c r="H478" s="128"/>
      <c r="I478" s="127">
        <f t="shared" si="263"/>
        <v>0</v>
      </c>
      <c r="J478" s="88"/>
      <c r="K478" s="129">
        <f t="shared" si="264"/>
        <v>118.9126535</v>
      </c>
      <c r="L478" s="130">
        <v>0.6</v>
      </c>
      <c r="M478" s="129">
        <f t="shared" si="265"/>
        <v>79.27510232</v>
      </c>
      <c r="N478" s="130">
        <f t="shared" si="266"/>
        <v>0.4</v>
      </c>
      <c r="O478" s="131">
        <f t="array" ref="O478">INDEX('LPU Regionalizada'!$B$3:$N$785,MATCH($B478,'LPU Regionalizada'!$B$3:$B$785,0),MATCH(INDEX(CTRL!$F$3:$F$29,CTRL!$E$1),'LPU Regionalizada'!$B$3:$N$3,0))</f>
        <v>198.1877558</v>
      </c>
      <c r="P478" s="88"/>
      <c r="Q478" s="132">
        <f t="shared" si="267"/>
        <v>0</v>
      </c>
      <c r="R478" s="132">
        <f t="shared" si="268"/>
        <v>0</v>
      </c>
      <c r="S478" s="132">
        <f t="shared" si="269"/>
        <v>0</v>
      </c>
      <c r="T478" s="133">
        <f t="shared" si="270"/>
        <v>0</v>
      </c>
      <c r="U478" s="134">
        <f t="shared" si="214"/>
        <v>0</v>
      </c>
      <c r="V478" s="135"/>
      <c r="W478" s="136"/>
      <c r="X478" s="2"/>
      <c r="Y478" s="111"/>
      <c r="Z478" s="3"/>
    </row>
    <row r="479" ht="14.25" hidden="1" customHeight="1" outlineLevel="2">
      <c r="A479" s="124"/>
      <c r="B479" s="125" t="s">
        <v>993</v>
      </c>
      <c r="C479" s="126" t="s">
        <v>994</v>
      </c>
      <c r="D479" s="127" t="s">
        <v>142</v>
      </c>
      <c r="E479" s="35"/>
      <c r="F479" s="128"/>
      <c r="G479" s="128"/>
      <c r="H479" s="128"/>
      <c r="I479" s="127">
        <f t="shared" si="263"/>
        <v>0</v>
      </c>
      <c r="J479" s="88"/>
      <c r="K479" s="129">
        <f t="shared" si="264"/>
        <v>110.0996353</v>
      </c>
      <c r="L479" s="130">
        <v>0.6</v>
      </c>
      <c r="M479" s="129">
        <f t="shared" si="265"/>
        <v>73.39975687</v>
      </c>
      <c r="N479" s="130">
        <f t="shared" si="266"/>
        <v>0.4</v>
      </c>
      <c r="O479" s="131">
        <f t="array" ref="O479">INDEX('LPU Regionalizada'!$B$3:$N$785,MATCH($B479,'LPU Regionalizada'!$B$3:$B$785,0),MATCH(INDEX(CTRL!$F$3:$F$29,CTRL!$E$1),'LPU Regionalizada'!$B$3:$N$3,0))</f>
        <v>183.4993922</v>
      </c>
      <c r="P479" s="88"/>
      <c r="Q479" s="132">
        <f t="shared" si="267"/>
        <v>0</v>
      </c>
      <c r="R479" s="132">
        <f t="shared" si="268"/>
        <v>0</v>
      </c>
      <c r="S479" s="132">
        <f t="shared" si="269"/>
        <v>0</v>
      </c>
      <c r="T479" s="133">
        <f t="shared" si="270"/>
        <v>0</v>
      </c>
      <c r="U479" s="134">
        <f t="shared" si="214"/>
        <v>0</v>
      </c>
      <c r="V479" s="135"/>
      <c r="W479" s="136"/>
      <c r="X479" s="2"/>
      <c r="Y479" s="111"/>
      <c r="Z479" s="3"/>
    </row>
    <row r="480" ht="14.25" hidden="1" customHeight="1" outlineLevel="2">
      <c r="A480" s="124"/>
      <c r="B480" s="125" t="s">
        <v>995</v>
      </c>
      <c r="C480" s="126" t="s">
        <v>996</v>
      </c>
      <c r="D480" s="127" t="s">
        <v>142</v>
      </c>
      <c r="E480" s="35"/>
      <c r="F480" s="128"/>
      <c r="G480" s="128"/>
      <c r="H480" s="128"/>
      <c r="I480" s="127">
        <f t="shared" si="263"/>
        <v>0</v>
      </c>
      <c r="J480" s="88"/>
      <c r="K480" s="129">
        <f t="shared" si="264"/>
        <v>117.6792</v>
      </c>
      <c r="L480" s="130">
        <v>0.6</v>
      </c>
      <c r="M480" s="129">
        <f t="shared" si="265"/>
        <v>78.4528</v>
      </c>
      <c r="N480" s="130">
        <f t="shared" si="266"/>
        <v>0.4</v>
      </c>
      <c r="O480" s="131">
        <f t="array" ref="O480">INDEX('LPU Regionalizada'!$B$3:$N$785,MATCH($B480,'LPU Regionalizada'!$B$3:$B$785,0),MATCH(INDEX(CTRL!$F$3:$F$29,CTRL!$E$1),'LPU Regionalizada'!$B$3:$N$3,0))</f>
        <v>196.132</v>
      </c>
      <c r="P480" s="88"/>
      <c r="Q480" s="132">
        <f t="shared" si="267"/>
        <v>0</v>
      </c>
      <c r="R480" s="132">
        <f t="shared" si="268"/>
        <v>0</v>
      </c>
      <c r="S480" s="132">
        <f t="shared" si="269"/>
        <v>0</v>
      </c>
      <c r="T480" s="133">
        <f t="shared" si="270"/>
        <v>0</v>
      </c>
      <c r="U480" s="134">
        <f t="shared" si="214"/>
        <v>0</v>
      </c>
      <c r="V480" s="135"/>
      <c r="W480" s="136"/>
      <c r="X480" s="2"/>
      <c r="Y480" s="111"/>
      <c r="Z480" s="3"/>
    </row>
    <row r="481" ht="14.25" hidden="1" customHeight="1" outlineLevel="2">
      <c r="A481" s="124"/>
      <c r="B481" s="125" t="s">
        <v>997</v>
      </c>
      <c r="C481" s="126" t="s">
        <v>998</v>
      </c>
      <c r="D481" s="127" t="s">
        <v>142</v>
      </c>
      <c r="E481" s="35"/>
      <c r="F481" s="128"/>
      <c r="G481" s="128"/>
      <c r="H481" s="128"/>
      <c r="I481" s="127">
        <f t="shared" si="263"/>
        <v>0</v>
      </c>
      <c r="J481" s="88"/>
      <c r="K481" s="129">
        <f t="shared" si="264"/>
        <v>129.608701</v>
      </c>
      <c r="L481" s="130">
        <v>0.6</v>
      </c>
      <c r="M481" s="129">
        <f t="shared" si="265"/>
        <v>86.40580066</v>
      </c>
      <c r="N481" s="130">
        <f t="shared" si="266"/>
        <v>0.4</v>
      </c>
      <c r="O481" s="131">
        <f t="array" ref="O481">INDEX('LPU Regionalizada'!$B$3:$N$785,MATCH($B481,'LPU Regionalizada'!$B$3:$B$785,0),MATCH(INDEX(CTRL!$F$3:$F$29,CTRL!$E$1),'LPU Regionalizada'!$B$3:$N$3,0))</f>
        <v>216.0145016</v>
      </c>
      <c r="P481" s="88"/>
      <c r="Q481" s="132">
        <f t="shared" si="267"/>
        <v>0</v>
      </c>
      <c r="R481" s="132">
        <f t="shared" si="268"/>
        <v>0</v>
      </c>
      <c r="S481" s="132">
        <f t="shared" si="269"/>
        <v>0</v>
      </c>
      <c r="T481" s="133">
        <f t="shared" si="270"/>
        <v>0</v>
      </c>
      <c r="U481" s="134">
        <f t="shared" si="214"/>
        <v>0</v>
      </c>
      <c r="V481" s="135"/>
      <c r="W481" s="136"/>
      <c r="X481" s="2"/>
      <c r="Y481" s="111"/>
      <c r="Z481" s="3"/>
    </row>
    <row r="482" ht="14.25" hidden="1" customHeight="1" outlineLevel="2">
      <c r="A482" s="124"/>
      <c r="B482" s="125" t="s">
        <v>999</v>
      </c>
      <c r="C482" s="126" t="s">
        <v>1000</v>
      </c>
      <c r="D482" s="127" t="s">
        <v>142</v>
      </c>
      <c r="E482" s="35"/>
      <c r="F482" s="128"/>
      <c r="G482" s="128"/>
      <c r="H482" s="128"/>
      <c r="I482" s="127">
        <f t="shared" si="263"/>
        <v>0</v>
      </c>
      <c r="J482" s="88"/>
      <c r="K482" s="129">
        <f t="shared" si="264"/>
        <v>105.5634</v>
      </c>
      <c r="L482" s="130">
        <v>0.6</v>
      </c>
      <c r="M482" s="129">
        <f t="shared" si="265"/>
        <v>70.3756</v>
      </c>
      <c r="N482" s="130">
        <f t="shared" si="266"/>
        <v>0.4</v>
      </c>
      <c r="O482" s="131">
        <f t="array" ref="O482">INDEX('LPU Regionalizada'!$B$3:$N$785,MATCH($B482,'LPU Regionalizada'!$B$3:$B$785,0),MATCH(INDEX(CTRL!$F$3:$F$29,CTRL!$E$1),'LPU Regionalizada'!$B$3:$N$3,0))</f>
        <v>175.939</v>
      </c>
      <c r="P482" s="88"/>
      <c r="Q482" s="132">
        <f t="shared" si="267"/>
        <v>0</v>
      </c>
      <c r="R482" s="132">
        <f t="shared" si="268"/>
        <v>0</v>
      </c>
      <c r="S482" s="132">
        <f t="shared" si="269"/>
        <v>0</v>
      </c>
      <c r="T482" s="133">
        <f t="shared" si="270"/>
        <v>0</v>
      </c>
      <c r="U482" s="134">
        <f t="shared" si="214"/>
        <v>0</v>
      </c>
      <c r="V482" s="135"/>
      <c r="W482" s="136"/>
      <c r="X482" s="2"/>
      <c r="Y482" s="111"/>
      <c r="Z482" s="3"/>
    </row>
    <row r="483" ht="14.25" hidden="1" customHeight="1" outlineLevel="2">
      <c r="A483" s="124"/>
      <c r="B483" s="125" t="s">
        <v>1001</v>
      </c>
      <c r="C483" s="126" t="s">
        <v>1002</v>
      </c>
      <c r="D483" s="127" t="s">
        <v>911</v>
      </c>
      <c r="E483" s="35"/>
      <c r="F483" s="128"/>
      <c r="G483" s="128"/>
      <c r="H483" s="128"/>
      <c r="I483" s="127">
        <f t="shared" si="263"/>
        <v>0</v>
      </c>
      <c r="J483" s="88"/>
      <c r="K483" s="129">
        <f t="shared" si="264"/>
        <v>24.84925962</v>
      </c>
      <c r="L483" s="130">
        <v>0.6</v>
      </c>
      <c r="M483" s="129">
        <f t="shared" si="265"/>
        <v>16.56617308</v>
      </c>
      <c r="N483" s="130">
        <f t="shared" si="266"/>
        <v>0.4</v>
      </c>
      <c r="O483" s="131">
        <f t="array" ref="O483">INDEX('LPU Regionalizada'!$B$3:$N$785,MATCH($B483,'LPU Regionalizada'!$B$3:$B$785,0),MATCH(INDEX(CTRL!$F$3:$F$29,CTRL!$E$1),'LPU Regionalizada'!$B$3:$N$3,0))</f>
        <v>41.41543269</v>
      </c>
      <c r="P483" s="88"/>
      <c r="Q483" s="132">
        <f t="shared" si="267"/>
        <v>0</v>
      </c>
      <c r="R483" s="132">
        <f t="shared" si="268"/>
        <v>0</v>
      </c>
      <c r="S483" s="132">
        <f t="shared" si="269"/>
        <v>0</v>
      </c>
      <c r="T483" s="133">
        <f t="shared" si="270"/>
        <v>0</v>
      </c>
      <c r="U483" s="134">
        <f t="shared" si="214"/>
        <v>0</v>
      </c>
      <c r="V483" s="135"/>
      <c r="W483" s="136"/>
      <c r="X483" s="2"/>
      <c r="Y483" s="111"/>
      <c r="Z483" s="3"/>
    </row>
    <row r="484" ht="14.25" hidden="1" customHeight="1" outlineLevel="2">
      <c r="A484" s="124"/>
      <c r="B484" s="125" t="s">
        <v>1003</v>
      </c>
      <c r="C484" s="126" t="s">
        <v>1004</v>
      </c>
      <c r="D484" s="127" t="s">
        <v>911</v>
      </c>
      <c r="E484" s="35"/>
      <c r="F484" s="128"/>
      <c r="G484" s="128"/>
      <c r="H484" s="128"/>
      <c r="I484" s="127">
        <f t="shared" si="263"/>
        <v>0</v>
      </c>
      <c r="J484" s="88"/>
      <c r="K484" s="129">
        <f t="shared" si="264"/>
        <v>24.18484091</v>
      </c>
      <c r="L484" s="130">
        <v>0.6</v>
      </c>
      <c r="M484" s="129">
        <f t="shared" si="265"/>
        <v>16.12322727</v>
      </c>
      <c r="N484" s="130">
        <f t="shared" si="266"/>
        <v>0.4</v>
      </c>
      <c r="O484" s="131">
        <f t="array" ref="O484">INDEX('LPU Regionalizada'!$B$3:$N$785,MATCH($B484,'LPU Regionalizada'!$B$3:$B$785,0),MATCH(INDEX(CTRL!$F$3:$F$29,CTRL!$E$1),'LPU Regionalizada'!$B$3:$N$3,0))</f>
        <v>40.30806818</v>
      </c>
      <c r="P484" s="88"/>
      <c r="Q484" s="132">
        <f t="shared" si="267"/>
        <v>0</v>
      </c>
      <c r="R484" s="132">
        <f t="shared" si="268"/>
        <v>0</v>
      </c>
      <c r="S484" s="132">
        <f t="shared" si="269"/>
        <v>0</v>
      </c>
      <c r="T484" s="133">
        <f t="shared" si="270"/>
        <v>0</v>
      </c>
      <c r="U484" s="134">
        <f t="shared" si="214"/>
        <v>0</v>
      </c>
      <c r="V484" s="135"/>
      <c r="W484" s="136"/>
      <c r="X484" s="2"/>
      <c r="Y484" s="111"/>
      <c r="Z484" s="3"/>
    </row>
    <row r="485" ht="14.25" hidden="1" customHeight="1" outlineLevel="2">
      <c r="A485" s="124"/>
      <c r="B485" s="125" t="s">
        <v>1005</v>
      </c>
      <c r="C485" s="126" t="s">
        <v>1006</v>
      </c>
      <c r="D485" s="127" t="s">
        <v>142</v>
      </c>
      <c r="E485" s="35"/>
      <c r="F485" s="128"/>
      <c r="G485" s="128"/>
      <c r="H485" s="128"/>
      <c r="I485" s="127">
        <f t="shared" si="263"/>
        <v>0</v>
      </c>
      <c r="J485" s="88"/>
      <c r="K485" s="129">
        <f t="shared" si="264"/>
        <v>26.208</v>
      </c>
      <c r="L485" s="130">
        <v>0.6</v>
      </c>
      <c r="M485" s="129">
        <f t="shared" si="265"/>
        <v>17.472</v>
      </c>
      <c r="N485" s="130">
        <f t="shared" si="266"/>
        <v>0.4</v>
      </c>
      <c r="O485" s="131">
        <f t="array" ref="O485">INDEX('LPU Regionalizada'!$B$3:$N$785,MATCH($B485,'LPU Regionalizada'!$B$3:$B$785,0),MATCH(INDEX(CTRL!$F$3:$F$29,CTRL!$E$1),'LPU Regionalizada'!$B$3:$N$3,0))</f>
        <v>43.68</v>
      </c>
      <c r="P485" s="88"/>
      <c r="Q485" s="132">
        <f t="shared" si="267"/>
        <v>0</v>
      </c>
      <c r="R485" s="132">
        <f t="shared" si="268"/>
        <v>0</v>
      </c>
      <c r="S485" s="132">
        <f t="shared" si="269"/>
        <v>0</v>
      </c>
      <c r="T485" s="133">
        <f t="shared" si="270"/>
        <v>0</v>
      </c>
      <c r="U485" s="134">
        <f t="shared" si="214"/>
        <v>0</v>
      </c>
      <c r="V485" s="135"/>
      <c r="W485" s="136"/>
      <c r="X485" s="2"/>
      <c r="Y485" s="111"/>
      <c r="Z485" s="3"/>
    </row>
    <row r="486" ht="14.25" hidden="1" customHeight="1" outlineLevel="2">
      <c r="A486" s="124"/>
      <c r="B486" s="125" t="s">
        <v>1007</v>
      </c>
      <c r="C486" s="126" t="s">
        <v>1008</v>
      </c>
      <c r="D486" s="127" t="s">
        <v>142</v>
      </c>
      <c r="E486" s="35"/>
      <c r="F486" s="128"/>
      <c r="G486" s="128"/>
      <c r="H486" s="128">
        <v>0.0</v>
      </c>
      <c r="I486" s="127">
        <f t="shared" si="263"/>
        <v>0</v>
      </c>
      <c r="J486" s="88"/>
      <c r="K486" s="129">
        <f t="shared" si="264"/>
        <v>19.968</v>
      </c>
      <c r="L486" s="130">
        <v>0.6</v>
      </c>
      <c r="M486" s="129">
        <f t="shared" si="265"/>
        <v>13.312</v>
      </c>
      <c r="N486" s="130">
        <f t="shared" si="266"/>
        <v>0.4</v>
      </c>
      <c r="O486" s="131">
        <f t="array" ref="O486">INDEX('LPU Regionalizada'!$B$3:$N$785,MATCH($B486,'LPU Regionalizada'!$B$3:$B$785,0),MATCH(INDEX(CTRL!$F$3:$F$29,CTRL!$E$1),'LPU Regionalizada'!$B$3:$N$3,0))</f>
        <v>33.28</v>
      </c>
      <c r="P486" s="88"/>
      <c r="Q486" s="132">
        <f t="shared" si="267"/>
        <v>0</v>
      </c>
      <c r="R486" s="132">
        <f t="shared" si="268"/>
        <v>0</v>
      </c>
      <c r="S486" s="132">
        <f t="shared" si="269"/>
        <v>0</v>
      </c>
      <c r="T486" s="133">
        <f t="shared" si="270"/>
        <v>0</v>
      </c>
      <c r="U486" s="134">
        <f t="shared" si="214"/>
        <v>0</v>
      </c>
      <c r="V486" s="135"/>
      <c r="W486" s="136"/>
      <c r="X486" s="2"/>
      <c r="Y486" s="111"/>
      <c r="Z486" s="3"/>
    </row>
    <row r="487" ht="14.25" hidden="1" customHeight="1" outlineLevel="2">
      <c r="A487" s="124"/>
      <c r="B487" s="125" t="s">
        <v>1009</v>
      </c>
      <c r="C487" s="126" t="s">
        <v>1010</v>
      </c>
      <c r="D487" s="127" t="s">
        <v>911</v>
      </c>
      <c r="E487" s="35"/>
      <c r="F487" s="128"/>
      <c r="G487" s="128"/>
      <c r="H487" s="128"/>
      <c r="I487" s="127">
        <f t="shared" si="263"/>
        <v>0</v>
      </c>
      <c r="J487" s="88"/>
      <c r="K487" s="129">
        <f t="shared" si="264"/>
        <v>14.427</v>
      </c>
      <c r="L487" s="130">
        <v>0.6</v>
      </c>
      <c r="M487" s="129">
        <f t="shared" si="265"/>
        <v>9.618</v>
      </c>
      <c r="N487" s="130">
        <f t="shared" si="266"/>
        <v>0.4</v>
      </c>
      <c r="O487" s="131">
        <f t="array" ref="O487">INDEX('LPU Regionalizada'!$B$3:$N$785,MATCH($B487,'LPU Regionalizada'!$B$3:$B$785,0),MATCH(INDEX(CTRL!$F$3:$F$29,CTRL!$E$1),'LPU Regionalizada'!$B$3:$N$3,0))</f>
        <v>24.045</v>
      </c>
      <c r="P487" s="88"/>
      <c r="Q487" s="132">
        <f t="shared" si="267"/>
        <v>0</v>
      </c>
      <c r="R487" s="132">
        <f t="shared" si="268"/>
        <v>0</v>
      </c>
      <c r="S487" s="132">
        <f t="shared" si="269"/>
        <v>0</v>
      </c>
      <c r="T487" s="133">
        <f t="shared" si="270"/>
        <v>0</v>
      </c>
      <c r="U487" s="134">
        <f t="shared" si="214"/>
        <v>0</v>
      </c>
      <c r="V487" s="135"/>
      <c r="W487" s="136"/>
      <c r="X487" s="2"/>
      <c r="Y487" s="111"/>
      <c r="Z487" s="3"/>
    </row>
    <row r="488" ht="14.25" hidden="1" customHeight="1" outlineLevel="2">
      <c r="A488" s="124"/>
      <c r="B488" s="125" t="s">
        <v>1011</v>
      </c>
      <c r="C488" s="126" t="s">
        <v>1012</v>
      </c>
      <c r="D488" s="127" t="s">
        <v>911</v>
      </c>
      <c r="E488" s="35"/>
      <c r="F488" s="128"/>
      <c r="G488" s="128"/>
      <c r="H488" s="128"/>
      <c r="I488" s="127">
        <f t="shared" si="263"/>
        <v>0</v>
      </c>
      <c r="J488" s="88"/>
      <c r="K488" s="129">
        <f t="shared" si="264"/>
        <v>21.735</v>
      </c>
      <c r="L488" s="130">
        <v>0.6</v>
      </c>
      <c r="M488" s="129">
        <f t="shared" si="265"/>
        <v>14.49</v>
      </c>
      <c r="N488" s="130">
        <f t="shared" si="266"/>
        <v>0.4</v>
      </c>
      <c r="O488" s="131">
        <f t="array" ref="O488">INDEX('LPU Regionalizada'!$B$3:$N$785,MATCH($B488,'LPU Regionalizada'!$B$3:$B$785,0),MATCH(INDEX(CTRL!$F$3:$F$29,CTRL!$E$1),'LPU Regionalizada'!$B$3:$N$3,0))</f>
        <v>36.225</v>
      </c>
      <c r="P488" s="88"/>
      <c r="Q488" s="132">
        <f t="shared" si="267"/>
        <v>0</v>
      </c>
      <c r="R488" s="132">
        <f t="shared" si="268"/>
        <v>0</v>
      </c>
      <c r="S488" s="132">
        <f t="shared" si="269"/>
        <v>0</v>
      </c>
      <c r="T488" s="133">
        <f t="shared" si="270"/>
        <v>0</v>
      </c>
      <c r="U488" s="134">
        <f t="shared" si="214"/>
        <v>0</v>
      </c>
      <c r="V488" s="135"/>
      <c r="W488" s="136"/>
      <c r="X488" s="2"/>
      <c r="Y488" s="111"/>
      <c r="Z488" s="3"/>
    </row>
    <row r="489" ht="14.25" hidden="1" customHeight="1" outlineLevel="2">
      <c r="A489" s="124"/>
      <c r="B489" s="125" t="s">
        <v>1013</v>
      </c>
      <c r="C489" s="126" t="s">
        <v>1014</v>
      </c>
      <c r="D489" s="127" t="s">
        <v>911</v>
      </c>
      <c r="E489" s="35"/>
      <c r="F489" s="128"/>
      <c r="G489" s="128"/>
      <c r="H489" s="128"/>
      <c r="I489" s="127">
        <f t="shared" si="263"/>
        <v>0</v>
      </c>
      <c r="J489" s="88"/>
      <c r="K489" s="129">
        <f t="shared" si="264"/>
        <v>22.05</v>
      </c>
      <c r="L489" s="130">
        <v>0.6</v>
      </c>
      <c r="M489" s="129">
        <f t="shared" si="265"/>
        <v>14.7</v>
      </c>
      <c r="N489" s="130">
        <f t="shared" si="266"/>
        <v>0.4</v>
      </c>
      <c r="O489" s="131">
        <f t="array" ref="O489">INDEX('LPU Regionalizada'!$B$3:$N$785,MATCH($B489,'LPU Regionalizada'!$B$3:$B$785,0),MATCH(INDEX(CTRL!$F$3:$F$29,CTRL!$E$1),'LPU Regionalizada'!$B$3:$N$3,0))</f>
        <v>36.75</v>
      </c>
      <c r="P489" s="88"/>
      <c r="Q489" s="132">
        <f t="shared" si="267"/>
        <v>0</v>
      </c>
      <c r="R489" s="132">
        <f t="shared" si="268"/>
        <v>0</v>
      </c>
      <c r="S489" s="132">
        <f t="shared" si="269"/>
        <v>0</v>
      </c>
      <c r="T489" s="133">
        <f t="shared" si="270"/>
        <v>0</v>
      </c>
      <c r="U489" s="134">
        <f t="shared" si="214"/>
        <v>0</v>
      </c>
      <c r="V489" s="135"/>
      <c r="W489" s="136"/>
      <c r="X489" s="2"/>
      <c r="Y489" s="111"/>
      <c r="Z489" s="3"/>
    </row>
    <row r="490" ht="14.25" hidden="1" customHeight="1" outlineLevel="2">
      <c r="A490" s="124"/>
      <c r="B490" s="125" t="s">
        <v>1015</v>
      </c>
      <c r="C490" s="126" t="s">
        <v>1016</v>
      </c>
      <c r="D490" s="127" t="s">
        <v>142</v>
      </c>
      <c r="E490" s="35"/>
      <c r="F490" s="128"/>
      <c r="G490" s="128"/>
      <c r="H490" s="128"/>
      <c r="I490" s="127">
        <f t="shared" si="263"/>
        <v>0</v>
      </c>
      <c r="J490" s="88"/>
      <c r="K490" s="129">
        <f t="shared" si="264"/>
        <v>3.436575</v>
      </c>
      <c r="L490" s="130">
        <v>0.6</v>
      </c>
      <c r="M490" s="129">
        <f t="shared" si="265"/>
        <v>2.29105</v>
      </c>
      <c r="N490" s="130">
        <f t="shared" si="266"/>
        <v>0.4</v>
      </c>
      <c r="O490" s="131">
        <f t="array" ref="O490">INDEX('LPU Regionalizada'!$B$3:$N$785,MATCH($B490,'LPU Regionalizada'!$B$3:$B$785,0),MATCH(INDEX(CTRL!$F$3:$F$29,CTRL!$E$1),'LPU Regionalizada'!$B$3:$N$3,0))</f>
        <v>5.727625</v>
      </c>
      <c r="P490" s="88"/>
      <c r="Q490" s="132">
        <f t="shared" si="267"/>
        <v>0</v>
      </c>
      <c r="R490" s="132">
        <f t="shared" si="268"/>
        <v>0</v>
      </c>
      <c r="S490" s="132">
        <f t="shared" si="269"/>
        <v>0</v>
      </c>
      <c r="T490" s="133">
        <f t="shared" si="270"/>
        <v>0</v>
      </c>
      <c r="U490" s="134">
        <f t="shared" si="214"/>
        <v>0</v>
      </c>
      <c r="V490" s="135"/>
      <c r="W490" s="136"/>
      <c r="X490" s="2"/>
      <c r="Y490" s="111"/>
      <c r="Z490" s="3"/>
    </row>
    <row r="491" ht="14.25" hidden="1" customHeight="1" outlineLevel="1">
      <c r="A491" s="112"/>
      <c r="B491" s="113" t="s">
        <v>1017</v>
      </c>
      <c r="C491" s="114" t="s">
        <v>1018</v>
      </c>
      <c r="D491" s="115"/>
      <c r="E491" s="35"/>
      <c r="F491" s="113"/>
      <c r="G491" s="116"/>
      <c r="H491" s="116"/>
      <c r="I491" s="115"/>
      <c r="J491" s="88"/>
      <c r="K491" s="117"/>
      <c r="L491" s="118"/>
      <c r="M491" s="118"/>
      <c r="N491" s="118"/>
      <c r="O491" s="119"/>
      <c r="P491" s="88"/>
      <c r="Q491" s="120"/>
      <c r="R491" s="120"/>
      <c r="S491" s="120"/>
      <c r="T491" s="120">
        <f>SUM(T492:T510)</f>
        <v>0</v>
      </c>
      <c r="U491" s="121">
        <f t="shared" si="214"/>
        <v>0</v>
      </c>
      <c r="V491" s="122"/>
      <c r="W491" s="123"/>
      <c r="X491" s="2"/>
      <c r="Y491" s="111"/>
      <c r="Z491" s="3"/>
    </row>
    <row r="492" ht="14.25" hidden="1" customHeight="1" outlineLevel="2">
      <c r="A492" s="124"/>
      <c r="B492" s="125" t="s">
        <v>1019</v>
      </c>
      <c r="C492" s="126" t="s">
        <v>1020</v>
      </c>
      <c r="D492" s="127" t="s">
        <v>64</v>
      </c>
      <c r="E492" s="35"/>
      <c r="F492" s="128"/>
      <c r="G492" s="128"/>
      <c r="H492" s="128"/>
      <c r="I492" s="127">
        <f t="shared" ref="I492:I510" si="271">F492+G492+H492</f>
        <v>0</v>
      </c>
      <c r="J492" s="88"/>
      <c r="K492" s="129">
        <f t="shared" ref="K492:K510" si="272">L492*O492</f>
        <v>901.2190544</v>
      </c>
      <c r="L492" s="130">
        <v>0.6</v>
      </c>
      <c r="M492" s="129">
        <f t="shared" ref="M492:M510" si="273">N492*O492</f>
        <v>600.8127029</v>
      </c>
      <c r="N492" s="130">
        <f t="shared" ref="N492:N510" si="274">100%-L492</f>
        <v>0.4</v>
      </c>
      <c r="O492" s="131">
        <f t="array" ref="O492">INDEX('LPU Regionalizada'!$B$3:$N$785,MATCH($B492,'LPU Regionalizada'!$B$3:$B$785,0),MATCH(INDEX(CTRL!$F$3:$F$29,CTRL!$E$1),'LPU Regionalizada'!$B$3:$N$3,0))</f>
        <v>1502.031757</v>
      </c>
      <c r="P492" s="88"/>
      <c r="Q492" s="132">
        <f t="shared" ref="Q492:Q510" si="275">F492*O492</f>
        <v>0</v>
      </c>
      <c r="R492" s="132">
        <f t="shared" ref="R492:R510" si="276">G492*O492</f>
        <v>0</v>
      </c>
      <c r="S492" s="132">
        <f t="shared" ref="S492:S510" si="277">H492*O492</f>
        <v>0</v>
      </c>
      <c r="T492" s="133">
        <f t="shared" ref="T492:T510" si="278">SUM(Q492:S492)</f>
        <v>0</v>
      </c>
      <c r="U492" s="134">
        <f t="shared" si="214"/>
        <v>0</v>
      </c>
      <c r="V492" s="135"/>
      <c r="W492" s="136"/>
      <c r="X492" s="2"/>
      <c r="Y492" s="111"/>
      <c r="Z492" s="3"/>
    </row>
    <row r="493" ht="14.25" hidden="1" customHeight="1" outlineLevel="2">
      <c r="A493" s="124"/>
      <c r="B493" s="125" t="s">
        <v>1021</v>
      </c>
      <c r="C493" s="126" t="s">
        <v>1022</v>
      </c>
      <c r="D493" s="127" t="s">
        <v>142</v>
      </c>
      <c r="E493" s="35"/>
      <c r="F493" s="128"/>
      <c r="G493" s="128"/>
      <c r="H493" s="128"/>
      <c r="I493" s="127">
        <f t="shared" si="271"/>
        <v>0</v>
      </c>
      <c r="J493" s="88"/>
      <c r="K493" s="129">
        <f t="shared" si="272"/>
        <v>2054.771417</v>
      </c>
      <c r="L493" s="130">
        <v>0.6</v>
      </c>
      <c r="M493" s="129">
        <f t="shared" si="273"/>
        <v>1369.847612</v>
      </c>
      <c r="N493" s="130">
        <f t="shared" si="274"/>
        <v>0.4</v>
      </c>
      <c r="O493" s="131">
        <f t="array" ref="O493">INDEX('LPU Regionalizada'!$B$3:$N$785,MATCH($B493,'LPU Regionalizada'!$B$3:$B$785,0),MATCH(INDEX(CTRL!$F$3:$F$29,CTRL!$E$1),'LPU Regionalizada'!$B$3:$N$3,0))</f>
        <v>3424.619029</v>
      </c>
      <c r="P493" s="88"/>
      <c r="Q493" s="132">
        <f t="shared" si="275"/>
        <v>0</v>
      </c>
      <c r="R493" s="132">
        <f t="shared" si="276"/>
        <v>0</v>
      </c>
      <c r="S493" s="132">
        <f t="shared" si="277"/>
        <v>0</v>
      </c>
      <c r="T493" s="133">
        <f t="shared" si="278"/>
        <v>0</v>
      </c>
      <c r="U493" s="134">
        <f t="shared" si="214"/>
        <v>0</v>
      </c>
      <c r="V493" s="135"/>
      <c r="W493" s="136"/>
      <c r="X493" s="2"/>
      <c r="Y493" s="111"/>
      <c r="Z493" s="3"/>
    </row>
    <row r="494" ht="14.25" hidden="1" customHeight="1" outlineLevel="2">
      <c r="A494" s="124"/>
      <c r="B494" s="125" t="s">
        <v>1023</v>
      </c>
      <c r="C494" s="126" t="s">
        <v>1024</v>
      </c>
      <c r="D494" s="127" t="s">
        <v>142</v>
      </c>
      <c r="E494" s="35"/>
      <c r="F494" s="128"/>
      <c r="G494" s="128"/>
      <c r="H494" s="128"/>
      <c r="I494" s="127">
        <f t="shared" si="271"/>
        <v>0</v>
      </c>
      <c r="J494" s="88"/>
      <c r="K494" s="129">
        <f t="shared" si="272"/>
        <v>1553.075417</v>
      </c>
      <c r="L494" s="130">
        <v>0.6</v>
      </c>
      <c r="M494" s="129">
        <f t="shared" si="273"/>
        <v>1035.383612</v>
      </c>
      <c r="N494" s="130">
        <f t="shared" si="274"/>
        <v>0.4</v>
      </c>
      <c r="O494" s="131">
        <f t="array" ref="O494">INDEX('LPU Regionalizada'!$B$3:$N$785,MATCH($B494,'LPU Regionalizada'!$B$3:$B$785,0),MATCH(INDEX(CTRL!$F$3:$F$29,CTRL!$E$1),'LPU Regionalizada'!$B$3:$N$3,0))</f>
        <v>2588.459029</v>
      </c>
      <c r="P494" s="88"/>
      <c r="Q494" s="132">
        <f t="shared" si="275"/>
        <v>0</v>
      </c>
      <c r="R494" s="132">
        <f t="shared" si="276"/>
        <v>0</v>
      </c>
      <c r="S494" s="132">
        <f t="shared" si="277"/>
        <v>0</v>
      </c>
      <c r="T494" s="133">
        <f t="shared" si="278"/>
        <v>0</v>
      </c>
      <c r="U494" s="134">
        <f t="shared" si="214"/>
        <v>0</v>
      </c>
      <c r="V494" s="135"/>
      <c r="W494" s="136"/>
      <c r="X494" s="2"/>
      <c r="Y494" s="111"/>
      <c r="Z494" s="3"/>
    </row>
    <row r="495" ht="14.25" hidden="1" customHeight="1" outlineLevel="2">
      <c r="A495" s="124"/>
      <c r="B495" s="125" t="s">
        <v>1025</v>
      </c>
      <c r="C495" s="126" t="s">
        <v>1026</v>
      </c>
      <c r="D495" s="127" t="s">
        <v>142</v>
      </c>
      <c r="E495" s="35"/>
      <c r="F495" s="128"/>
      <c r="G495" s="128"/>
      <c r="H495" s="128"/>
      <c r="I495" s="127">
        <f t="shared" si="271"/>
        <v>0</v>
      </c>
      <c r="J495" s="88"/>
      <c r="K495" s="129">
        <f t="shared" si="272"/>
        <v>1125.332505</v>
      </c>
      <c r="L495" s="130">
        <v>0.6</v>
      </c>
      <c r="M495" s="129">
        <f t="shared" si="273"/>
        <v>750.2216699</v>
      </c>
      <c r="N495" s="130">
        <f t="shared" si="274"/>
        <v>0.4</v>
      </c>
      <c r="O495" s="131">
        <f t="array" ref="O495">INDEX('LPU Regionalizada'!$B$3:$N$785,MATCH($B495,'LPU Regionalizada'!$B$3:$B$785,0),MATCH(INDEX(CTRL!$F$3:$F$29,CTRL!$E$1),'LPU Regionalizada'!$B$3:$N$3,0))</f>
        <v>1875.554175</v>
      </c>
      <c r="P495" s="88"/>
      <c r="Q495" s="132">
        <f t="shared" si="275"/>
        <v>0</v>
      </c>
      <c r="R495" s="132">
        <f t="shared" si="276"/>
        <v>0</v>
      </c>
      <c r="S495" s="132">
        <f t="shared" si="277"/>
        <v>0</v>
      </c>
      <c r="T495" s="133">
        <f t="shared" si="278"/>
        <v>0</v>
      </c>
      <c r="U495" s="134">
        <f t="shared" si="214"/>
        <v>0</v>
      </c>
      <c r="V495" s="135"/>
      <c r="W495" s="136"/>
      <c r="X495" s="2"/>
      <c r="Y495" s="111"/>
      <c r="Z495" s="3"/>
    </row>
    <row r="496" ht="14.25" hidden="1" customHeight="1" outlineLevel="2">
      <c r="A496" s="124"/>
      <c r="B496" s="125" t="s">
        <v>1027</v>
      </c>
      <c r="C496" s="126" t="s">
        <v>1028</v>
      </c>
      <c r="D496" s="127" t="s">
        <v>142</v>
      </c>
      <c r="E496" s="35"/>
      <c r="F496" s="128"/>
      <c r="G496" s="128"/>
      <c r="H496" s="128"/>
      <c r="I496" s="127">
        <f t="shared" si="271"/>
        <v>0</v>
      </c>
      <c r="J496" s="88"/>
      <c r="K496" s="129">
        <f t="shared" si="272"/>
        <v>6303.772328</v>
      </c>
      <c r="L496" s="130">
        <v>0.6</v>
      </c>
      <c r="M496" s="129">
        <f t="shared" si="273"/>
        <v>4202.514885</v>
      </c>
      <c r="N496" s="130">
        <f t="shared" si="274"/>
        <v>0.4</v>
      </c>
      <c r="O496" s="131">
        <f t="array" ref="O496">INDEX('LPU Regionalizada'!$B$3:$N$785,MATCH($B496,'LPU Regionalizada'!$B$3:$B$785,0),MATCH(INDEX(CTRL!$F$3:$F$29,CTRL!$E$1),'LPU Regionalizada'!$B$3:$N$3,0))</f>
        <v>10506.28721</v>
      </c>
      <c r="P496" s="88"/>
      <c r="Q496" s="132">
        <f t="shared" si="275"/>
        <v>0</v>
      </c>
      <c r="R496" s="132">
        <f t="shared" si="276"/>
        <v>0</v>
      </c>
      <c r="S496" s="132">
        <f t="shared" si="277"/>
        <v>0</v>
      </c>
      <c r="T496" s="133">
        <f t="shared" si="278"/>
        <v>0</v>
      </c>
      <c r="U496" s="134">
        <f t="shared" si="214"/>
        <v>0</v>
      </c>
      <c r="V496" s="135"/>
      <c r="W496" s="136"/>
      <c r="X496" s="2"/>
      <c r="Y496" s="111"/>
      <c r="Z496" s="3"/>
    </row>
    <row r="497" ht="14.25" hidden="1" customHeight="1" outlineLevel="2">
      <c r="A497" s="124"/>
      <c r="B497" s="125" t="s">
        <v>1029</v>
      </c>
      <c r="C497" s="126" t="s">
        <v>1030</v>
      </c>
      <c r="D497" s="127" t="s">
        <v>142</v>
      </c>
      <c r="E497" s="35"/>
      <c r="F497" s="128"/>
      <c r="G497" s="128"/>
      <c r="H497" s="128"/>
      <c r="I497" s="127">
        <f t="shared" si="271"/>
        <v>0</v>
      </c>
      <c r="J497" s="88"/>
      <c r="K497" s="129">
        <f t="shared" si="272"/>
        <v>5325.014616</v>
      </c>
      <c r="L497" s="130">
        <v>0.6</v>
      </c>
      <c r="M497" s="129">
        <f t="shared" si="273"/>
        <v>3550.009744</v>
      </c>
      <c r="N497" s="130">
        <f t="shared" si="274"/>
        <v>0.4</v>
      </c>
      <c r="O497" s="131">
        <f t="array" ref="O497">INDEX('LPU Regionalizada'!$B$3:$N$785,MATCH($B497,'LPU Regionalizada'!$B$3:$B$785,0),MATCH(INDEX(CTRL!$F$3:$F$29,CTRL!$E$1),'LPU Regionalizada'!$B$3:$N$3,0))</f>
        <v>8875.02436</v>
      </c>
      <c r="P497" s="88"/>
      <c r="Q497" s="132">
        <f t="shared" si="275"/>
        <v>0</v>
      </c>
      <c r="R497" s="132">
        <f t="shared" si="276"/>
        <v>0</v>
      </c>
      <c r="S497" s="132">
        <f t="shared" si="277"/>
        <v>0</v>
      </c>
      <c r="T497" s="133">
        <f t="shared" si="278"/>
        <v>0</v>
      </c>
      <c r="U497" s="134">
        <f t="shared" si="214"/>
        <v>0</v>
      </c>
      <c r="V497" s="135"/>
      <c r="W497" s="136"/>
      <c r="X497" s="2"/>
      <c r="Y497" s="111"/>
      <c r="Z497" s="3"/>
    </row>
    <row r="498" ht="14.25" hidden="1" customHeight="1" outlineLevel="2">
      <c r="A498" s="124"/>
      <c r="B498" s="125" t="s">
        <v>1031</v>
      </c>
      <c r="C498" s="126" t="s">
        <v>1032</v>
      </c>
      <c r="D498" s="127" t="s">
        <v>142</v>
      </c>
      <c r="E498" s="35"/>
      <c r="F498" s="128"/>
      <c r="G498" s="128"/>
      <c r="H498" s="128"/>
      <c r="I498" s="127">
        <f t="shared" si="271"/>
        <v>0</v>
      </c>
      <c r="J498" s="88"/>
      <c r="K498" s="129">
        <f t="shared" si="272"/>
        <v>2371.56</v>
      </c>
      <c r="L498" s="130">
        <v>0.6</v>
      </c>
      <c r="M498" s="129">
        <f t="shared" si="273"/>
        <v>1581.04</v>
      </c>
      <c r="N498" s="130">
        <f t="shared" si="274"/>
        <v>0.4</v>
      </c>
      <c r="O498" s="131">
        <f t="array" ref="O498">INDEX('LPU Regionalizada'!$B$3:$N$785,MATCH($B498,'LPU Regionalizada'!$B$3:$B$785,0),MATCH(INDEX(CTRL!$F$3:$F$29,CTRL!$E$1),'LPU Regionalizada'!$B$3:$N$3,0))</f>
        <v>3952.6</v>
      </c>
      <c r="P498" s="88"/>
      <c r="Q498" s="132">
        <f t="shared" si="275"/>
        <v>0</v>
      </c>
      <c r="R498" s="132">
        <f t="shared" si="276"/>
        <v>0</v>
      </c>
      <c r="S498" s="132">
        <f t="shared" si="277"/>
        <v>0</v>
      </c>
      <c r="T498" s="133">
        <f t="shared" si="278"/>
        <v>0</v>
      </c>
      <c r="U498" s="134">
        <f t="shared" si="214"/>
        <v>0</v>
      </c>
      <c r="V498" s="135"/>
      <c r="W498" s="136"/>
      <c r="X498" s="2"/>
      <c r="Y498" s="111"/>
      <c r="Z498" s="3"/>
    </row>
    <row r="499" ht="14.25" hidden="1" customHeight="1" outlineLevel="2">
      <c r="A499" s="124"/>
      <c r="B499" s="125" t="s">
        <v>1033</v>
      </c>
      <c r="C499" s="126" t="s">
        <v>1034</v>
      </c>
      <c r="D499" s="127" t="s">
        <v>142</v>
      </c>
      <c r="E499" s="35"/>
      <c r="F499" s="128"/>
      <c r="G499" s="128"/>
      <c r="H499" s="128"/>
      <c r="I499" s="127">
        <f t="shared" si="271"/>
        <v>0</v>
      </c>
      <c r="J499" s="88"/>
      <c r="K499" s="129">
        <f t="shared" si="272"/>
        <v>1672.07767</v>
      </c>
      <c r="L499" s="130">
        <v>0.6</v>
      </c>
      <c r="M499" s="129">
        <f t="shared" si="273"/>
        <v>1114.718447</v>
      </c>
      <c r="N499" s="130">
        <f t="shared" si="274"/>
        <v>0.4</v>
      </c>
      <c r="O499" s="131">
        <f t="array" ref="O499">INDEX('LPU Regionalizada'!$B$3:$N$785,MATCH($B499,'LPU Regionalizada'!$B$3:$B$785,0),MATCH(INDEX(CTRL!$F$3:$F$29,CTRL!$E$1),'LPU Regionalizada'!$B$3:$N$3,0))</f>
        <v>2786.796117</v>
      </c>
      <c r="P499" s="88"/>
      <c r="Q499" s="132">
        <f t="shared" si="275"/>
        <v>0</v>
      </c>
      <c r="R499" s="132">
        <f t="shared" si="276"/>
        <v>0</v>
      </c>
      <c r="S499" s="132">
        <f t="shared" si="277"/>
        <v>0</v>
      </c>
      <c r="T499" s="133">
        <f t="shared" si="278"/>
        <v>0</v>
      </c>
      <c r="U499" s="134">
        <f t="shared" si="214"/>
        <v>0</v>
      </c>
      <c r="V499" s="135"/>
      <c r="W499" s="136"/>
      <c r="X499" s="2"/>
      <c r="Y499" s="111"/>
      <c r="Z499" s="3"/>
    </row>
    <row r="500" ht="14.25" hidden="1" customHeight="1" outlineLevel="2">
      <c r="A500" s="124"/>
      <c r="B500" s="125" t="s">
        <v>1035</v>
      </c>
      <c r="C500" s="126" t="s">
        <v>1036</v>
      </c>
      <c r="D500" s="127" t="s">
        <v>142</v>
      </c>
      <c r="E500" s="35"/>
      <c r="F500" s="128"/>
      <c r="G500" s="128"/>
      <c r="H500" s="128"/>
      <c r="I500" s="127">
        <f t="shared" si="271"/>
        <v>0</v>
      </c>
      <c r="J500" s="88"/>
      <c r="K500" s="129">
        <f t="shared" si="272"/>
        <v>9064.304218</v>
      </c>
      <c r="L500" s="130">
        <v>0.6</v>
      </c>
      <c r="M500" s="129">
        <f t="shared" si="273"/>
        <v>6042.869479</v>
      </c>
      <c r="N500" s="130">
        <f t="shared" si="274"/>
        <v>0.4</v>
      </c>
      <c r="O500" s="131">
        <f t="array" ref="O500">INDEX('LPU Regionalizada'!$B$3:$N$785,MATCH($B500,'LPU Regionalizada'!$B$3:$B$785,0),MATCH(INDEX(CTRL!$F$3:$F$29,CTRL!$E$1),'LPU Regionalizada'!$B$3:$N$3,0))</f>
        <v>15107.1737</v>
      </c>
      <c r="P500" s="88"/>
      <c r="Q500" s="132">
        <f t="shared" si="275"/>
        <v>0</v>
      </c>
      <c r="R500" s="132">
        <f t="shared" si="276"/>
        <v>0</v>
      </c>
      <c r="S500" s="132">
        <f t="shared" si="277"/>
        <v>0</v>
      </c>
      <c r="T500" s="133">
        <f t="shared" si="278"/>
        <v>0</v>
      </c>
      <c r="U500" s="134">
        <f t="shared" si="214"/>
        <v>0</v>
      </c>
      <c r="V500" s="135"/>
      <c r="W500" s="136"/>
      <c r="X500" s="2"/>
      <c r="Y500" s="111"/>
      <c r="Z500" s="3"/>
    </row>
    <row r="501" ht="14.25" hidden="1" customHeight="1" outlineLevel="2">
      <c r="A501" s="124"/>
      <c r="B501" s="125" t="s">
        <v>1037</v>
      </c>
      <c r="C501" s="126" t="s">
        <v>1038</v>
      </c>
      <c r="D501" s="127" t="s">
        <v>142</v>
      </c>
      <c r="E501" s="35"/>
      <c r="F501" s="128"/>
      <c r="G501" s="128"/>
      <c r="H501" s="128"/>
      <c r="I501" s="127">
        <f t="shared" si="271"/>
        <v>0</v>
      </c>
      <c r="J501" s="88"/>
      <c r="K501" s="129">
        <f t="shared" si="272"/>
        <v>7540.2</v>
      </c>
      <c r="L501" s="130">
        <v>0.6</v>
      </c>
      <c r="M501" s="129">
        <f t="shared" si="273"/>
        <v>5026.8</v>
      </c>
      <c r="N501" s="130">
        <f t="shared" si="274"/>
        <v>0.4</v>
      </c>
      <c r="O501" s="131">
        <f t="array" ref="O501">INDEX('LPU Regionalizada'!$B$3:$N$785,MATCH($B501,'LPU Regionalizada'!$B$3:$B$785,0),MATCH(INDEX(CTRL!$F$3:$F$29,CTRL!$E$1),'LPU Regionalizada'!$B$3:$N$3,0))</f>
        <v>12567</v>
      </c>
      <c r="P501" s="88"/>
      <c r="Q501" s="132">
        <f t="shared" si="275"/>
        <v>0</v>
      </c>
      <c r="R501" s="132">
        <f t="shared" si="276"/>
        <v>0</v>
      </c>
      <c r="S501" s="132">
        <f t="shared" si="277"/>
        <v>0</v>
      </c>
      <c r="T501" s="133">
        <f t="shared" si="278"/>
        <v>0</v>
      </c>
      <c r="U501" s="134">
        <f t="shared" si="214"/>
        <v>0</v>
      </c>
      <c r="V501" s="135"/>
      <c r="W501" s="136"/>
      <c r="X501" s="2"/>
      <c r="Y501" s="111"/>
      <c r="Z501" s="3"/>
    </row>
    <row r="502" ht="14.25" hidden="1" customHeight="1" outlineLevel="2">
      <c r="A502" s="124"/>
      <c r="B502" s="125" t="s">
        <v>1039</v>
      </c>
      <c r="C502" s="126" t="s">
        <v>1040</v>
      </c>
      <c r="D502" s="127" t="s">
        <v>142</v>
      </c>
      <c r="E502" s="35"/>
      <c r="F502" s="128"/>
      <c r="G502" s="128"/>
      <c r="H502" s="128"/>
      <c r="I502" s="127">
        <f t="shared" si="271"/>
        <v>0</v>
      </c>
      <c r="J502" s="88"/>
      <c r="K502" s="129">
        <f t="shared" si="272"/>
        <v>5465.25</v>
      </c>
      <c r="L502" s="130">
        <v>0.6</v>
      </c>
      <c r="M502" s="129">
        <f t="shared" si="273"/>
        <v>3643.5</v>
      </c>
      <c r="N502" s="130">
        <f t="shared" si="274"/>
        <v>0.4</v>
      </c>
      <c r="O502" s="131">
        <f t="array" ref="O502">INDEX('LPU Regionalizada'!$B$3:$N$785,MATCH($B502,'LPU Regionalizada'!$B$3:$B$785,0),MATCH(INDEX(CTRL!$F$3:$F$29,CTRL!$E$1),'LPU Regionalizada'!$B$3:$N$3,0))</f>
        <v>9108.75</v>
      </c>
      <c r="P502" s="88"/>
      <c r="Q502" s="132">
        <f t="shared" si="275"/>
        <v>0</v>
      </c>
      <c r="R502" s="132">
        <f t="shared" si="276"/>
        <v>0</v>
      </c>
      <c r="S502" s="132">
        <f t="shared" si="277"/>
        <v>0</v>
      </c>
      <c r="T502" s="133">
        <f t="shared" si="278"/>
        <v>0</v>
      </c>
      <c r="U502" s="134">
        <f t="shared" si="214"/>
        <v>0</v>
      </c>
      <c r="V502" s="135"/>
      <c r="W502" s="136"/>
      <c r="X502" s="2"/>
      <c r="Y502" s="111"/>
      <c r="Z502" s="3"/>
    </row>
    <row r="503" ht="14.25" hidden="1" customHeight="1" outlineLevel="2">
      <c r="A503" s="124"/>
      <c r="B503" s="125" t="s">
        <v>1041</v>
      </c>
      <c r="C503" s="126" t="s">
        <v>1042</v>
      </c>
      <c r="D503" s="127" t="s">
        <v>142</v>
      </c>
      <c r="E503" s="35"/>
      <c r="F503" s="128"/>
      <c r="G503" s="128"/>
      <c r="H503" s="128"/>
      <c r="I503" s="127">
        <f t="shared" si="271"/>
        <v>0</v>
      </c>
      <c r="J503" s="88"/>
      <c r="K503" s="129">
        <f t="shared" si="272"/>
        <v>4974.440165</v>
      </c>
      <c r="L503" s="130">
        <v>0.6</v>
      </c>
      <c r="M503" s="129">
        <f t="shared" si="273"/>
        <v>3316.293444</v>
      </c>
      <c r="N503" s="130">
        <f t="shared" si="274"/>
        <v>0.4</v>
      </c>
      <c r="O503" s="131">
        <f t="array" ref="O503">INDEX('LPU Regionalizada'!$B$3:$N$785,MATCH($B503,'LPU Regionalizada'!$B$3:$B$785,0),MATCH(INDEX(CTRL!$F$3:$F$29,CTRL!$E$1),'LPU Regionalizada'!$B$3:$N$3,0))</f>
        <v>8290.733609</v>
      </c>
      <c r="P503" s="88"/>
      <c r="Q503" s="132">
        <f t="shared" si="275"/>
        <v>0</v>
      </c>
      <c r="R503" s="132">
        <f t="shared" si="276"/>
        <v>0</v>
      </c>
      <c r="S503" s="132">
        <f t="shared" si="277"/>
        <v>0</v>
      </c>
      <c r="T503" s="133">
        <f t="shared" si="278"/>
        <v>0</v>
      </c>
      <c r="U503" s="134">
        <f t="shared" si="214"/>
        <v>0</v>
      </c>
      <c r="V503" s="135"/>
      <c r="W503" s="136"/>
      <c r="X503" s="2"/>
      <c r="Y503" s="111"/>
      <c r="Z503" s="3"/>
    </row>
    <row r="504" ht="14.25" hidden="1" customHeight="1" outlineLevel="2">
      <c r="A504" s="124"/>
      <c r="B504" s="125" t="s">
        <v>1043</v>
      </c>
      <c r="C504" s="126" t="s">
        <v>1044</v>
      </c>
      <c r="D504" s="127" t="s">
        <v>142</v>
      </c>
      <c r="E504" s="35"/>
      <c r="F504" s="128"/>
      <c r="G504" s="128"/>
      <c r="H504" s="128"/>
      <c r="I504" s="127">
        <f t="shared" si="271"/>
        <v>0</v>
      </c>
      <c r="J504" s="88"/>
      <c r="K504" s="129">
        <f t="shared" si="272"/>
        <v>3886.832505</v>
      </c>
      <c r="L504" s="130">
        <v>0.6</v>
      </c>
      <c r="M504" s="129">
        <f t="shared" si="273"/>
        <v>2591.22167</v>
      </c>
      <c r="N504" s="130">
        <f t="shared" si="274"/>
        <v>0.4</v>
      </c>
      <c r="O504" s="131">
        <f t="array" ref="O504">INDEX('LPU Regionalizada'!$B$3:$N$785,MATCH($B504,'LPU Regionalizada'!$B$3:$B$785,0),MATCH(INDEX(CTRL!$F$3:$F$29,CTRL!$E$1),'LPU Regionalizada'!$B$3:$N$3,0))</f>
        <v>6478.054175</v>
      </c>
      <c r="P504" s="88"/>
      <c r="Q504" s="132">
        <f t="shared" si="275"/>
        <v>0</v>
      </c>
      <c r="R504" s="132">
        <f t="shared" si="276"/>
        <v>0</v>
      </c>
      <c r="S504" s="132">
        <f t="shared" si="277"/>
        <v>0</v>
      </c>
      <c r="T504" s="133">
        <f t="shared" si="278"/>
        <v>0</v>
      </c>
      <c r="U504" s="134">
        <f t="shared" si="214"/>
        <v>0</v>
      </c>
      <c r="V504" s="135"/>
      <c r="W504" s="136"/>
      <c r="X504" s="2"/>
      <c r="Y504" s="111"/>
      <c r="Z504" s="3"/>
    </row>
    <row r="505" ht="14.25" hidden="1" customHeight="1" outlineLevel="2">
      <c r="A505" s="124"/>
      <c r="B505" s="125" t="s">
        <v>1045</v>
      </c>
      <c r="C505" s="126" t="s">
        <v>1046</v>
      </c>
      <c r="D505" s="127" t="s">
        <v>142</v>
      </c>
      <c r="E505" s="35"/>
      <c r="F505" s="128"/>
      <c r="G505" s="128"/>
      <c r="H505" s="128"/>
      <c r="I505" s="127">
        <f t="shared" si="271"/>
        <v>0</v>
      </c>
      <c r="J505" s="88"/>
      <c r="K505" s="129">
        <f t="shared" si="272"/>
        <v>2067.408932</v>
      </c>
      <c r="L505" s="130">
        <v>0.6</v>
      </c>
      <c r="M505" s="129">
        <f t="shared" si="273"/>
        <v>1378.272621</v>
      </c>
      <c r="N505" s="130">
        <f t="shared" si="274"/>
        <v>0.4</v>
      </c>
      <c r="O505" s="131">
        <f t="array" ref="O505">INDEX('LPU Regionalizada'!$B$3:$N$785,MATCH($B505,'LPU Regionalizada'!$B$3:$B$785,0),MATCH(INDEX(CTRL!$F$3:$F$29,CTRL!$E$1),'LPU Regionalizada'!$B$3:$N$3,0))</f>
        <v>3445.681553</v>
      </c>
      <c r="P505" s="88"/>
      <c r="Q505" s="132">
        <f t="shared" si="275"/>
        <v>0</v>
      </c>
      <c r="R505" s="132">
        <f t="shared" si="276"/>
        <v>0</v>
      </c>
      <c r="S505" s="132">
        <f t="shared" si="277"/>
        <v>0</v>
      </c>
      <c r="T505" s="133">
        <f t="shared" si="278"/>
        <v>0</v>
      </c>
      <c r="U505" s="134">
        <f t="shared" si="214"/>
        <v>0</v>
      </c>
      <c r="V505" s="135"/>
      <c r="W505" s="136"/>
      <c r="X505" s="2"/>
      <c r="Y505" s="111"/>
      <c r="Z505" s="3"/>
    </row>
    <row r="506" ht="14.25" hidden="1" customHeight="1" outlineLevel="2">
      <c r="A506" s="124"/>
      <c r="B506" s="125" t="s">
        <v>1047</v>
      </c>
      <c r="C506" s="126" t="s">
        <v>1048</v>
      </c>
      <c r="D506" s="127" t="s">
        <v>142</v>
      </c>
      <c r="E506" s="35"/>
      <c r="F506" s="128"/>
      <c r="G506" s="128"/>
      <c r="H506" s="128"/>
      <c r="I506" s="127">
        <f t="shared" si="271"/>
        <v>0</v>
      </c>
      <c r="J506" s="88"/>
      <c r="K506" s="129">
        <f t="shared" si="272"/>
        <v>1376.16233</v>
      </c>
      <c r="L506" s="130">
        <v>0.6</v>
      </c>
      <c r="M506" s="129">
        <f t="shared" si="273"/>
        <v>917.4415534</v>
      </c>
      <c r="N506" s="130">
        <f t="shared" si="274"/>
        <v>0.4</v>
      </c>
      <c r="O506" s="131">
        <f t="array" ref="O506">INDEX('LPU Regionalizada'!$B$3:$N$785,MATCH($B506,'LPU Regionalizada'!$B$3:$B$785,0),MATCH(INDEX(CTRL!$F$3:$F$29,CTRL!$E$1),'LPU Regionalizada'!$B$3:$N$3,0))</f>
        <v>2293.603883</v>
      </c>
      <c r="P506" s="88"/>
      <c r="Q506" s="132">
        <f t="shared" si="275"/>
        <v>0</v>
      </c>
      <c r="R506" s="132">
        <f t="shared" si="276"/>
        <v>0</v>
      </c>
      <c r="S506" s="132">
        <f t="shared" si="277"/>
        <v>0</v>
      </c>
      <c r="T506" s="133">
        <f t="shared" si="278"/>
        <v>0</v>
      </c>
      <c r="U506" s="134">
        <f t="shared" si="214"/>
        <v>0</v>
      </c>
      <c r="V506" s="135"/>
      <c r="W506" s="136"/>
      <c r="X506" s="2"/>
      <c r="Y506" s="111"/>
      <c r="Z506" s="3"/>
    </row>
    <row r="507" ht="14.25" hidden="1" customHeight="1" outlineLevel="2">
      <c r="A507" s="124"/>
      <c r="B507" s="125" t="s">
        <v>1049</v>
      </c>
      <c r="C507" s="126" t="s">
        <v>1050</v>
      </c>
      <c r="D507" s="127" t="s">
        <v>142</v>
      </c>
      <c r="E507" s="35"/>
      <c r="F507" s="128"/>
      <c r="G507" s="128"/>
      <c r="H507" s="128"/>
      <c r="I507" s="127">
        <f t="shared" si="271"/>
        <v>0</v>
      </c>
      <c r="J507" s="88"/>
      <c r="K507" s="129">
        <f t="shared" si="272"/>
        <v>35.837568</v>
      </c>
      <c r="L507" s="130">
        <v>0.6</v>
      </c>
      <c r="M507" s="129">
        <f t="shared" si="273"/>
        <v>23.891712</v>
      </c>
      <c r="N507" s="130">
        <f t="shared" si="274"/>
        <v>0.4</v>
      </c>
      <c r="O507" s="131">
        <f t="array" ref="O507">INDEX('LPU Regionalizada'!$B$3:$N$785,MATCH($B507,'LPU Regionalizada'!$B$3:$B$785,0),MATCH(INDEX(CTRL!$F$3:$F$29,CTRL!$E$1),'LPU Regionalizada'!$B$3:$N$3,0))</f>
        <v>59.72928</v>
      </c>
      <c r="P507" s="88"/>
      <c r="Q507" s="132">
        <f t="shared" si="275"/>
        <v>0</v>
      </c>
      <c r="R507" s="132">
        <f t="shared" si="276"/>
        <v>0</v>
      </c>
      <c r="S507" s="132">
        <f t="shared" si="277"/>
        <v>0</v>
      </c>
      <c r="T507" s="133">
        <f t="shared" si="278"/>
        <v>0</v>
      </c>
      <c r="U507" s="134">
        <f t="shared" si="214"/>
        <v>0</v>
      </c>
      <c r="V507" s="135"/>
      <c r="W507" s="136"/>
      <c r="X507" s="2"/>
      <c r="Y507" s="111"/>
      <c r="Z507" s="3"/>
    </row>
    <row r="508" ht="14.25" hidden="1" customHeight="1" outlineLevel="2">
      <c r="A508" s="124"/>
      <c r="B508" s="125" t="s">
        <v>1051</v>
      </c>
      <c r="C508" s="126" t="s">
        <v>1052</v>
      </c>
      <c r="D508" s="127" t="s">
        <v>142</v>
      </c>
      <c r="E508" s="35"/>
      <c r="F508" s="128"/>
      <c r="G508" s="128"/>
      <c r="H508" s="128"/>
      <c r="I508" s="127">
        <f t="shared" si="271"/>
        <v>0</v>
      </c>
      <c r="J508" s="88"/>
      <c r="K508" s="129">
        <f t="shared" si="272"/>
        <v>84.70176</v>
      </c>
      <c r="L508" s="130">
        <v>0.6</v>
      </c>
      <c r="M508" s="129">
        <f t="shared" si="273"/>
        <v>56.46784</v>
      </c>
      <c r="N508" s="130">
        <f t="shared" si="274"/>
        <v>0.4</v>
      </c>
      <c r="O508" s="131">
        <f t="array" ref="O508">INDEX('LPU Regionalizada'!$B$3:$N$785,MATCH($B508,'LPU Regionalizada'!$B$3:$B$785,0),MATCH(INDEX(CTRL!$F$3:$F$29,CTRL!$E$1),'LPU Regionalizada'!$B$3:$N$3,0))</f>
        <v>141.1696</v>
      </c>
      <c r="P508" s="88"/>
      <c r="Q508" s="132">
        <f t="shared" si="275"/>
        <v>0</v>
      </c>
      <c r="R508" s="132">
        <f t="shared" si="276"/>
        <v>0</v>
      </c>
      <c r="S508" s="132">
        <f t="shared" si="277"/>
        <v>0</v>
      </c>
      <c r="T508" s="133">
        <f t="shared" si="278"/>
        <v>0</v>
      </c>
      <c r="U508" s="134">
        <f t="shared" si="214"/>
        <v>0</v>
      </c>
      <c r="V508" s="135"/>
      <c r="W508" s="136"/>
      <c r="X508" s="2"/>
      <c r="Y508" s="111"/>
      <c r="Z508" s="3"/>
    </row>
    <row r="509" ht="14.25" hidden="1" customHeight="1" outlineLevel="2">
      <c r="A509" s="124"/>
      <c r="B509" s="125" t="s">
        <v>1053</v>
      </c>
      <c r="C509" s="126" t="s">
        <v>1054</v>
      </c>
      <c r="D509" s="127" t="s">
        <v>142</v>
      </c>
      <c r="E509" s="35"/>
      <c r="F509" s="128"/>
      <c r="G509" s="128"/>
      <c r="H509" s="128"/>
      <c r="I509" s="127">
        <f t="shared" si="271"/>
        <v>0</v>
      </c>
      <c r="J509" s="88"/>
      <c r="K509" s="129">
        <f t="shared" si="272"/>
        <v>136.6620583</v>
      </c>
      <c r="L509" s="130">
        <v>0.6</v>
      </c>
      <c r="M509" s="129">
        <f t="shared" si="273"/>
        <v>91.10803883</v>
      </c>
      <c r="N509" s="130">
        <f t="shared" si="274"/>
        <v>0.4</v>
      </c>
      <c r="O509" s="131">
        <f t="array" ref="O509">INDEX('LPU Regionalizada'!$B$3:$N$785,MATCH($B509,'LPU Regionalizada'!$B$3:$B$785,0),MATCH(INDEX(CTRL!$F$3:$F$29,CTRL!$E$1),'LPU Regionalizada'!$B$3:$N$3,0))</f>
        <v>227.7700971</v>
      </c>
      <c r="P509" s="88"/>
      <c r="Q509" s="132">
        <f t="shared" si="275"/>
        <v>0</v>
      </c>
      <c r="R509" s="132">
        <f t="shared" si="276"/>
        <v>0</v>
      </c>
      <c r="S509" s="132">
        <f t="shared" si="277"/>
        <v>0</v>
      </c>
      <c r="T509" s="133">
        <f t="shared" si="278"/>
        <v>0</v>
      </c>
      <c r="U509" s="134">
        <f t="shared" si="214"/>
        <v>0</v>
      </c>
      <c r="V509" s="135"/>
      <c r="W509" s="136"/>
      <c r="X509" s="2"/>
      <c r="Y509" s="111"/>
      <c r="Z509" s="3"/>
    </row>
    <row r="510" ht="14.25" hidden="1" customHeight="1" outlineLevel="2">
      <c r="A510" s="124"/>
      <c r="B510" s="125" t="s">
        <v>1055</v>
      </c>
      <c r="C510" s="126" t="s">
        <v>1056</v>
      </c>
      <c r="D510" s="127" t="s">
        <v>946</v>
      </c>
      <c r="E510" s="35"/>
      <c r="F510" s="128"/>
      <c r="G510" s="128"/>
      <c r="H510" s="128"/>
      <c r="I510" s="127">
        <f t="shared" si="271"/>
        <v>0</v>
      </c>
      <c r="J510" s="88"/>
      <c r="K510" s="129">
        <f t="shared" si="272"/>
        <v>1005</v>
      </c>
      <c r="L510" s="130">
        <v>0.6</v>
      </c>
      <c r="M510" s="129">
        <f t="shared" si="273"/>
        <v>670</v>
      </c>
      <c r="N510" s="130">
        <f t="shared" si="274"/>
        <v>0.4</v>
      </c>
      <c r="O510" s="131">
        <f t="array" ref="O510">INDEX('LPU Regionalizada'!$B$3:$N$785,MATCH($B510,'LPU Regionalizada'!$B$3:$B$785,0),MATCH(INDEX(CTRL!$F$3:$F$29,CTRL!$E$1),'LPU Regionalizada'!$B$3:$N$3,0))</f>
        <v>1675</v>
      </c>
      <c r="P510" s="88"/>
      <c r="Q510" s="132">
        <f t="shared" si="275"/>
        <v>0</v>
      </c>
      <c r="R510" s="132">
        <f t="shared" si="276"/>
        <v>0</v>
      </c>
      <c r="S510" s="132">
        <f t="shared" si="277"/>
        <v>0</v>
      </c>
      <c r="T510" s="133">
        <f t="shared" si="278"/>
        <v>0</v>
      </c>
      <c r="U510" s="134">
        <f t="shared" si="214"/>
        <v>0</v>
      </c>
      <c r="V510" s="135"/>
      <c r="W510" s="136"/>
      <c r="X510" s="2"/>
      <c r="Y510" s="111"/>
      <c r="Z510" s="3"/>
    </row>
    <row r="511" ht="14.25" hidden="1" customHeight="1" outlineLevel="1">
      <c r="A511" s="112"/>
      <c r="B511" s="113" t="s">
        <v>1057</v>
      </c>
      <c r="C511" s="114" t="s">
        <v>1058</v>
      </c>
      <c r="D511" s="115"/>
      <c r="E511" s="35"/>
      <c r="F511" s="113"/>
      <c r="G511" s="116"/>
      <c r="H511" s="116"/>
      <c r="I511" s="115"/>
      <c r="J511" s="88"/>
      <c r="K511" s="117"/>
      <c r="L511" s="118"/>
      <c r="M511" s="118"/>
      <c r="N511" s="118"/>
      <c r="O511" s="119"/>
      <c r="P511" s="88"/>
      <c r="Q511" s="120"/>
      <c r="R511" s="120"/>
      <c r="S511" s="120"/>
      <c r="T511" s="120">
        <f>SUM(T512:T535)</f>
        <v>0</v>
      </c>
      <c r="U511" s="121">
        <f t="shared" si="214"/>
        <v>0</v>
      </c>
      <c r="V511" s="122"/>
      <c r="W511" s="123"/>
      <c r="X511" s="2"/>
      <c r="Y511" s="111"/>
      <c r="Z511" s="3"/>
    </row>
    <row r="512" ht="14.25" hidden="1" customHeight="1" outlineLevel="2">
      <c r="A512" s="124"/>
      <c r="B512" s="125" t="s">
        <v>1059</v>
      </c>
      <c r="C512" s="126" t="s">
        <v>1060</v>
      </c>
      <c r="D512" s="127" t="s">
        <v>142</v>
      </c>
      <c r="E512" s="35"/>
      <c r="F512" s="128"/>
      <c r="G512" s="128"/>
      <c r="H512" s="128"/>
      <c r="I512" s="127">
        <f t="shared" ref="I512:I535" si="279">F512+G512+H512</f>
        <v>0</v>
      </c>
      <c r="J512" s="88"/>
      <c r="K512" s="129">
        <f t="shared" ref="K512:K535" si="280">L512*O512</f>
        <v>23.51362491</v>
      </c>
      <c r="L512" s="130">
        <v>0.6</v>
      </c>
      <c r="M512" s="129">
        <f t="shared" ref="M512:M535" si="281">N512*O512</f>
        <v>15.67574994</v>
      </c>
      <c r="N512" s="130">
        <f t="shared" ref="N512:N535" si="282">100%-L512</f>
        <v>0.4</v>
      </c>
      <c r="O512" s="131">
        <f t="array" ref="O512">INDEX('LPU Regionalizada'!$B$3:$N$785,MATCH($B512,'LPU Regionalizada'!$B$3:$B$785,0),MATCH(INDEX(CTRL!$F$3:$F$29,CTRL!$E$1),'LPU Regionalizada'!$B$3:$N$3,0))</f>
        <v>39.18937485</v>
      </c>
      <c r="P512" s="88"/>
      <c r="Q512" s="132">
        <f t="shared" ref="Q512:Q535" si="283">F512*O512</f>
        <v>0</v>
      </c>
      <c r="R512" s="132">
        <f t="shared" ref="R512:R535" si="284">G512*O512</f>
        <v>0</v>
      </c>
      <c r="S512" s="132">
        <f t="shared" ref="S512:S535" si="285">H512*O512</f>
        <v>0</v>
      </c>
      <c r="T512" s="133">
        <f t="shared" ref="T512:T535" si="286">SUM(Q512:S512)</f>
        <v>0</v>
      </c>
      <c r="U512" s="134">
        <f t="shared" si="214"/>
        <v>0</v>
      </c>
      <c r="V512" s="135"/>
      <c r="W512" s="136"/>
      <c r="X512" s="2"/>
      <c r="Y512" s="111"/>
      <c r="Z512" s="3"/>
    </row>
    <row r="513" ht="14.25" hidden="1" customHeight="1" outlineLevel="2">
      <c r="A513" s="124"/>
      <c r="B513" s="125" t="s">
        <v>1061</v>
      </c>
      <c r="C513" s="126" t="s">
        <v>1062</v>
      </c>
      <c r="D513" s="127" t="s">
        <v>142</v>
      </c>
      <c r="E513" s="35"/>
      <c r="F513" s="128"/>
      <c r="G513" s="128"/>
      <c r="H513" s="128"/>
      <c r="I513" s="127">
        <f t="shared" si="279"/>
        <v>0</v>
      </c>
      <c r="J513" s="88"/>
      <c r="K513" s="129">
        <f t="shared" si="280"/>
        <v>11.232</v>
      </c>
      <c r="L513" s="130">
        <v>0.6</v>
      </c>
      <c r="M513" s="129">
        <f t="shared" si="281"/>
        <v>7.488</v>
      </c>
      <c r="N513" s="130">
        <f t="shared" si="282"/>
        <v>0.4</v>
      </c>
      <c r="O513" s="131">
        <f t="array" ref="O513">INDEX('LPU Regionalizada'!$B$3:$N$785,MATCH($B513,'LPU Regionalizada'!$B$3:$B$785,0),MATCH(INDEX(CTRL!$F$3:$F$29,CTRL!$E$1),'LPU Regionalizada'!$B$3:$N$3,0))</f>
        <v>18.72</v>
      </c>
      <c r="P513" s="88"/>
      <c r="Q513" s="132">
        <f t="shared" si="283"/>
        <v>0</v>
      </c>
      <c r="R513" s="132">
        <f t="shared" si="284"/>
        <v>0</v>
      </c>
      <c r="S513" s="132">
        <f t="shared" si="285"/>
        <v>0</v>
      </c>
      <c r="T513" s="133">
        <f t="shared" si="286"/>
        <v>0</v>
      </c>
      <c r="U513" s="134">
        <f t="shared" si="214"/>
        <v>0</v>
      </c>
      <c r="V513" s="135"/>
      <c r="W513" s="136"/>
      <c r="X513" s="2"/>
      <c r="Y513" s="111"/>
      <c r="Z513" s="3"/>
    </row>
    <row r="514" ht="14.25" hidden="1" customHeight="1" outlineLevel="2">
      <c r="A514" s="124"/>
      <c r="B514" s="125" t="s">
        <v>1063</v>
      </c>
      <c r="C514" s="126" t="s">
        <v>1064</v>
      </c>
      <c r="D514" s="127" t="s">
        <v>142</v>
      </c>
      <c r="E514" s="35"/>
      <c r="F514" s="128"/>
      <c r="G514" s="128"/>
      <c r="H514" s="128"/>
      <c r="I514" s="127">
        <f t="shared" si="279"/>
        <v>0</v>
      </c>
      <c r="J514" s="88"/>
      <c r="K514" s="129">
        <f t="shared" si="280"/>
        <v>22.0844235</v>
      </c>
      <c r="L514" s="130">
        <v>0.6</v>
      </c>
      <c r="M514" s="129">
        <f t="shared" si="281"/>
        <v>14.722949</v>
      </c>
      <c r="N514" s="130">
        <f t="shared" si="282"/>
        <v>0.4</v>
      </c>
      <c r="O514" s="131">
        <f t="array" ref="O514">INDEX('LPU Regionalizada'!$B$3:$N$785,MATCH($B514,'LPU Regionalizada'!$B$3:$B$785,0),MATCH(INDEX(CTRL!$F$3:$F$29,CTRL!$E$1),'LPU Regionalizada'!$B$3:$N$3,0))</f>
        <v>36.80737249</v>
      </c>
      <c r="P514" s="88"/>
      <c r="Q514" s="132">
        <f t="shared" si="283"/>
        <v>0</v>
      </c>
      <c r="R514" s="132">
        <f t="shared" si="284"/>
        <v>0</v>
      </c>
      <c r="S514" s="132">
        <f t="shared" si="285"/>
        <v>0</v>
      </c>
      <c r="T514" s="133">
        <f t="shared" si="286"/>
        <v>0</v>
      </c>
      <c r="U514" s="134">
        <f t="shared" si="214"/>
        <v>0</v>
      </c>
      <c r="V514" s="135"/>
      <c r="W514" s="136"/>
      <c r="X514" s="2"/>
      <c r="Y514" s="111"/>
      <c r="Z514" s="3"/>
    </row>
    <row r="515" ht="14.25" hidden="1" customHeight="1" outlineLevel="2">
      <c r="A515" s="124"/>
      <c r="B515" s="125" t="s">
        <v>1065</v>
      </c>
      <c r="C515" s="126" t="s">
        <v>1066</v>
      </c>
      <c r="D515" s="127" t="s">
        <v>180</v>
      </c>
      <c r="E515" s="35"/>
      <c r="F515" s="128"/>
      <c r="G515" s="128"/>
      <c r="H515" s="128"/>
      <c r="I515" s="127">
        <f t="shared" si="279"/>
        <v>0</v>
      </c>
      <c r="J515" s="88"/>
      <c r="K515" s="129">
        <f t="shared" si="280"/>
        <v>15.2448</v>
      </c>
      <c r="L515" s="130">
        <v>0.6</v>
      </c>
      <c r="M515" s="129">
        <f t="shared" si="281"/>
        <v>10.1632</v>
      </c>
      <c r="N515" s="130">
        <f t="shared" si="282"/>
        <v>0.4</v>
      </c>
      <c r="O515" s="131">
        <f t="array" ref="O515">INDEX('LPU Regionalizada'!$B$3:$N$785,MATCH($B515,'LPU Regionalizada'!$B$3:$B$785,0),MATCH(INDEX(CTRL!$F$3:$F$29,CTRL!$E$1),'LPU Regionalizada'!$B$3:$N$3,0))</f>
        <v>25.408</v>
      </c>
      <c r="P515" s="88"/>
      <c r="Q515" s="132">
        <f t="shared" si="283"/>
        <v>0</v>
      </c>
      <c r="R515" s="132">
        <f t="shared" si="284"/>
        <v>0</v>
      </c>
      <c r="S515" s="132">
        <f t="shared" si="285"/>
        <v>0</v>
      </c>
      <c r="T515" s="133">
        <f t="shared" si="286"/>
        <v>0</v>
      </c>
      <c r="U515" s="134">
        <f t="shared" si="214"/>
        <v>0</v>
      </c>
      <c r="V515" s="135"/>
      <c r="W515" s="136"/>
      <c r="X515" s="2"/>
      <c r="Y515" s="111"/>
      <c r="Z515" s="3"/>
    </row>
    <row r="516" ht="14.25" hidden="1" customHeight="1" outlineLevel="2">
      <c r="A516" s="124"/>
      <c r="B516" s="125" t="s">
        <v>1067</v>
      </c>
      <c r="C516" s="126" t="s">
        <v>1068</v>
      </c>
      <c r="D516" s="127" t="s">
        <v>180</v>
      </c>
      <c r="E516" s="35"/>
      <c r="F516" s="128"/>
      <c r="G516" s="128"/>
      <c r="H516" s="128"/>
      <c r="I516" s="127">
        <f t="shared" si="279"/>
        <v>0</v>
      </c>
      <c r="J516" s="88"/>
      <c r="K516" s="129">
        <f t="shared" si="280"/>
        <v>5.913648</v>
      </c>
      <c r="L516" s="130">
        <v>0.6</v>
      </c>
      <c r="M516" s="129">
        <f t="shared" si="281"/>
        <v>3.942432</v>
      </c>
      <c r="N516" s="130">
        <f t="shared" si="282"/>
        <v>0.4</v>
      </c>
      <c r="O516" s="131">
        <f t="array" ref="O516">INDEX('LPU Regionalizada'!$B$3:$N$785,MATCH($B516,'LPU Regionalizada'!$B$3:$B$785,0),MATCH(INDEX(CTRL!$F$3:$F$29,CTRL!$E$1),'LPU Regionalizada'!$B$3:$N$3,0))</f>
        <v>9.85608</v>
      </c>
      <c r="P516" s="88"/>
      <c r="Q516" s="132">
        <f t="shared" si="283"/>
        <v>0</v>
      </c>
      <c r="R516" s="132">
        <f t="shared" si="284"/>
        <v>0</v>
      </c>
      <c r="S516" s="132">
        <f t="shared" si="285"/>
        <v>0</v>
      </c>
      <c r="T516" s="133">
        <f t="shared" si="286"/>
        <v>0</v>
      </c>
      <c r="U516" s="134">
        <f t="shared" si="214"/>
        <v>0</v>
      </c>
      <c r="V516" s="135"/>
      <c r="W516" s="136"/>
      <c r="X516" s="2"/>
      <c r="Y516" s="111"/>
      <c r="Z516" s="3"/>
    </row>
    <row r="517" ht="14.25" hidden="1" customHeight="1" outlineLevel="2">
      <c r="A517" s="124"/>
      <c r="B517" s="125" t="s">
        <v>1069</v>
      </c>
      <c r="C517" s="126" t="s">
        <v>1070</v>
      </c>
      <c r="D517" s="127" t="s">
        <v>180</v>
      </c>
      <c r="E517" s="35"/>
      <c r="F517" s="128"/>
      <c r="G517" s="128"/>
      <c r="H517" s="128"/>
      <c r="I517" s="127">
        <f t="shared" si="279"/>
        <v>0</v>
      </c>
      <c r="J517" s="88"/>
      <c r="K517" s="129">
        <f t="shared" si="280"/>
        <v>7.957872</v>
      </c>
      <c r="L517" s="130">
        <v>0.6</v>
      </c>
      <c r="M517" s="129">
        <f t="shared" si="281"/>
        <v>5.305248</v>
      </c>
      <c r="N517" s="130">
        <f t="shared" si="282"/>
        <v>0.4</v>
      </c>
      <c r="O517" s="131">
        <f t="array" ref="O517">INDEX('LPU Regionalizada'!$B$3:$N$785,MATCH($B517,'LPU Regionalizada'!$B$3:$B$785,0),MATCH(INDEX(CTRL!$F$3:$F$29,CTRL!$E$1),'LPU Regionalizada'!$B$3:$N$3,0))</f>
        <v>13.26312</v>
      </c>
      <c r="P517" s="88"/>
      <c r="Q517" s="132">
        <f t="shared" si="283"/>
        <v>0</v>
      </c>
      <c r="R517" s="132">
        <f t="shared" si="284"/>
        <v>0</v>
      </c>
      <c r="S517" s="132">
        <f t="shared" si="285"/>
        <v>0</v>
      </c>
      <c r="T517" s="133">
        <f t="shared" si="286"/>
        <v>0</v>
      </c>
      <c r="U517" s="134">
        <f t="shared" si="214"/>
        <v>0</v>
      </c>
      <c r="V517" s="135"/>
      <c r="W517" s="136"/>
      <c r="X517" s="2"/>
      <c r="Y517" s="111"/>
      <c r="Z517" s="3"/>
    </row>
    <row r="518" ht="14.25" hidden="1" customHeight="1" outlineLevel="2">
      <c r="A518" s="124"/>
      <c r="B518" s="125" t="s">
        <v>1071</v>
      </c>
      <c r="C518" s="126" t="s">
        <v>1072</v>
      </c>
      <c r="D518" s="127" t="s">
        <v>180</v>
      </c>
      <c r="E518" s="35"/>
      <c r="F518" s="128"/>
      <c r="G518" s="128"/>
      <c r="H518" s="128"/>
      <c r="I518" s="127">
        <f t="shared" si="279"/>
        <v>0</v>
      </c>
      <c r="J518" s="88"/>
      <c r="K518" s="129">
        <f t="shared" si="280"/>
        <v>10.541232</v>
      </c>
      <c r="L518" s="130">
        <v>0.6</v>
      </c>
      <c r="M518" s="129">
        <f t="shared" si="281"/>
        <v>7.027488</v>
      </c>
      <c r="N518" s="130">
        <f t="shared" si="282"/>
        <v>0.4</v>
      </c>
      <c r="O518" s="131">
        <f t="array" ref="O518">INDEX('LPU Regionalizada'!$B$3:$N$785,MATCH($B518,'LPU Regionalizada'!$B$3:$B$785,0),MATCH(INDEX(CTRL!$F$3:$F$29,CTRL!$E$1),'LPU Regionalizada'!$B$3:$N$3,0))</f>
        <v>17.56872</v>
      </c>
      <c r="P518" s="88"/>
      <c r="Q518" s="132">
        <f t="shared" si="283"/>
        <v>0</v>
      </c>
      <c r="R518" s="132">
        <f t="shared" si="284"/>
        <v>0</v>
      </c>
      <c r="S518" s="132">
        <f t="shared" si="285"/>
        <v>0</v>
      </c>
      <c r="T518" s="133">
        <f t="shared" si="286"/>
        <v>0</v>
      </c>
      <c r="U518" s="134">
        <f t="shared" si="214"/>
        <v>0</v>
      </c>
      <c r="V518" s="135"/>
      <c r="W518" s="136"/>
      <c r="X518" s="2"/>
      <c r="Y518" s="111"/>
      <c r="Z518" s="3"/>
    </row>
    <row r="519" ht="14.25" hidden="1" customHeight="1" outlineLevel="2">
      <c r="A519" s="124"/>
      <c r="B519" s="125" t="s">
        <v>1073</v>
      </c>
      <c r="C519" s="126" t="s">
        <v>1074</v>
      </c>
      <c r="D519" s="127" t="s">
        <v>180</v>
      </c>
      <c r="E519" s="35"/>
      <c r="F519" s="128"/>
      <c r="G519" s="128"/>
      <c r="H519" s="128"/>
      <c r="I519" s="127">
        <f t="shared" si="279"/>
        <v>0</v>
      </c>
      <c r="J519" s="88"/>
      <c r="K519" s="129">
        <f t="shared" si="280"/>
        <v>13.76819874</v>
      </c>
      <c r="L519" s="130">
        <v>0.6</v>
      </c>
      <c r="M519" s="129">
        <f t="shared" si="281"/>
        <v>9.178799158</v>
      </c>
      <c r="N519" s="130">
        <f t="shared" si="282"/>
        <v>0.4</v>
      </c>
      <c r="O519" s="131">
        <f t="array" ref="O519">INDEX('LPU Regionalizada'!$B$3:$N$785,MATCH($B519,'LPU Regionalizada'!$B$3:$B$785,0),MATCH(INDEX(CTRL!$F$3:$F$29,CTRL!$E$1),'LPU Regionalizada'!$B$3:$N$3,0))</f>
        <v>22.94699789</v>
      </c>
      <c r="P519" s="88"/>
      <c r="Q519" s="132">
        <f t="shared" si="283"/>
        <v>0</v>
      </c>
      <c r="R519" s="132">
        <f t="shared" si="284"/>
        <v>0</v>
      </c>
      <c r="S519" s="132">
        <f t="shared" si="285"/>
        <v>0</v>
      </c>
      <c r="T519" s="133">
        <f t="shared" si="286"/>
        <v>0</v>
      </c>
      <c r="U519" s="134">
        <f t="shared" si="214"/>
        <v>0</v>
      </c>
      <c r="V519" s="135"/>
      <c r="W519" s="136"/>
      <c r="X519" s="2"/>
      <c r="Y519" s="111"/>
      <c r="Z519" s="3"/>
    </row>
    <row r="520" ht="14.25" hidden="1" customHeight="1" outlineLevel="2">
      <c r="A520" s="124"/>
      <c r="B520" s="125" t="s">
        <v>1075</v>
      </c>
      <c r="C520" s="126" t="s">
        <v>1076</v>
      </c>
      <c r="D520" s="127" t="s">
        <v>180</v>
      </c>
      <c r="E520" s="35"/>
      <c r="F520" s="128"/>
      <c r="G520" s="128"/>
      <c r="H520" s="128"/>
      <c r="I520" s="127">
        <f t="shared" si="279"/>
        <v>0</v>
      </c>
      <c r="J520" s="88"/>
      <c r="K520" s="129">
        <f t="shared" si="280"/>
        <v>22.59519035</v>
      </c>
      <c r="L520" s="130">
        <v>0.6</v>
      </c>
      <c r="M520" s="129">
        <f t="shared" si="281"/>
        <v>15.06346023</v>
      </c>
      <c r="N520" s="130">
        <f t="shared" si="282"/>
        <v>0.4</v>
      </c>
      <c r="O520" s="131">
        <f t="array" ref="O520">INDEX('LPU Regionalizada'!$B$3:$N$785,MATCH($B520,'LPU Regionalizada'!$B$3:$B$785,0),MATCH(INDEX(CTRL!$F$3:$F$29,CTRL!$E$1),'LPU Regionalizada'!$B$3:$N$3,0))</f>
        <v>37.65865059</v>
      </c>
      <c r="P520" s="88"/>
      <c r="Q520" s="132">
        <f t="shared" si="283"/>
        <v>0</v>
      </c>
      <c r="R520" s="132">
        <f t="shared" si="284"/>
        <v>0</v>
      </c>
      <c r="S520" s="132">
        <f t="shared" si="285"/>
        <v>0</v>
      </c>
      <c r="T520" s="133">
        <f t="shared" si="286"/>
        <v>0</v>
      </c>
      <c r="U520" s="134">
        <f t="shared" si="214"/>
        <v>0</v>
      </c>
      <c r="V520" s="135"/>
      <c r="W520" s="136"/>
      <c r="X520" s="2"/>
      <c r="Y520" s="111"/>
      <c r="Z520" s="3"/>
    </row>
    <row r="521" ht="14.25" hidden="1" customHeight="1" outlineLevel="2">
      <c r="A521" s="124"/>
      <c r="B521" s="125" t="s">
        <v>1077</v>
      </c>
      <c r="C521" s="126" t="s">
        <v>1078</v>
      </c>
      <c r="D521" s="127" t="s">
        <v>180</v>
      </c>
      <c r="E521" s="35"/>
      <c r="F521" s="128"/>
      <c r="G521" s="128"/>
      <c r="H521" s="128"/>
      <c r="I521" s="127">
        <f t="shared" si="279"/>
        <v>0</v>
      </c>
      <c r="J521" s="88"/>
      <c r="K521" s="129">
        <f t="shared" si="280"/>
        <v>31.556304</v>
      </c>
      <c r="L521" s="130">
        <v>0.6</v>
      </c>
      <c r="M521" s="129">
        <f t="shared" si="281"/>
        <v>21.037536</v>
      </c>
      <c r="N521" s="130">
        <f t="shared" si="282"/>
        <v>0.4</v>
      </c>
      <c r="O521" s="131">
        <f t="array" ref="O521">INDEX('LPU Regionalizada'!$B$3:$N$785,MATCH($B521,'LPU Regionalizada'!$B$3:$B$785,0),MATCH(INDEX(CTRL!$F$3:$F$29,CTRL!$E$1),'LPU Regionalizada'!$B$3:$N$3,0))</f>
        <v>52.59384</v>
      </c>
      <c r="P521" s="88"/>
      <c r="Q521" s="132">
        <f t="shared" si="283"/>
        <v>0</v>
      </c>
      <c r="R521" s="132">
        <f t="shared" si="284"/>
        <v>0</v>
      </c>
      <c r="S521" s="132">
        <f t="shared" si="285"/>
        <v>0</v>
      </c>
      <c r="T521" s="133">
        <f t="shared" si="286"/>
        <v>0</v>
      </c>
      <c r="U521" s="134">
        <f t="shared" si="214"/>
        <v>0</v>
      </c>
      <c r="V521" s="135"/>
      <c r="W521" s="136"/>
      <c r="X521" s="2"/>
      <c r="Y521" s="111"/>
      <c r="Z521" s="3"/>
    </row>
    <row r="522" ht="14.25" hidden="1" customHeight="1" outlineLevel="2">
      <c r="A522" s="124"/>
      <c r="B522" s="125" t="s">
        <v>1079</v>
      </c>
      <c r="C522" s="126" t="s">
        <v>1080</v>
      </c>
      <c r="D522" s="127" t="s">
        <v>180</v>
      </c>
      <c r="E522" s="35"/>
      <c r="F522" s="128"/>
      <c r="G522" s="128"/>
      <c r="H522" s="128"/>
      <c r="I522" s="127">
        <f t="shared" si="279"/>
        <v>0</v>
      </c>
      <c r="J522" s="88"/>
      <c r="K522" s="129">
        <f t="shared" si="280"/>
        <v>39.390624</v>
      </c>
      <c r="L522" s="130">
        <v>0.6</v>
      </c>
      <c r="M522" s="129">
        <f t="shared" si="281"/>
        <v>26.260416</v>
      </c>
      <c r="N522" s="130">
        <f t="shared" si="282"/>
        <v>0.4</v>
      </c>
      <c r="O522" s="131">
        <f t="array" ref="O522">INDEX('LPU Regionalizada'!$B$3:$N$785,MATCH($B522,'LPU Regionalizada'!$B$3:$B$785,0),MATCH(INDEX(CTRL!$F$3:$F$29,CTRL!$E$1),'LPU Regionalizada'!$B$3:$N$3,0))</f>
        <v>65.65104</v>
      </c>
      <c r="P522" s="88"/>
      <c r="Q522" s="132">
        <f t="shared" si="283"/>
        <v>0</v>
      </c>
      <c r="R522" s="132">
        <f t="shared" si="284"/>
        <v>0</v>
      </c>
      <c r="S522" s="132">
        <f t="shared" si="285"/>
        <v>0</v>
      </c>
      <c r="T522" s="133">
        <f t="shared" si="286"/>
        <v>0</v>
      </c>
      <c r="U522" s="134">
        <f t="shared" si="214"/>
        <v>0</v>
      </c>
      <c r="V522" s="135"/>
      <c r="W522" s="136"/>
      <c r="X522" s="2"/>
      <c r="Y522" s="111"/>
      <c r="Z522" s="3"/>
    </row>
    <row r="523" ht="14.25" hidden="1" customHeight="1" outlineLevel="2">
      <c r="A523" s="124"/>
      <c r="B523" s="125" t="s">
        <v>1081</v>
      </c>
      <c r="C523" s="126" t="s">
        <v>1082</v>
      </c>
      <c r="D523" s="127" t="s">
        <v>142</v>
      </c>
      <c r="E523" s="35"/>
      <c r="F523" s="128"/>
      <c r="G523" s="128"/>
      <c r="H523" s="128"/>
      <c r="I523" s="127">
        <f t="shared" si="279"/>
        <v>0</v>
      </c>
      <c r="J523" s="88"/>
      <c r="K523" s="129">
        <f t="shared" si="280"/>
        <v>31.2</v>
      </c>
      <c r="L523" s="130">
        <v>0.6</v>
      </c>
      <c r="M523" s="129">
        <f t="shared" si="281"/>
        <v>20.8</v>
      </c>
      <c r="N523" s="130">
        <f t="shared" si="282"/>
        <v>0.4</v>
      </c>
      <c r="O523" s="131">
        <f t="array" ref="O523">INDEX('LPU Regionalizada'!$B$3:$N$785,MATCH($B523,'LPU Regionalizada'!$B$3:$B$785,0),MATCH(INDEX(CTRL!$F$3:$F$29,CTRL!$E$1),'LPU Regionalizada'!$B$3:$N$3,0))</f>
        <v>52</v>
      </c>
      <c r="P523" s="88"/>
      <c r="Q523" s="132">
        <f t="shared" si="283"/>
        <v>0</v>
      </c>
      <c r="R523" s="132">
        <f t="shared" si="284"/>
        <v>0</v>
      </c>
      <c r="S523" s="132">
        <f t="shared" si="285"/>
        <v>0</v>
      </c>
      <c r="T523" s="133">
        <f t="shared" si="286"/>
        <v>0</v>
      </c>
      <c r="U523" s="134">
        <f t="shared" si="214"/>
        <v>0</v>
      </c>
      <c r="V523" s="135"/>
      <c r="W523" s="136"/>
      <c r="X523" s="2"/>
      <c r="Y523" s="111"/>
      <c r="Z523" s="3"/>
    </row>
    <row r="524" ht="14.25" hidden="1" customHeight="1" outlineLevel="2">
      <c r="A524" s="124"/>
      <c r="B524" s="125" t="s">
        <v>1083</v>
      </c>
      <c r="C524" s="126" t="s">
        <v>1084</v>
      </c>
      <c r="D524" s="127" t="s">
        <v>142</v>
      </c>
      <c r="E524" s="35"/>
      <c r="F524" s="128"/>
      <c r="G524" s="128"/>
      <c r="H524" s="128"/>
      <c r="I524" s="127">
        <f t="shared" si="279"/>
        <v>0</v>
      </c>
      <c r="J524" s="88"/>
      <c r="K524" s="129">
        <f t="shared" si="280"/>
        <v>43.20576</v>
      </c>
      <c r="L524" s="130">
        <v>0.6</v>
      </c>
      <c r="M524" s="129">
        <f t="shared" si="281"/>
        <v>28.80384</v>
      </c>
      <c r="N524" s="130">
        <f t="shared" si="282"/>
        <v>0.4</v>
      </c>
      <c r="O524" s="131">
        <f t="array" ref="O524">INDEX('LPU Regionalizada'!$B$3:$N$785,MATCH($B524,'LPU Regionalizada'!$B$3:$B$785,0),MATCH(INDEX(CTRL!$F$3:$F$29,CTRL!$E$1),'LPU Regionalizada'!$B$3:$N$3,0))</f>
        <v>72.0096</v>
      </c>
      <c r="P524" s="88"/>
      <c r="Q524" s="132">
        <f t="shared" si="283"/>
        <v>0</v>
      </c>
      <c r="R524" s="132">
        <f t="shared" si="284"/>
        <v>0</v>
      </c>
      <c r="S524" s="132">
        <f t="shared" si="285"/>
        <v>0</v>
      </c>
      <c r="T524" s="133">
        <f t="shared" si="286"/>
        <v>0</v>
      </c>
      <c r="U524" s="134">
        <f t="shared" si="214"/>
        <v>0</v>
      </c>
      <c r="V524" s="135"/>
      <c r="W524" s="136"/>
      <c r="X524" s="2"/>
      <c r="Y524" s="111"/>
      <c r="Z524" s="3"/>
    </row>
    <row r="525" ht="14.25" hidden="1" customHeight="1" outlineLevel="2">
      <c r="A525" s="124"/>
      <c r="B525" s="125" t="s">
        <v>1085</v>
      </c>
      <c r="C525" s="126" t="s">
        <v>1086</v>
      </c>
      <c r="D525" s="127" t="s">
        <v>180</v>
      </c>
      <c r="E525" s="35"/>
      <c r="F525" s="128"/>
      <c r="G525" s="128"/>
      <c r="H525" s="128"/>
      <c r="I525" s="127">
        <f t="shared" si="279"/>
        <v>0</v>
      </c>
      <c r="J525" s="88"/>
      <c r="K525" s="129">
        <f t="shared" si="280"/>
        <v>4.94492481</v>
      </c>
      <c r="L525" s="130">
        <v>0.6</v>
      </c>
      <c r="M525" s="129">
        <f t="shared" si="281"/>
        <v>3.29661654</v>
      </c>
      <c r="N525" s="130">
        <f t="shared" si="282"/>
        <v>0.4</v>
      </c>
      <c r="O525" s="131">
        <f t="array" ref="O525">INDEX('LPU Regionalizada'!$B$3:$N$785,MATCH($B525,'LPU Regionalizada'!$B$3:$B$785,0),MATCH(INDEX(CTRL!$F$3:$F$29,CTRL!$E$1),'LPU Regionalizada'!$B$3:$N$3,0))</f>
        <v>8.24154135</v>
      </c>
      <c r="P525" s="88"/>
      <c r="Q525" s="132">
        <f t="shared" si="283"/>
        <v>0</v>
      </c>
      <c r="R525" s="132">
        <f t="shared" si="284"/>
        <v>0</v>
      </c>
      <c r="S525" s="132">
        <f t="shared" si="285"/>
        <v>0</v>
      </c>
      <c r="T525" s="133">
        <f t="shared" si="286"/>
        <v>0</v>
      </c>
      <c r="U525" s="134">
        <f t="shared" si="214"/>
        <v>0</v>
      </c>
      <c r="V525" s="135"/>
      <c r="W525" s="136"/>
      <c r="X525" s="2"/>
      <c r="Y525" s="111"/>
      <c r="Z525" s="3"/>
    </row>
    <row r="526" ht="14.25" hidden="1" customHeight="1" outlineLevel="2">
      <c r="A526" s="124"/>
      <c r="B526" s="125" t="s">
        <v>1087</v>
      </c>
      <c r="C526" s="126" t="s">
        <v>1088</v>
      </c>
      <c r="D526" s="127" t="s">
        <v>142</v>
      </c>
      <c r="E526" s="35"/>
      <c r="F526" s="128"/>
      <c r="G526" s="128"/>
      <c r="H526" s="128"/>
      <c r="I526" s="127">
        <f t="shared" si="279"/>
        <v>0</v>
      </c>
      <c r="J526" s="88"/>
      <c r="K526" s="129">
        <f t="shared" si="280"/>
        <v>32.37936</v>
      </c>
      <c r="L526" s="130">
        <v>0.6</v>
      </c>
      <c r="M526" s="129">
        <f t="shared" si="281"/>
        <v>21.58624</v>
      </c>
      <c r="N526" s="130">
        <f t="shared" si="282"/>
        <v>0.4</v>
      </c>
      <c r="O526" s="131">
        <f t="array" ref="O526">INDEX('LPU Regionalizada'!$B$3:$N$785,MATCH($B526,'LPU Regionalizada'!$B$3:$B$785,0),MATCH(INDEX(CTRL!$F$3:$F$29,CTRL!$E$1),'LPU Regionalizada'!$B$3:$N$3,0))</f>
        <v>53.9656</v>
      </c>
      <c r="P526" s="88"/>
      <c r="Q526" s="132">
        <f t="shared" si="283"/>
        <v>0</v>
      </c>
      <c r="R526" s="132">
        <f t="shared" si="284"/>
        <v>0</v>
      </c>
      <c r="S526" s="132">
        <f t="shared" si="285"/>
        <v>0</v>
      </c>
      <c r="T526" s="133">
        <f t="shared" si="286"/>
        <v>0</v>
      </c>
      <c r="U526" s="134">
        <f t="shared" si="214"/>
        <v>0</v>
      </c>
      <c r="V526" s="135"/>
      <c r="W526" s="136"/>
      <c r="X526" s="2"/>
      <c r="Y526" s="111"/>
      <c r="Z526" s="3"/>
    </row>
    <row r="527" ht="14.25" hidden="1" customHeight="1" outlineLevel="2">
      <c r="A527" s="124"/>
      <c r="B527" s="125" t="s">
        <v>1089</v>
      </c>
      <c r="C527" s="126" t="s">
        <v>1090</v>
      </c>
      <c r="D527" s="127" t="s">
        <v>142</v>
      </c>
      <c r="E527" s="35"/>
      <c r="F527" s="128"/>
      <c r="G527" s="128"/>
      <c r="H527" s="128"/>
      <c r="I527" s="127">
        <f t="shared" si="279"/>
        <v>0</v>
      </c>
      <c r="J527" s="88"/>
      <c r="K527" s="129">
        <f t="shared" si="280"/>
        <v>40.28697921</v>
      </c>
      <c r="L527" s="130">
        <v>0.6</v>
      </c>
      <c r="M527" s="129">
        <f t="shared" si="281"/>
        <v>26.85798614</v>
      </c>
      <c r="N527" s="130">
        <f t="shared" si="282"/>
        <v>0.4</v>
      </c>
      <c r="O527" s="131">
        <f t="array" ref="O527">INDEX('LPU Regionalizada'!$B$3:$N$785,MATCH($B527,'LPU Regionalizada'!$B$3:$B$785,0),MATCH(INDEX(CTRL!$F$3:$F$29,CTRL!$E$1),'LPU Regionalizada'!$B$3:$N$3,0))</f>
        <v>67.14496536</v>
      </c>
      <c r="P527" s="88"/>
      <c r="Q527" s="132">
        <f t="shared" si="283"/>
        <v>0</v>
      </c>
      <c r="R527" s="132">
        <f t="shared" si="284"/>
        <v>0</v>
      </c>
      <c r="S527" s="132">
        <f t="shared" si="285"/>
        <v>0</v>
      </c>
      <c r="T527" s="133">
        <f t="shared" si="286"/>
        <v>0</v>
      </c>
      <c r="U527" s="134">
        <f t="shared" si="214"/>
        <v>0</v>
      </c>
      <c r="V527" s="135"/>
      <c r="W527" s="136"/>
      <c r="X527" s="2"/>
      <c r="Y527" s="111"/>
      <c r="Z527" s="3"/>
    </row>
    <row r="528" ht="14.25" hidden="1" customHeight="1" outlineLevel="2">
      <c r="A528" s="124"/>
      <c r="B528" s="125" t="s">
        <v>1091</v>
      </c>
      <c r="C528" s="126" t="s">
        <v>1092</v>
      </c>
      <c r="D528" s="127" t="s">
        <v>142</v>
      </c>
      <c r="E528" s="35"/>
      <c r="F528" s="128"/>
      <c r="G528" s="128"/>
      <c r="H528" s="128"/>
      <c r="I528" s="127">
        <f t="shared" si="279"/>
        <v>0</v>
      </c>
      <c r="J528" s="88"/>
      <c r="K528" s="129">
        <f t="shared" si="280"/>
        <v>26.832</v>
      </c>
      <c r="L528" s="130">
        <v>0.6</v>
      </c>
      <c r="M528" s="129">
        <f t="shared" si="281"/>
        <v>17.888</v>
      </c>
      <c r="N528" s="130">
        <f t="shared" si="282"/>
        <v>0.4</v>
      </c>
      <c r="O528" s="131">
        <f t="array" ref="O528">INDEX('LPU Regionalizada'!$B$3:$N$785,MATCH($B528,'LPU Regionalizada'!$B$3:$B$785,0),MATCH(INDEX(CTRL!$F$3:$F$29,CTRL!$E$1),'LPU Regionalizada'!$B$3:$N$3,0))</f>
        <v>44.72</v>
      </c>
      <c r="P528" s="88"/>
      <c r="Q528" s="132">
        <f t="shared" si="283"/>
        <v>0</v>
      </c>
      <c r="R528" s="132">
        <f t="shared" si="284"/>
        <v>0</v>
      </c>
      <c r="S528" s="132">
        <f t="shared" si="285"/>
        <v>0</v>
      </c>
      <c r="T528" s="133">
        <f t="shared" si="286"/>
        <v>0</v>
      </c>
      <c r="U528" s="134">
        <f t="shared" si="214"/>
        <v>0</v>
      </c>
      <c r="V528" s="135"/>
      <c r="W528" s="136"/>
      <c r="X528" s="2"/>
      <c r="Y528" s="111"/>
      <c r="Z528" s="3"/>
    </row>
    <row r="529" ht="14.25" hidden="1" customHeight="1" outlineLevel="2">
      <c r="A529" s="124"/>
      <c r="B529" s="125" t="s">
        <v>1093</v>
      </c>
      <c r="C529" s="126" t="s">
        <v>1094</v>
      </c>
      <c r="D529" s="127" t="s">
        <v>142</v>
      </c>
      <c r="E529" s="35"/>
      <c r="F529" s="128"/>
      <c r="G529" s="128"/>
      <c r="H529" s="128"/>
      <c r="I529" s="127">
        <f t="shared" si="279"/>
        <v>0</v>
      </c>
      <c r="J529" s="88"/>
      <c r="K529" s="129">
        <f t="shared" si="280"/>
        <v>30.88176</v>
      </c>
      <c r="L529" s="130">
        <v>0.6</v>
      </c>
      <c r="M529" s="129">
        <f t="shared" si="281"/>
        <v>20.58784</v>
      </c>
      <c r="N529" s="130">
        <f t="shared" si="282"/>
        <v>0.4</v>
      </c>
      <c r="O529" s="131">
        <f t="array" ref="O529">INDEX('LPU Regionalizada'!$B$3:$N$785,MATCH($B529,'LPU Regionalizada'!$B$3:$B$785,0),MATCH(INDEX(CTRL!$F$3:$F$29,CTRL!$E$1),'LPU Regionalizada'!$B$3:$N$3,0))</f>
        <v>51.4696</v>
      </c>
      <c r="P529" s="88"/>
      <c r="Q529" s="132">
        <f t="shared" si="283"/>
        <v>0</v>
      </c>
      <c r="R529" s="132">
        <f t="shared" si="284"/>
        <v>0</v>
      </c>
      <c r="S529" s="132">
        <f t="shared" si="285"/>
        <v>0</v>
      </c>
      <c r="T529" s="133">
        <f t="shared" si="286"/>
        <v>0</v>
      </c>
      <c r="U529" s="134">
        <f t="shared" si="214"/>
        <v>0</v>
      </c>
      <c r="V529" s="135"/>
      <c r="W529" s="136"/>
      <c r="X529" s="2"/>
      <c r="Y529" s="111"/>
      <c r="Z529" s="3"/>
    </row>
    <row r="530" ht="14.25" hidden="1" customHeight="1" outlineLevel="2">
      <c r="A530" s="124"/>
      <c r="B530" s="125" t="s">
        <v>1095</v>
      </c>
      <c r="C530" s="126" t="s">
        <v>1096</v>
      </c>
      <c r="D530" s="127" t="s">
        <v>142</v>
      </c>
      <c r="E530" s="35"/>
      <c r="F530" s="128"/>
      <c r="G530" s="128"/>
      <c r="H530" s="128"/>
      <c r="I530" s="127">
        <f t="shared" si="279"/>
        <v>0</v>
      </c>
      <c r="J530" s="88"/>
      <c r="K530" s="129">
        <f t="shared" si="280"/>
        <v>45.78372666</v>
      </c>
      <c r="L530" s="130">
        <v>0.6</v>
      </c>
      <c r="M530" s="129">
        <f t="shared" si="281"/>
        <v>30.52248444</v>
      </c>
      <c r="N530" s="130">
        <f t="shared" si="282"/>
        <v>0.4</v>
      </c>
      <c r="O530" s="131">
        <f t="array" ref="O530">INDEX('LPU Regionalizada'!$B$3:$N$785,MATCH($B530,'LPU Regionalizada'!$B$3:$B$785,0),MATCH(INDEX(CTRL!$F$3:$F$29,CTRL!$E$1),'LPU Regionalizada'!$B$3:$N$3,0))</f>
        <v>76.3062111</v>
      </c>
      <c r="P530" s="88"/>
      <c r="Q530" s="132">
        <f t="shared" si="283"/>
        <v>0</v>
      </c>
      <c r="R530" s="132">
        <f t="shared" si="284"/>
        <v>0</v>
      </c>
      <c r="S530" s="132">
        <f t="shared" si="285"/>
        <v>0</v>
      </c>
      <c r="T530" s="133">
        <f t="shared" si="286"/>
        <v>0</v>
      </c>
      <c r="U530" s="134">
        <f t="shared" si="214"/>
        <v>0</v>
      </c>
      <c r="V530" s="135"/>
      <c r="W530" s="136"/>
      <c r="X530" s="2"/>
      <c r="Y530" s="111"/>
      <c r="Z530" s="3"/>
    </row>
    <row r="531" ht="14.25" hidden="1" customHeight="1" outlineLevel="2">
      <c r="A531" s="124"/>
      <c r="B531" s="125" t="s">
        <v>1097</v>
      </c>
      <c r="C531" s="126" t="s">
        <v>1098</v>
      </c>
      <c r="D531" s="127" t="s">
        <v>142</v>
      </c>
      <c r="E531" s="35"/>
      <c r="F531" s="128"/>
      <c r="G531" s="128"/>
      <c r="H531" s="128"/>
      <c r="I531" s="127">
        <f t="shared" si="279"/>
        <v>0</v>
      </c>
      <c r="J531" s="88"/>
      <c r="K531" s="129">
        <f t="shared" si="280"/>
        <v>41.70192</v>
      </c>
      <c r="L531" s="130">
        <v>0.6</v>
      </c>
      <c r="M531" s="129">
        <f t="shared" si="281"/>
        <v>27.80128</v>
      </c>
      <c r="N531" s="130">
        <f t="shared" si="282"/>
        <v>0.4</v>
      </c>
      <c r="O531" s="131">
        <f t="array" ref="O531">INDEX('LPU Regionalizada'!$B$3:$N$785,MATCH($B531,'LPU Regionalizada'!$B$3:$B$785,0),MATCH(INDEX(CTRL!$F$3:$F$29,CTRL!$E$1),'LPU Regionalizada'!$B$3:$N$3,0))</f>
        <v>69.5032</v>
      </c>
      <c r="P531" s="88"/>
      <c r="Q531" s="132">
        <f t="shared" si="283"/>
        <v>0</v>
      </c>
      <c r="R531" s="132">
        <f t="shared" si="284"/>
        <v>0</v>
      </c>
      <c r="S531" s="132">
        <f t="shared" si="285"/>
        <v>0</v>
      </c>
      <c r="T531" s="133">
        <f t="shared" si="286"/>
        <v>0</v>
      </c>
      <c r="U531" s="134">
        <f t="shared" si="214"/>
        <v>0</v>
      </c>
      <c r="V531" s="135"/>
      <c r="W531" s="136"/>
      <c r="X531" s="2"/>
      <c r="Y531" s="111"/>
      <c r="Z531" s="3"/>
    </row>
    <row r="532" ht="14.25" hidden="1" customHeight="1" outlineLevel="2">
      <c r="A532" s="124"/>
      <c r="B532" s="125" t="s">
        <v>1099</v>
      </c>
      <c r="C532" s="126" t="s">
        <v>1100</v>
      </c>
      <c r="D532" s="127" t="s">
        <v>142</v>
      </c>
      <c r="E532" s="35"/>
      <c r="F532" s="128"/>
      <c r="G532" s="128"/>
      <c r="H532" s="128"/>
      <c r="I532" s="127">
        <f t="shared" si="279"/>
        <v>0</v>
      </c>
      <c r="J532" s="88"/>
      <c r="K532" s="129">
        <f t="shared" si="280"/>
        <v>206.3698949</v>
      </c>
      <c r="L532" s="130">
        <v>0.6</v>
      </c>
      <c r="M532" s="129">
        <f t="shared" si="281"/>
        <v>137.5799299</v>
      </c>
      <c r="N532" s="130">
        <f t="shared" si="282"/>
        <v>0.4</v>
      </c>
      <c r="O532" s="131">
        <f t="array" ref="O532">INDEX('LPU Regionalizada'!$B$3:$N$785,MATCH($B532,'LPU Regionalizada'!$B$3:$B$785,0),MATCH(INDEX(CTRL!$F$3:$F$29,CTRL!$E$1),'LPU Regionalizada'!$B$3:$N$3,0))</f>
        <v>343.9498248</v>
      </c>
      <c r="P532" s="88"/>
      <c r="Q532" s="132">
        <f t="shared" si="283"/>
        <v>0</v>
      </c>
      <c r="R532" s="132">
        <f t="shared" si="284"/>
        <v>0</v>
      </c>
      <c r="S532" s="132">
        <f t="shared" si="285"/>
        <v>0</v>
      </c>
      <c r="T532" s="133">
        <f t="shared" si="286"/>
        <v>0</v>
      </c>
      <c r="U532" s="134">
        <f t="shared" si="214"/>
        <v>0</v>
      </c>
      <c r="V532" s="135"/>
      <c r="W532" s="136"/>
      <c r="X532" s="2"/>
      <c r="Y532" s="111"/>
      <c r="Z532" s="3"/>
    </row>
    <row r="533" ht="14.25" hidden="1" customHeight="1" outlineLevel="2">
      <c r="A533" s="124"/>
      <c r="B533" s="125" t="s">
        <v>1101</v>
      </c>
      <c r="C533" s="126" t="s">
        <v>1102</v>
      </c>
      <c r="D533" s="127" t="s">
        <v>142</v>
      </c>
      <c r="E533" s="35"/>
      <c r="F533" s="128"/>
      <c r="G533" s="128"/>
      <c r="H533" s="128"/>
      <c r="I533" s="127">
        <f t="shared" si="279"/>
        <v>0</v>
      </c>
      <c r="J533" s="88"/>
      <c r="K533" s="129">
        <f t="shared" si="280"/>
        <v>304.217845</v>
      </c>
      <c r="L533" s="130">
        <v>0.6</v>
      </c>
      <c r="M533" s="129">
        <f t="shared" si="281"/>
        <v>202.8118966</v>
      </c>
      <c r="N533" s="130">
        <f t="shared" si="282"/>
        <v>0.4</v>
      </c>
      <c r="O533" s="131">
        <f t="array" ref="O533">INDEX('LPU Regionalizada'!$B$3:$N$785,MATCH($B533,'LPU Regionalizada'!$B$3:$B$785,0),MATCH(INDEX(CTRL!$F$3:$F$29,CTRL!$E$1),'LPU Regionalizada'!$B$3:$N$3,0))</f>
        <v>507.0297416</v>
      </c>
      <c r="P533" s="88"/>
      <c r="Q533" s="132">
        <f t="shared" si="283"/>
        <v>0</v>
      </c>
      <c r="R533" s="132">
        <f t="shared" si="284"/>
        <v>0</v>
      </c>
      <c r="S533" s="132">
        <f t="shared" si="285"/>
        <v>0</v>
      </c>
      <c r="T533" s="133">
        <f t="shared" si="286"/>
        <v>0</v>
      </c>
      <c r="U533" s="134">
        <f t="shared" si="214"/>
        <v>0</v>
      </c>
      <c r="V533" s="135"/>
      <c r="W533" s="136"/>
      <c r="X533" s="2"/>
      <c r="Y533" s="111"/>
      <c r="Z533" s="3"/>
    </row>
    <row r="534" ht="14.25" hidden="1" customHeight="1" outlineLevel="2">
      <c r="A534" s="124"/>
      <c r="B534" s="125" t="s">
        <v>1103</v>
      </c>
      <c r="C534" s="126" t="s">
        <v>1104</v>
      </c>
      <c r="D534" s="127" t="s">
        <v>142</v>
      </c>
      <c r="E534" s="35"/>
      <c r="F534" s="128"/>
      <c r="G534" s="128"/>
      <c r="H534" s="128"/>
      <c r="I534" s="127">
        <f t="shared" si="279"/>
        <v>0</v>
      </c>
      <c r="J534" s="88"/>
      <c r="K534" s="129">
        <f t="shared" si="280"/>
        <v>398.345797</v>
      </c>
      <c r="L534" s="130">
        <v>0.6</v>
      </c>
      <c r="M534" s="129">
        <f t="shared" si="281"/>
        <v>265.5638646</v>
      </c>
      <c r="N534" s="130">
        <f t="shared" si="282"/>
        <v>0.4</v>
      </c>
      <c r="O534" s="131">
        <f t="array" ref="O534">INDEX('LPU Regionalizada'!$B$3:$N$785,MATCH($B534,'LPU Regionalizada'!$B$3:$B$785,0),MATCH(INDEX(CTRL!$F$3:$F$29,CTRL!$E$1),'LPU Regionalizada'!$B$3:$N$3,0))</f>
        <v>663.9096616</v>
      </c>
      <c r="P534" s="88"/>
      <c r="Q534" s="132">
        <f t="shared" si="283"/>
        <v>0</v>
      </c>
      <c r="R534" s="132">
        <f t="shared" si="284"/>
        <v>0</v>
      </c>
      <c r="S534" s="132">
        <f t="shared" si="285"/>
        <v>0</v>
      </c>
      <c r="T534" s="133">
        <f t="shared" si="286"/>
        <v>0</v>
      </c>
      <c r="U534" s="134">
        <f t="shared" si="214"/>
        <v>0</v>
      </c>
      <c r="V534" s="135"/>
      <c r="W534" s="136"/>
      <c r="X534" s="2"/>
      <c r="Y534" s="111"/>
      <c r="Z534" s="3"/>
    </row>
    <row r="535" ht="14.25" hidden="1" customHeight="1" outlineLevel="2">
      <c r="A535" s="124"/>
      <c r="B535" s="125" t="s">
        <v>1105</v>
      </c>
      <c r="C535" s="126" t="s">
        <v>1106</v>
      </c>
      <c r="D535" s="127" t="s">
        <v>142</v>
      </c>
      <c r="E535" s="35"/>
      <c r="F535" s="128"/>
      <c r="G535" s="128"/>
      <c r="H535" s="128"/>
      <c r="I535" s="127">
        <f t="shared" si="279"/>
        <v>0</v>
      </c>
      <c r="J535" s="88"/>
      <c r="K535" s="129">
        <f t="shared" si="280"/>
        <v>9.820512</v>
      </c>
      <c r="L535" s="130">
        <v>0.6</v>
      </c>
      <c r="M535" s="129">
        <f t="shared" si="281"/>
        <v>6.547008</v>
      </c>
      <c r="N535" s="130">
        <f t="shared" si="282"/>
        <v>0.4</v>
      </c>
      <c r="O535" s="131">
        <f t="array" ref="O535">INDEX('LPU Regionalizada'!$B$3:$N$785,MATCH($B535,'LPU Regionalizada'!$B$3:$B$785,0),MATCH(INDEX(CTRL!$F$3:$F$29,CTRL!$E$1),'LPU Regionalizada'!$B$3:$N$3,0))</f>
        <v>16.36752</v>
      </c>
      <c r="P535" s="88"/>
      <c r="Q535" s="132">
        <f t="shared" si="283"/>
        <v>0</v>
      </c>
      <c r="R535" s="132">
        <f t="shared" si="284"/>
        <v>0</v>
      </c>
      <c r="S535" s="132">
        <f t="shared" si="285"/>
        <v>0</v>
      </c>
      <c r="T535" s="133">
        <f t="shared" si="286"/>
        <v>0</v>
      </c>
      <c r="U535" s="134">
        <f t="shared" si="214"/>
        <v>0</v>
      </c>
      <c r="V535" s="135"/>
      <c r="W535" s="136"/>
      <c r="X535" s="2"/>
      <c r="Y535" s="111"/>
      <c r="Z535" s="3"/>
    </row>
    <row r="536" ht="14.25" hidden="1" customHeight="1" outlineLevel="1">
      <c r="A536" s="112"/>
      <c r="B536" s="113" t="s">
        <v>1107</v>
      </c>
      <c r="C536" s="114" t="s">
        <v>1108</v>
      </c>
      <c r="D536" s="115"/>
      <c r="E536" s="35"/>
      <c r="F536" s="113"/>
      <c r="G536" s="116"/>
      <c r="H536" s="116"/>
      <c r="I536" s="115"/>
      <c r="J536" s="88"/>
      <c r="K536" s="117"/>
      <c r="L536" s="118"/>
      <c r="M536" s="118"/>
      <c r="N536" s="118"/>
      <c r="O536" s="119"/>
      <c r="P536" s="88"/>
      <c r="Q536" s="120"/>
      <c r="R536" s="120"/>
      <c r="S536" s="120"/>
      <c r="T536" s="120">
        <f>SUM(T537:T559)</f>
        <v>0</v>
      </c>
      <c r="U536" s="121">
        <f t="shared" si="214"/>
        <v>0</v>
      </c>
      <c r="V536" s="122"/>
      <c r="W536" s="123"/>
      <c r="X536" s="2"/>
      <c r="Y536" s="111"/>
      <c r="Z536" s="3"/>
    </row>
    <row r="537" ht="14.25" hidden="1" customHeight="1" outlineLevel="2">
      <c r="A537" s="124"/>
      <c r="B537" s="125" t="s">
        <v>1109</v>
      </c>
      <c r="C537" s="126" t="s">
        <v>1110</v>
      </c>
      <c r="D537" s="127" t="s">
        <v>180</v>
      </c>
      <c r="E537" s="35"/>
      <c r="F537" s="128"/>
      <c r="G537" s="128"/>
      <c r="H537" s="128"/>
      <c r="I537" s="127">
        <f t="shared" ref="I537:I559" si="287">F537+G537+H537</f>
        <v>0</v>
      </c>
      <c r="J537" s="88"/>
      <c r="K537" s="129">
        <f t="shared" ref="K537:K559" si="288">L537*O537</f>
        <v>2.5031424</v>
      </c>
      <c r="L537" s="130">
        <v>0.6</v>
      </c>
      <c r="M537" s="129">
        <f t="shared" ref="M537:M559" si="289">N537*O537</f>
        <v>1.6687616</v>
      </c>
      <c r="N537" s="130">
        <f t="shared" ref="N537:N559" si="290">100%-L537</f>
        <v>0.4</v>
      </c>
      <c r="O537" s="131">
        <f t="array" ref="O537">INDEX('LPU Regionalizada'!$B$3:$N$785,MATCH($B537,'LPU Regionalizada'!$B$3:$B$785,0),MATCH(INDEX(CTRL!$F$3:$F$29,CTRL!$E$1),'LPU Regionalizada'!$B$3:$N$3,0))</f>
        <v>4.171904</v>
      </c>
      <c r="P537" s="88"/>
      <c r="Q537" s="132">
        <f t="shared" ref="Q537:Q559" si="291">F537*O537</f>
        <v>0</v>
      </c>
      <c r="R537" s="132">
        <f t="shared" ref="R537:R559" si="292">G537*O537</f>
        <v>0</v>
      </c>
      <c r="S537" s="132">
        <f t="shared" ref="S537:S559" si="293">H537*O537</f>
        <v>0</v>
      </c>
      <c r="T537" s="133">
        <f t="shared" ref="T537:T559" si="294">SUM(Q537:S537)</f>
        <v>0</v>
      </c>
      <c r="U537" s="134">
        <f t="shared" si="214"/>
        <v>0</v>
      </c>
      <c r="V537" s="135"/>
      <c r="W537" s="136"/>
      <c r="X537" s="2"/>
      <c r="Y537" s="111"/>
      <c r="Z537" s="3"/>
    </row>
    <row r="538" ht="14.25" hidden="1" customHeight="1" outlineLevel="2">
      <c r="A538" s="124"/>
      <c r="B538" s="125" t="s">
        <v>1111</v>
      </c>
      <c r="C538" s="126" t="s">
        <v>1112</v>
      </c>
      <c r="D538" s="127" t="s">
        <v>180</v>
      </c>
      <c r="E538" s="35"/>
      <c r="F538" s="128"/>
      <c r="G538" s="128"/>
      <c r="H538" s="128"/>
      <c r="I538" s="127">
        <f t="shared" si="287"/>
        <v>0</v>
      </c>
      <c r="J538" s="88"/>
      <c r="K538" s="129">
        <f t="shared" si="288"/>
        <v>10.38899468</v>
      </c>
      <c r="L538" s="130">
        <v>0.6</v>
      </c>
      <c r="M538" s="129">
        <f t="shared" si="289"/>
        <v>6.92599645</v>
      </c>
      <c r="N538" s="130">
        <f t="shared" si="290"/>
        <v>0.4</v>
      </c>
      <c r="O538" s="131">
        <f t="array" ref="O538">INDEX('LPU Regionalizada'!$B$3:$N$785,MATCH($B538,'LPU Regionalizada'!$B$3:$B$785,0),MATCH(INDEX(CTRL!$F$3:$F$29,CTRL!$E$1),'LPU Regionalizada'!$B$3:$N$3,0))</f>
        <v>17.31499113</v>
      </c>
      <c r="P538" s="88"/>
      <c r="Q538" s="132">
        <f t="shared" si="291"/>
        <v>0</v>
      </c>
      <c r="R538" s="132">
        <f t="shared" si="292"/>
        <v>0</v>
      </c>
      <c r="S538" s="132">
        <f t="shared" si="293"/>
        <v>0</v>
      </c>
      <c r="T538" s="133">
        <f t="shared" si="294"/>
        <v>0</v>
      </c>
      <c r="U538" s="134">
        <f t="shared" si="214"/>
        <v>0</v>
      </c>
      <c r="V538" s="135"/>
      <c r="W538" s="136"/>
      <c r="X538" s="2"/>
      <c r="Y538" s="111"/>
      <c r="Z538" s="3"/>
    </row>
    <row r="539" ht="14.25" hidden="1" customHeight="1" outlineLevel="2">
      <c r="A539" s="124"/>
      <c r="B539" s="125" t="s">
        <v>1113</v>
      </c>
      <c r="C539" s="126" t="s">
        <v>1114</v>
      </c>
      <c r="D539" s="127" t="s">
        <v>180</v>
      </c>
      <c r="E539" s="35"/>
      <c r="F539" s="128"/>
      <c r="G539" s="128"/>
      <c r="H539" s="128"/>
      <c r="I539" s="127">
        <f t="shared" si="287"/>
        <v>0</v>
      </c>
      <c r="J539" s="88"/>
      <c r="K539" s="129">
        <f t="shared" si="288"/>
        <v>5.1876</v>
      </c>
      <c r="L539" s="130">
        <v>0.6</v>
      </c>
      <c r="M539" s="129">
        <f t="shared" si="289"/>
        <v>3.4584</v>
      </c>
      <c r="N539" s="130">
        <f t="shared" si="290"/>
        <v>0.4</v>
      </c>
      <c r="O539" s="131">
        <f t="array" ref="O539">INDEX('LPU Regionalizada'!$B$3:$N$785,MATCH($B539,'LPU Regionalizada'!$B$3:$B$785,0),MATCH(INDEX(CTRL!$F$3:$F$29,CTRL!$E$1),'LPU Regionalizada'!$B$3:$N$3,0))</f>
        <v>8.646</v>
      </c>
      <c r="P539" s="88"/>
      <c r="Q539" s="132">
        <f t="shared" si="291"/>
        <v>0</v>
      </c>
      <c r="R539" s="132">
        <f t="shared" si="292"/>
        <v>0</v>
      </c>
      <c r="S539" s="132">
        <f t="shared" si="293"/>
        <v>0</v>
      </c>
      <c r="T539" s="133">
        <f t="shared" si="294"/>
        <v>0</v>
      </c>
      <c r="U539" s="134">
        <f t="shared" si="214"/>
        <v>0</v>
      </c>
      <c r="V539" s="135"/>
      <c r="W539" s="136"/>
      <c r="X539" s="2"/>
      <c r="Y539" s="111"/>
      <c r="Z539" s="3"/>
    </row>
    <row r="540" ht="14.25" hidden="1" customHeight="1" outlineLevel="2">
      <c r="A540" s="124"/>
      <c r="B540" s="125" t="s">
        <v>1115</v>
      </c>
      <c r="C540" s="126" t="s">
        <v>1116</v>
      </c>
      <c r="D540" s="127" t="s">
        <v>180</v>
      </c>
      <c r="E540" s="35"/>
      <c r="F540" s="128"/>
      <c r="G540" s="128"/>
      <c r="H540" s="128"/>
      <c r="I540" s="127">
        <f t="shared" si="287"/>
        <v>0</v>
      </c>
      <c r="J540" s="88"/>
      <c r="K540" s="129">
        <f t="shared" si="288"/>
        <v>12.11699382</v>
      </c>
      <c r="L540" s="130">
        <v>0.6</v>
      </c>
      <c r="M540" s="129">
        <f t="shared" si="289"/>
        <v>8.077995882</v>
      </c>
      <c r="N540" s="130">
        <f t="shared" si="290"/>
        <v>0.4</v>
      </c>
      <c r="O540" s="131">
        <f t="array" ref="O540">INDEX('LPU Regionalizada'!$B$3:$N$785,MATCH($B540,'LPU Regionalizada'!$B$3:$B$785,0),MATCH(INDEX(CTRL!$F$3:$F$29,CTRL!$E$1),'LPU Regionalizada'!$B$3:$N$3,0))</f>
        <v>20.19498971</v>
      </c>
      <c r="P540" s="88"/>
      <c r="Q540" s="132">
        <f t="shared" si="291"/>
        <v>0</v>
      </c>
      <c r="R540" s="132">
        <f t="shared" si="292"/>
        <v>0</v>
      </c>
      <c r="S540" s="132">
        <f t="shared" si="293"/>
        <v>0</v>
      </c>
      <c r="T540" s="133">
        <f t="shared" si="294"/>
        <v>0</v>
      </c>
      <c r="U540" s="134">
        <f t="shared" si="214"/>
        <v>0</v>
      </c>
      <c r="V540" s="135"/>
      <c r="W540" s="136"/>
      <c r="X540" s="2"/>
      <c r="Y540" s="111"/>
      <c r="Z540" s="3"/>
    </row>
    <row r="541" ht="14.25" hidden="1" customHeight="1" outlineLevel="2">
      <c r="A541" s="124"/>
      <c r="B541" s="125" t="s">
        <v>1117</v>
      </c>
      <c r="C541" s="126" t="s">
        <v>1118</v>
      </c>
      <c r="D541" s="127" t="s">
        <v>180</v>
      </c>
      <c r="E541" s="35"/>
      <c r="F541" s="128"/>
      <c r="G541" s="128"/>
      <c r="H541" s="128"/>
      <c r="I541" s="127">
        <f t="shared" si="287"/>
        <v>0</v>
      </c>
      <c r="J541" s="88"/>
      <c r="K541" s="129">
        <f t="shared" si="288"/>
        <v>14.86499242</v>
      </c>
      <c r="L541" s="130">
        <v>0.6</v>
      </c>
      <c r="M541" s="129">
        <f t="shared" si="289"/>
        <v>9.909994948</v>
      </c>
      <c r="N541" s="130">
        <f t="shared" si="290"/>
        <v>0.4</v>
      </c>
      <c r="O541" s="131">
        <f t="array" ref="O541">INDEX('LPU Regionalizada'!$B$3:$N$785,MATCH($B541,'LPU Regionalizada'!$B$3:$B$785,0),MATCH(INDEX(CTRL!$F$3:$F$29,CTRL!$E$1),'LPU Regionalizada'!$B$3:$N$3,0))</f>
        <v>24.77498737</v>
      </c>
      <c r="P541" s="88"/>
      <c r="Q541" s="132">
        <f t="shared" si="291"/>
        <v>0</v>
      </c>
      <c r="R541" s="132">
        <f t="shared" si="292"/>
        <v>0</v>
      </c>
      <c r="S541" s="132">
        <f t="shared" si="293"/>
        <v>0</v>
      </c>
      <c r="T541" s="133">
        <f t="shared" si="294"/>
        <v>0</v>
      </c>
      <c r="U541" s="134">
        <f t="shared" si="214"/>
        <v>0</v>
      </c>
      <c r="V541" s="135"/>
      <c r="W541" s="136"/>
      <c r="X541" s="2"/>
      <c r="Y541" s="111"/>
      <c r="Z541" s="3"/>
    </row>
    <row r="542" ht="14.25" hidden="1" customHeight="1" outlineLevel="2">
      <c r="A542" s="124"/>
      <c r="B542" s="125" t="s">
        <v>1119</v>
      </c>
      <c r="C542" s="126" t="s">
        <v>1120</v>
      </c>
      <c r="D542" s="127" t="s">
        <v>180</v>
      </c>
      <c r="E542" s="35"/>
      <c r="F542" s="128"/>
      <c r="G542" s="128"/>
      <c r="H542" s="128"/>
      <c r="I542" s="127">
        <f t="shared" si="287"/>
        <v>0</v>
      </c>
      <c r="J542" s="88"/>
      <c r="K542" s="129">
        <f t="shared" si="288"/>
        <v>20.3285767</v>
      </c>
      <c r="L542" s="130">
        <v>0.6</v>
      </c>
      <c r="M542" s="129">
        <f t="shared" si="289"/>
        <v>13.55238447</v>
      </c>
      <c r="N542" s="130">
        <f t="shared" si="290"/>
        <v>0.4</v>
      </c>
      <c r="O542" s="131">
        <f t="array" ref="O542">INDEX('LPU Regionalizada'!$B$3:$N$785,MATCH($B542,'LPU Regionalizada'!$B$3:$B$785,0),MATCH(INDEX(CTRL!$F$3:$F$29,CTRL!$E$1),'LPU Regionalizada'!$B$3:$N$3,0))</f>
        <v>33.88096117</v>
      </c>
      <c r="P542" s="88"/>
      <c r="Q542" s="132">
        <f t="shared" si="291"/>
        <v>0</v>
      </c>
      <c r="R542" s="132">
        <f t="shared" si="292"/>
        <v>0</v>
      </c>
      <c r="S542" s="132">
        <f t="shared" si="293"/>
        <v>0</v>
      </c>
      <c r="T542" s="133">
        <f t="shared" si="294"/>
        <v>0</v>
      </c>
      <c r="U542" s="134">
        <f t="shared" si="214"/>
        <v>0</v>
      </c>
      <c r="V542" s="135"/>
      <c r="W542" s="136"/>
      <c r="X542" s="2"/>
      <c r="Y542" s="111"/>
      <c r="Z542" s="3"/>
    </row>
    <row r="543" ht="14.25" hidden="1" customHeight="1" outlineLevel="2">
      <c r="A543" s="124"/>
      <c r="B543" s="125" t="s">
        <v>1121</v>
      </c>
      <c r="C543" s="126" t="s">
        <v>1122</v>
      </c>
      <c r="D543" s="127" t="s">
        <v>180</v>
      </c>
      <c r="E543" s="35"/>
      <c r="F543" s="128"/>
      <c r="G543" s="128"/>
      <c r="H543" s="128"/>
      <c r="I543" s="127">
        <f t="shared" si="287"/>
        <v>0</v>
      </c>
      <c r="J543" s="88"/>
      <c r="K543" s="129">
        <f t="shared" si="288"/>
        <v>2.037155949</v>
      </c>
      <c r="L543" s="130">
        <v>0.6</v>
      </c>
      <c r="M543" s="129">
        <f t="shared" si="289"/>
        <v>1.358103966</v>
      </c>
      <c r="N543" s="130">
        <f t="shared" si="290"/>
        <v>0.4</v>
      </c>
      <c r="O543" s="131">
        <f t="array" ref="O543">INDEX('LPU Regionalizada'!$B$3:$N$785,MATCH($B543,'LPU Regionalizada'!$B$3:$B$785,0),MATCH(INDEX(CTRL!$F$3:$F$29,CTRL!$E$1),'LPU Regionalizada'!$B$3:$N$3,0))</f>
        <v>3.395259915</v>
      </c>
      <c r="P543" s="88"/>
      <c r="Q543" s="132">
        <f t="shared" si="291"/>
        <v>0</v>
      </c>
      <c r="R543" s="132">
        <f t="shared" si="292"/>
        <v>0</v>
      </c>
      <c r="S543" s="132">
        <f t="shared" si="293"/>
        <v>0</v>
      </c>
      <c r="T543" s="133">
        <f t="shared" si="294"/>
        <v>0</v>
      </c>
      <c r="U543" s="134">
        <f t="shared" si="214"/>
        <v>0</v>
      </c>
      <c r="V543" s="135"/>
      <c r="W543" s="136"/>
      <c r="X543" s="2"/>
      <c r="Y543" s="111"/>
      <c r="Z543" s="3"/>
    </row>
    <row r="544" ht="14.25" hidden="1" customHeight="1" outlineLevel="2">
      <c r="A544" s="124"/>
      <c r="B544" s="125" t="s">
        <v>1123</v>
      </c>
      <c r="C544" s="126" t="s">
        <v>1124</v>
      </c>
      <c r="D544" s="127" t="s">
        <v>142</v>
      </c>
      <c r="E544" s="35"/>
      <c r="F544" s="128"/>
      <c r="G544" s="128"/>
      <c r="H544" s="128"/>
      <c r="I544" s="127">
        <f t="shared" si="287"/>
        <v>0</v>
      </c>
      <c r="J544" s="88"/>
      <c r="K544" s="129">
        <f t="shared" si="288"/>
        <v>7.23899631</v>
      </c>
      <c r="L544" s="130">
        <v>0.6</v>
      </c>
      <c r="M544" s="129">
        <f t="shared" si="289"/>
        <v>4.82599754</v>
      </c>
      <c r="N544" s="130">
        <f t="shared" si="290"/>
        <v>0.4</v>
      </c>
      <c r="O544" s="131">
        <f t="array" ref="O544">INDEX('LPU Regionalizada'!$B$3:$N$785,MATCH($B544,'LPU Regionalizada'!$B$3:$B$785,0),MATCH(INDEX(CTRL!$F$3:$F$29,CTRL!$E$1),'LPU Regionalizada'!$B$3:$N$3,0))</f>
        <v>12.06499385</v>
      </c>
      <c r="P544" s="88"/>
      <c r="Q544" s="132">
        <f t="shared" si="291"/>
        <v>0</v>
      </c>
      <c r="R544" s="132">
        <f t="shared" si="292"/>
        <v>0</v>
      </c>
      <c r="S544" s="132">
        <f t="shared" si="293"/>
        <v>0</v>
      </c>
      <c r="T544" s="133">
        <f t="shared" si="294"/>
        <v>0</v>
      </c>
      <c r="U544" s="134">
        <f t="shared" si="214"/>
        <v>0</v>
      </c>
      <c r="V544" s="135"/>
      <c r="W544" s="136"/>
      <c r="X544" s="2"/>
      <c r="Y544" s="111"/>
      <c r="Z544" s="3"/>
    </row>
    <row r="545" ht="14.25" hidden="1" customHeight="1" outlineLevel="2">
      <c r="A545" s="124"/>
      <c r="B545" s="125" t="s">
        <v>1125</v>
      </c>
      <c r="C545" s="126" t="s">
        <v>1126</v>
      </c>
      <c r="D545" s="127" t="s">
        <v>142</v>
      </c>
      <c r="E545" s="35"/>
      <c r="F545" s="128"/>
      <c r="G545" s="128"/>
      <c r="H545" s="128"/>
      <c r="I545" s="127">
        <f t="shared" si="287"/>
        <v>0</v>
      </c>
      <c r="J545" s="88"/>
      <c r="K545" s="129">
        <f t="shared" si="288"/>
        <v>1.4904</v>
      </c>
      <c r="L545" s="130">
        <v>0.6</v>
      </c>
      <c r="M545" s="129">
        <f t="shared" si="289"/>
        <v>0.9936</v>
      </c>
      <c r="N545" s="130">
        <f t="shared" si="290"/>
        <v>0.4</v>
      </c>
      <c r="O545" s="131">
        <f t="array" ref="O545">INDEX('LPU Regionalizada'!$B$3:$N$785,MATCH($B545,'LPU Regionalizada'!$B$3:$B$785,0),MATCH(INDEX(CTRL!$F$3:$F$29,CTRL!$E$1),'LPU Regionalizada'!$B$3:$N$3,0))</f>
        <v>2.484</v>
      </c>
      <c r="P545" s="88"/>
      <c r="Q545" s="132">
        <f t="shared" si="291"/>
        <v>0</v>
      </c>
      <c r="R545" s="132">
        <f t="shared" si="292"/>
        <v>0</v>
      </c>
      <c r="S545" s="132">
        <f t="shared" si="293"/>
        <v>0</v>
      </c>
      <c r="T545" s="133">
        <f t="shared" si="294"/>
        <v>0</v>
      </c>
      <c r="U545" s="134">
        <f t="shared" si="214"/>
        <v>0</v>
      </c>
      <c r="V545" s="135"/>
      <c r="W545" s="136"/>
      <c r="X545" s="2"/>
      <c r="Y545" s="111"/>
      <c r="Z545" s="3"/>
    </row>
    <row r="546" ht="14.25" hidden="1" customHeight="1" outlineLevel="2">
      <c r="A546" s="124"/>
      <c r="B546" s="125" t="s">
        <v>1127</v>
      </c>
      <c r="C546" s="126" t="s">
        <v>1128</v>
      </c>
      <c r="D546" s="127" t="s">
        <v>946</v>
      </c>
      <c r="E546" s="35"/>
      <c r="F546" s="128"/>
      <c r="G546" s="128"/>
      <c r="H546" s="128"/>
      <c r="I546" s="127">
        <f t="shared" si="287"/>
        <v>0</v>
      </c>
      <c r="J546" s="88"/>
      <c r="K546" s="129">
        <f t="shared" si="288"/>
        <v>16.62225</v>
      </c>
      <c r="L546" s="130">
        <v>0.6</v>
      </c>
      <c r="M546" s="129">
        <f t="shared" si="289"/>
        <v>11.0815</v>
      </c>
      <c r="N546" s="130">
        <f t="shared" si="290"/>
        <v>0.4</v>
      </c>
      <c r="O546" s="131">
        <f t="array" ref="O546">INDEX('LPU Regionalizada'!$B$3:$N$785,MATCH($B546,'LPU Regionalizada'!$B$3:$B$785,0),MATCH(INDEX(CTRL!$F$3:$F$29,CTRL!$E$1),'LPU Regionalizada'!$B$3:$N$3,0))</f>
        <v>27.70375</v>
      </c>
      <c r="P546" s="88"/>
      <c r="Q546" s="132">
        <f t="shared" si="291"/>
        <v>0</v>
      </c>
      <c r="R546" s="132">
        <f t="shared" si="292"/>
        <v>0</v>
      </c>
      <c r="S546" s="132">
        <f t="shared" si="293"/>
        <v>0</v>
      </c>
      <c r="T546" s="133">
        <f t="shared" si="294"/>
        <v>0</v>
      </c>
      <c r="U546" s="134">
        <f t="shared" si="214"/>
        <v>0</v>
      </c>
      <c r="V546" s="135"/>
      <c r="W546" s="136"/>
      <c r="X546" s="2"/>
      <c r="Y546" s="111"/>
      <c r="Z546" s="3"/>
    </row>
    <row r="547" ht="14.25" hidden="1" customHeight="1" outlineLevel="2">
      <c r="A547" s="124"/>
      <c r="B547" s="125" t="s">
        <v>1129</v>
      </c>
      <c r="C547" s="126" t="s">
        <v>1130</v>
      </c>
      <c r="D547" s="127" t="s">
        <v>946</v>
      </c>
      <c r="E547" s="35"/>
      <c r="F547" s="128"/>
      <c r="G547" s="128"/>
      <c r="H547" s="128"/>
      <c r="I547" s="127">
        <f t="shared" si="287"/>
        <v>0</v>
      </c>
      <c r="J547" s="88"/>
      <c r="K547" s="129">
        <f t="shared" si="288"/>
        <v>5.08896</v>
      </c>
      <c r="L547" s="130">
        <v>0.6</v>
      </c>
      <c r="M547" s="129">
        <f t="shared" si="289"/>
        <v>3.39264</v>
      </c>
      <c r="N547" s="130">
        <f t="shared" si="290"/>
        <v>0.4</v>
      </c>
      <c r="O547" s="131">
        <f t="array" ref="O547">INDEX('LPU Regionalizada'!$B$3:$N$785,MATCH($B547,'LPU Regionalizada'!$B$3:$B$785,0),MATCH(INDEX(CTRL!$F$3:$F$29,CTRL!$E$1),'LPU Regionalizada'!$B$3:$N$3,0))</f>
        <v>8.4816</v>
      </c>
      <c r="P547" s="88"/>
      <c r="Q547" s="132">
        <f t="shared" si="291"/>
        <v>0</v>
      </c>
      <c r="R547" s="132">
        <f t="shared" si="292"/>
        <v>0</v>
      </c>
      <c r="S547" s="132">
        <f t="shared" si="293"/>
        <v>0</v>
      </c>
      <c r="T547" s="133">
        <f t="shared" si="294"/>
        <v>0</v>
      </c>
      <c r="U547" s="134">
        <f t="shared" si="214"/>
        <v>0</v>
      </c>
      <c r="V547" s="135"/>
      <c r="W547" s="136"/>
      <c r="X547" s="2"/>
      <c r="Y547" s="111"/>
      <c r="Z547" s="3"/>
    </row>
    <row r="548" ht="14.25" hidden="1" customHeight="1" outlineLevel="2">
      <c r="A548" s="124"/>
      <c r="B548" s="125" t="s">
        <v>1131</v>
      </c>
      <c r="C548" s="126" t="s">
        <v>1132</v>
      </c>
      <c r="D548" s="127" t="s">
        <v>946</v>
      </c>
      <c r="E548" s="35"/>
      <c r="F548" s="128"/>
      <c r="G548" s="128"/>
      <c r="H548" s="128"/>
      <c r="I548" s="127">
        <f t="shared" si="287"/>
        <v>0</v>
      </c>
      <c r="J548" s="88"/>
      <c r="K548" s="129">
        <f t="shared" si="288"/>
        <v>2.72862</v>
      </c>
      <c r="L548" s="130">
        <v>0.6</v>
      </c>
      <c r="M548" s="129">
        <f t="shared" si="289"/>
        <v>1.81908</v>
      </c>
      <c r="N548" s="130">
        <f t="shared" si="290"/>
        <v>0.4</v>
      </c>
      <c r="O548" s="131">
        <f t="array" ref="O548">INDEX('LPU Regionalizada'!$B$3:$N$785,MATCH($B548,'LPU Regionalizada'!$B$3:$B$785,0),MATCH(INDEX(CTRL!$F$3:$F$29,CTRL!$E$1),'LPU Regionalizada'!$B$3:$N$3,0))</f>
        <v>4.5477</v>
      </c>
      <c r="P548" s="88"/>
      <c r="Q548" s="132">
        <f t="shared" si="291"/>
        <v>0</v>
      </c>
      <c r="R548" s="132">
        <f t="shared" si="292"/>
        <v>0</v>
      </c>
      <c r="S548" s="132">
        <f t="shared" si="293"/>
        <v>0</v>
      </c>
      <c r="T548" s="133">
        <f t="shared" si="294"/>
        <v>0</v>
      </c>
      <c r="U548" s="134">
        <f t="shared" si="214"/>
        <v>0</v>
      </c>
      <c r="V548" s="135"/>
      <c r="W548" s="136"/>
      <c r="X548" s="2"/>
      <c r="Y548" s="111"/>
      <c r="Z548" s="3"/>
    </row>
    <row r="549" ht="14.25" hidden="1" customHeight="1" outlineLevel="2">
      <c r="A549" s="124"/>
      <c r="B549" s="125" t="s">
        <v>1133</v>
      </c>
      <c r="C549" s="126" t="s">
        <v>1134</v>
      </c>
      <c r="D549" s="127" t="s">
        <v>180</v>
      </c>
      <c r="E549" s="35"/>
      <c r="F549" s="128"/>
      <c r="G549" s="128"/>
      <c r="H549" s="128"/>
      <c r="I549" s="127">
        <f t="shared" si="287"/>
        <v>0</v>
      </c>
      <c r="J549" s="88"/>
      <c r="K549" s="129">
        <f t="shared" si="288"/>
        <v>7.56</v>
      </c>
      <c r="L549" s="130">
        <v>0.6</v>
      </c>
      <c r="M549" s="129">
        <f t="shared" si="289"/>
        <v>5.04</v>
      </c>
      <c r="N549" s="130">
        <f t="shared" si="290"/>
        <v>0.4</v>
      </c>
      <c r="O549" s="131">
        <f t="array" ref="O549">INDEX('LPU Regionalizada'!$B$3:$N$785,MATCH($B549,'LPU Regionalizada'!$B$3:$B$785,0),MATCH(INDEX(CTRL!$F$3:$F$29,CTRL!$E$1),'LPU Regionalizada'!$B$3:$N$3,0))</f>
        <v>12.6</v>
      </c>
      <c r="P549" s="88"/>
      <c r="Q549" s="132">
        <f t="shared" si="291"/>
        <v>0</v>
      </c>
      <c r="R549" s="132">
        <f t="shared" si="292"/>
        <v>0</v>
      </c>
      <c r="S549" s="132">
        <f t="shared" si="293"/>
        <v>0</v>
      </c>
      <c r="T549" s="133">
        <f t="shared" si="294"/>
        <v>0</v>
      </c>
      <c r="U549" s="134">
        <f t="shared" si="214"/>
        <v>0</v>
      </c>
      <c r="V549" s="135"/>
      <c r="W549" s="136"/>
      <c r="X549" s="2"/>
      <c r="Y549" s="111"/>
      <c r="Z549" s="3"/>
    </row>
    <row r="550" ht="14.25" hidden="1" customHeight="1" outlineLevel="2">
      <c r="A550" s="124"/>
      <c r="B550" s="125" t="s">
        <v>1135</v>
      </c>
      <c r="C550" s="126" t="s">
        <v>1136</v>
      </c>
      <c r="D550" s="127" t="s">
        <v>180</v>
      </c>
      <c r="E550" s="35"/>
      <c r="F550" s="128"/>
      <c r="G550" s="128"/>
      <c r="H550" s="128"/>
      <c r="I550" s="127">
        <f t="shared" si="287"/>
        <v>0</v>
      </c>
      <c r="J550" s="88"/>
      <c r="K550" s="129">
        <f t="shared" si="288"/>
        <v>3.423</v>
      </c>
      <c r="L550" s="130">
        <v>0.6</v>
      </c>
      <c r="M550" s="129">
        <f t="shared" si="289"/>
        <v>2.282</v>
      </c>
      <c r="N550" s="130">
        <f t="shared" si="290"/>
        <v>0.4</v>
      </c>
      <c r="O550" s="131">
        <f t="array" ref="O550">INDEX('LPU Regionalizada'!$B$3:$N$785,MATCH($B550,'LPU Regionalizada'!$B$3:$B$785,0),MATCH(INDEX(CTRL!$F$3:$F$29,CTRL!$E$1),'LPU Regionalizada'!$B$3:$N$3,0))</f>
        <v>5.705</v>
      </c>
      <c r="P550" s="88"/>
      <c r="Q550" s="132">
        <f t="shared" si="291"/>
        <v>0</v>
      </c>
      <c r="R550" s="132">
        <f t="shared" si="292"/>
        <v>0</v>
      </c>
      <c r="S550" s="132">
        <f t="shared" si="293"/>
        <v>0</v>
      </c>
      <c r="T550" s="133">
        <f t="shared" si="294"/>
        <v>0</v>
      </c>
      <c r="U550" s="134">
        <f t="shared" si="214"/>
        <v>0</v>
      </c>
      <c r="V550" s="135"/>
      <c r="W550" s="136"/>
      <c r="X550" s="2"/>
      <c r="Y550" s="111"/>
      <c r="Z550" s="3"/>
    </row>
    <row r="551" ht="14.25" hidden="1" customHeight="1" outlineLevel="2">
      <c r="A551" s="124"/>
      <c r="B551" s="125" t="s">
        <v>1137</v>
      </c>
      <c r="C551" s="126" t="s">
        <v>1138</v>
      </c>
      <c r="D551" s="127" t="s">
        <v>142</v>
      </c>
      <c r="E551" s="35"/>
      <c r="F551" s="128"/>
      <c r="G551" s="128"/>
      <c r="H551" s="128"/>
      <c r="I551" s="127">
        <f t="shared" si="287"/>
        <v>0</v>
      </c>
      <c r="J551" s="88"/>
      <c r="K551" s="129">
        <f t="shared" si="288"/>
        <v>1401.436425</v>
      </c>
      <c r="L551" s="130">
        <v>0.6</v>
      </c>
      <c r="M551" s="129">
        <f t="shared" si="289"/>
        <v>934.29095</v>
      </c>
      <c r="N551" s="130">
        <f t="shared" si="290"/>
        <v>0.4</v>
      </c>
      <c r="O551" s="131">
        <f t="array" ref="O551">INDEX('LPU Regionalizada'!$B$3:$N$785,MATCH($B551,'LPU Regionalizada'!$B$3:$B$785,0),MATCH(INDEX(CTRL!$F$3:$F$29,CTRL!$E$1),'LPU Regionalizada'!$B$3:$N$3,0))</f>
        <v>2335.727375</v>
      </c>
      <c r="P551" s="88"/>
      <c r="Q551" s="132">
        <f t="shared" si="291"/>
        <v>0</v>
      </c>
      <c r="R551" s="132">
        <f t="shared" si="292"/>
        <v>0</v>
      </c>
      <c r="S551" s="132">
        <f t="shared" si="293"/>
        <v>0</v>
      </c>
      <c r="T551" s="133">
        <f t="shared" si="294"/>
        <v>0</v>
      </c>
      <c r="U551" s="134">
        <f t="shared" si="214"/>
        <v>0</v>
      </c>
      <c r="V551" s="135"/>
      <c r="W551" s="136"/>
      <c r="X551" s="2"/>
      <c r="Y551" s="111"/>
      <c r="Z551" s="3"/>
    </row>
    <row r="552" ht="14.25" hidden="1" customHeight="1" outlineLevel="2">
      <c r="A552" s="124"/>
      <c r="B552" s="125" t="s">
        <v>1139</v>
      </c>
      <c r="C552" s="126" t="s">
        <v>1140</v>
      </c>
      <c r="D552" s="127" t="s">
        <v>142</v>
      </c>
      <c r="E552" s="35"/>
      <c r="F552" s="128"/>
      <c r="G552" s="128"/>
      <c r="H552" s="128"/>
      <c r="I552" s="127">
        <f t="shared" si="287"/>
        <v>0</v>
      </c>
      <c r="J552" s="88"/>
      <c r="K552" s="129">
        <f t="shared" si="288"/>
        <v>940.7467678</v>
      </c>
      <c r="L552" s="130">
        <v>0.6</v>
      </c>
      <c r="M552" s="129">
        <f t="shared" si="289"/>
        <v>627.1645119</v>
      </c>
      <c r="N552" s="130">
        <f t="shared" si="290"/>
        <v>0.4</v>
      </c>
      <c r="O552" s="131">
        <f t="array" ref="O552">INDEX('LPU Regionalizada'!$B$3:$N$785,MATCH($B552,'LPU Regionalizada'!$B$3:$B$785,0),MATCH(INDEX(CTRL!$F$3:$F$29,CTRL!$E$1),'LPU Regionalizada'!$B$3:$N$3,0))</f>
        <v>1567.91128</v>
      </c>
      <c r="P552" s="88"/>
      <c r="Q552" s="132">
        <f t="shared" si="291"/>
        <v>0</v>
      </c>
      <c r="R552" s="132">
        <f t="shared" si="292"/>
        <v>0</v>
      </c>
      <c r="S552" s="132">
        <f t="shared" si="293"/>
        <v>0</v>
      </c>
      <c r="T552" s="133">
        <f t="shared" si="294"/>
        <v>0</v>
      </c>
      <c r="U552" s="134">
        <f t="shared" si="214"/>
        <v>0</v>
      </c>
      <c r="V552" s="135"/>
      <c r="W552" s="136"/>
      <c r="X552" s="2"/>
      <c r="Y552" s="111"/>
      <c r="Z552" s="3"/>
    </row>
    <row r="553" ht="14.25" hidden="1" customHeight="1" outlineLevel="2">
      <c r="A553" s="124"/>
      <c r="B553" s="125" t="s">
        <v>1141</v>
      </c>
      <c r="C553" s="126" t="s">
        <v>1142</v>
      </c>
      <c r="D553" s="127" t="s">
        <v>64</v>
      </c>
      <c r="E553" s="35"/>
      <c r="F553" s="128"/>
      <c r="G553" s="128"/>
      <c r="H553" s="128"/>
      <c r="I553" s="127">
        <f t="shared" si="287"/>
        <v>0</v>
      </c>
      <c r="J553" s="88"/>
      <c r="K553" s="129">
        <f t="shared" si="288"/>
        <v>756</v>
      </c>
      <c r="L553" s="130">
        <v>0.6</v>
      </c>
      <c r="M553" s="129">
        <f t="shared" si="289"/>
        <v>504</v>
      </c>
      <c r="N553" s="130">
        <f t="shared" si="290"/>
        <v>0.4</v>
      </c>
      <c r="O553" s="131">
        <f t="array" ref="O553">INDEX('LPU Regionalizada'!$B$3:$N$785,MATCH($B553,'LPU Regionalizada'!$B$3:$B$785,0),MATCH(INDEX(CTRL!$F$3:$F$29,CTRL!$E$1),'LPU Regionalizada'!$B$3:$N$3,0))</f>
        <v>1260</v>
      </c>
      <c r="P553" s="88"/>
      <c r="Q553" s="132">
        <f t="shared" si="291"/>
        <v>0</v>
      </c>
      <c r="R553" s="132">
        <f t="shared" si="292"/>
        <v>0</v>
      </c>
      <c r="S553" s="132">
        <f t="shared" si="293"/>
        <v>0</v>
      </c>
      <c r="T553" s="133">
        <f t="shared" si="294"/>
        <v>0</v>
      </c>
      <c r="U553" s="134">
        <f t="shared" si="214"/>
        <v>0</v>
      </c>
      <c r="V553" s="135"/>
      <c r="W553" s="136"/>
      <c r="X553" s="2"/>
      <c r="Y553" s="111"/>
      <c r="Z553" s="3"/>
    </row>
    <row r="554" ht="14.25" hidden="1" customHeight="1" outlineLevel="2">
      <c r="A554" s="124"/>
      <c r="B554" s="125" t="s">
        <v>1143</v>
      </c>
      <c r="C554" s="126" t="s">
        <v>1144</v>
      </c>
      <c r="D554" s="127" t="s">
        <v>142</v>
      </c>
      <c r="E554" s="35"/>
      <c r="F554" s="128"/>
      <c r="G554" s="128"/>
      <c r="H554" s="128"/>
      <c r="I554" s="127">
        <f t="shared" si="287"/>
        <v>0</v>
      </c>
      <c r="J554" s="88"/>
      <c r="K554" s="129">
        <f t="shared" si="288"/>
        <v>84.00360399</v>
      </c>
      <c r="L554" s="130">
        <v>0.6</v>
      </c>
      <c r="M554" s="129">
        <f t="shared" si="289"/>
        <v>56.00240266</v>
      </c>
      <c r="N554" s="130">
        <f t="shared" si="290"/>
        <v>0.4</v>
      </c>
      <c r="O554" s="131">
        <f t="array" ref="O554">INDEX('LPU Regionalizada'!$B$3:$N$785,MATCH($B554,'LPU Regionalizada'!$B$3:$B$785,0),MATCH(INDEX(CTRL!$F$3:$F$29,CTRL!$E$1),'LPU Regionalizada'!$B$3:$N$3,0))</f>
        <v>140.0060066</v>
      </c>
      <c r="P554" s="88"/>
      <c r="Q554" s="132">
        <f t="shared" si="291"/>
        <v>0</v>
      </c>
      <c r="R554" s="132">
        <f t="shared" si="292"/>
        <v>0</v>
      </c>
      <c r="S554" s="132">
        <f t="shared" si="293"/>
        <v>0</v>
      </c>
      <c r="T554" s="133">
        <f t="shared" si="294"/>
        <v>0</v>
      </c>
      <c r="U554" s="134">
        <f t="shared" si="214"/>
        <v>0</v>
      </c>
      <c r="V554" s="135"/>
      <c r="W554" s="136"/>
      <c r="X554" s="2"/>
      <c r="Y554" s="111"/>
      <c r="Z554" s="3"/>
    </row>
    <row r="555" ht="14.25" hidden="1" customHeight="1" outlineLevel="2">
      <c r="A555" s="124"/>
      <c r="B555" s="125" t="s">
        <v>1145</v>
      </c>
      <c r="C555" s="126" t="s">
        <v>1146</v>
      </c>
      <c r="D555" s="127" t="s">
        <v>946</v>
      </c>
      <c r="E555" s="35"/>
      <c r="F555" s="128"/>
      <c r="G555" s="128"/>
      <c r="H555" s="128"/>
      <c r="I555" s="127">
        <f t="shared" si="287"/>
        <v>0</v>
      </c>
      <c r="J555" s="88"/>
      <c r="K555" s="129">
        <f t="shared" si="288"/>
        <v>82.6848</v>
      </c>
      <c r="L555" s="130">
        <v>0.6</v>
      </c>
      <c r="M555" s="129">
        <f t="shared" si="289"/>
        <v>55.1232</v>
      </c>
      <c r="N555" s="130">
        <f t="shared" si="290"/>
        <v>0.4</v>
      </c>
      <c r="O555" s="131">
        <f t="array" ref="O555">INDEX('LPU Regionalizada'!$B$3:$N$785,MATCH($B555,'LPU Regionalizada'!$B$3:$B$785,0),MATCH(INDEX(CTRL!$F$3:$F$29,CTRL!$E$1),'LPU Regionalizada'!$B$3:$N$3,0))</f>
        <v>137.808</v>
      </c>
      <c r="P555" s="88"/>
      <c r="Q555" s="132">
        <f t="shared" si="291"/>
        <v>0</v>
      </c>
      <c r="R555" s="132">
        <f t="shared" si="292"/>
        <v>0</v>
      </c>
      <c r="S555" s="132">
        <f t="shared" si="293"/>
        <v>0</v>
      </c>
      <c r="T555" s="133">
        <f t="shared" si="294"/>
        <v>0</v>
      </c>
      <c r="U555" s="134">
        <f t="shared" si="214"/>
        <v>0</v>
      </c>
      <c r="V555" s="135"/>
      <c r="W555" s="136"/>
      <c r="X555" s="2"/>
      <c r="Y555" s="111"/>
      <c r="Z555" s="3"/>
    </row>
    <row r="556" ht="14.25" hidden="1" customHeight="1" outlineLevel="2">
      <c r="A556" s="124"/>
      <c r="B556" s="125" t="s">
        <v>1147</v>
      </c>
      <c r="C556" s="126" t="s">
        <v>1148</v>
      </c>
      <c r="D556" s="127" t="s">
        <v>946</v>
      </c>
      <c r="E556" s="35"/>
      <c r="F556" s="128"/>
      <c r="G556" s="128"/>
      <c r="H556" s="128"/>
      <c r="I556" s="127">
        <f t="shared" si="287"/>
        <v>0</v>
      </c>
      <c r="J556" s="88"/>
      <c r="K556" s="129">
        <f t="shared" si="288"/>
        <v>90.21</v>
      </c>
      <c r="L556" s="130">
        <v>0.6</v>
      </c>
      <c r="M556" s="129">
        <f t="shared" si="289"/>
        <v>60.14</v>
      </c>
      <c r="N556" s="130">
        <f t="shared" si="290"/>
        <v>0.4</v>
      </c>
      <c r="O556" s="131">
        <f t="array" ref="O556">INDEX('LPU Regionalizada'!$B$3:$N$785,MATCH($B556,'LPU Regionalizada'!$B$3:$B$785,0),MATCH(INDEX(CTRL!$F$3:$F$29,CTRL!$E$1),'LPU Regionalizada'!$B$3:$N$3,0))</f>
        <v>150.35</v>
      </c>
      <c r="P556" s="88"/>
      <c r="Q556" s="132">
        <f t="shared" si="291"/>
        <v>0</v>
      </c>
      <c r="R556" s="132">
        <f t="shared" si="292"/>
        <v>0</v>
      </c>
      <c r="S556" s="132">
        <f t="shared" si="293"/>
        <v>0</v>
      </c>
      <c r="T556" s="133">
        <f t="shared" si="294"/>
        <v>0</v>
      </c>
      <c r="U556" s="134">
        <f t="shared" si="214"/>
        <v>0</v>
      </c>
      <c r="V556" s="135"/>
      <c r="W556" s="136"/>
      <c r="X556" s="2"/>
      <c r="Y556" s="111"/>
      <c r="Z556" s="3"/>
    </row>
    <row r="557" ht="14.25" hidden="1" customHeight="1" outlineLevel="2">
      <c r="A557" s="124"/>
      <c r="B557" s="125" t="s">
        <v>1149</v>
      </c>
      <c r="C557" s="126" t="s">
        <v>1150</v>
      </c>
      <c r="D557" s="127" t="s">
        <v>142</v>
      </c>
      <c r="E557" s="35"/>
      <c r="F557" s="128"/>
      <c r="G557" s="128"/>
      <c r="H557" s="128"/>
      <c r="I557" s="127">
        <f t="shared" si="287"/>
        <v>0</v>
      </c>
      <c r="J557" s="88"/>
      <c r="K557" s="129">
        <f t="shared" si="288"/>
        <v>11.2872284</v>
      </c>
      <c r="L557" s="130">
        <v>0.6</v>
      </c>
      <c r="M557" s="129">
        <f t="shared" si="289"/>
        <v>7.524818934</v>
      </c>
      <c r="N557" s="130">
        <f t="shared" si="290"/>
        <v>0.4</v>
      </c>
      <c r="O557" s="131">
        <f t="array" ref="O557">INDEX('LPU Regionalizada'!$B$3:$N$785,MATCH($B557,'LPU Regionalizada'!$B$3:$B$785,0),MATCH(INDEX(CTRL!$F$3:$F$29,CTRL!$E$1),'LPU Regionalizada'!$B$3:$N$3,0))</f>
        <v>18.81204734</v>
      </c>
      <c r="P557" s="88"/>
      <c r="Q557" s="132">
        <f t="shared" si="291"/>
        <v>0</v>
      </c>
      <c r="R557" s="132">
        <f t="shared" si="292"/>
        <v>0</v>
      </c>
      <c r="S557" s="132">
        <f t="shared" si="293"/>
        <v>0</v>
      </c>
      <c r="T557" s="133">
        <f t="shared" si="294"/>
        <v>0</v>
      </c>
      <c r="U557" s="134">
        <f t="shared" si="214"/>
        <v>0</v>
      </c>
      <c r="V557" s="135"/>
      <c r="W557" s="136"/>
      <c r="X557" s="2"/>
      <c r="Y557" s="111"/>
      <c r="Z557" s="3"/>
    </row>
    <row r="558" ht="14.25" hidden="1" customHeight="1" outlineLevel="2">
      <c r="A558" s="124"/>
      <c r="B558" s="125" t="s">
        <v>1151</v>
      </c>
      <c r="C558" s="126" t="s">
        <v>1152</v>
      </c>
      <c r="D558" s="127" t="s">
        <v>142</v>
      </c>
      <c r="E558" s="35"/>
      <c r="F558" s="128"/>
      <c r="G558" s="128"/>
      <c r="H558" s="128"/>
      <c r="I558" s="127">
        <f t="shared" si="287"/>
        <v>0</v>
      </c>
      <c r="J558" s="88"/>
      <c r="K558" s="129">
        <f t="shared" si="288"/>
        <v>9.847390777</v>
      </c>
      <c r="L558" s="130">
        <v>0.6</v>
      </c>
      <c r="M558" s="129">
        <f t="shared" si="289"/>
        <v>6.564927184</v>
      </c>
      <c r="N558" s="130">
        <f t="shared" si="290"/>
        <v>0.4</v>
      </c>
      <c r="O558" s="131">
        <f t="array" ref="O558">INDEX('LPU Regionalizada'!$B$3:$N$785,MATCH($B558,'LPU Regionalizada'!$B$3:$B$785,0),MATCH(INDEX(CTRL!$F$3:$F$29,CTRL!$E$1),'LPU Regionalizada'!$B$3:$N$3,0))</f>
        <v>16.41231796</v>
      </c>
      <c r="P558" s="88"/>
      <c r="Q558" s="132">
        <f t="shared" si="291"/>
        <v>0</v>
      </c>
      <c r="R558" s="132">
        <f t="shared" si="292"/>
        <v>0</v>
      </c>
      <c r="S558" s="132">
        <f t="shared" si="293"/>
        <v>0</v>
      </c>
      <c r="T558" s="133">
        <f t="shared" si="294"/>
        <v>0</v>
      </c>
      <c r="U558" s="134">
        <f t="shared" si="214"/>
        <v>0</v>
      </c>
      <c r="V558" s="135"/>
      <c r="W558" s="136"/>
      <c r="X558" s="2"/>
      <c r="Y558" s="111"/>
      <c r="Z558" s="3"/>
    </row>
    <row r="559" ht="14.25" hidden="1" customHeight="1" outlineLevel="2">
      <c r="A559" s="124"/>
      <c r="B559" s="125" t="s">
        <v>1153</v>
      </c>
      <c r="C559" s="126" t="s">
        <v>1154</v>
      </c>
      <c r="D559" s="127" t="s">
        <v>64</v>
      </c>
      <c r="E559" s="35"/>
      <c r="F559" s="128"/>
      <c r="G559" s="128"/>
      <c r="H559" s="128"/>
      <c r="I559" s="127">
        <f t="shared" si="287"/>
        <v>0</v>
      </c>
      <c r="J559" s="88"/>
      <c r="K559" s="129">
        <f t="shared" si="288"/>
        <v>900</v>
      </c>
      <c r="L559" s="130">
        <v>0.6</v>
      </c>
      <c r="M559" s="129">
        <f t="shared" si="289"/>
        <v>600</v>
      </c>
      <c r="N559" s="130">
        <f t="shared" si="290"/>
        <v>0.4</v>
      </c>
      <c r="O559" s="131">
        <f t="array" ref="O559">INDEX('LPU Regionalizada'!$B$3:$N$785,MATCH($B559,'LPU Regionalizada'!$B$3:$B$785,0),MATCH(INDEX(CTRL!$F$3:$F$29,CTRL!$E$1),'LPU Regionalizada'!$B$3:$N$3,0))</f>
        <v>1500</v>
      </c>
      <c r="P559" s="88"/>
      <c r="Q559" s="132">
        <f t="shared" si="291"/>
        <v>0</v>
      </c>
      <c r="R559" s="132">
        <f t="shared" si="292"/>
        <v>0</v>
      </c>
      <c r="S559" s="132">
        <f t="shared" si="293"/>
        <v>0</v>
      </c>
      <c r="T559" s="133">
        <f t="shared" si="294"/>
        <v>0</v>
      </c>
      <c r="U559" s="134">
        <f t="shared" si="214"/>
        <v>0</v>
      </c>
      <c r="V559" s="135"/>
      <c r="W559" s="136"/>
      <c r="X559" s="2"/>
      <c r="Y559" s="111"/>
      <c r="Z559" s="3"/>
    </row>
    <row r="560" ht="9.75" hidden="1" customHeight="1">
      <c r="A560" s="124"/>
      <c r="B560" s="125"/>
      <c r="C560" s="126"/>
      <c r="D560" s="127"/>
      <c r="E560" s="35"/>
      <c r="F560" s="128"/>
      <c r="G560" s="128"/>
      <c r="H560" s="128"/>
      <c r="I560" s="127"/>
      <c r="J560" s="88"/>
      <c r="K560" s="129"/>
      <c r="L560" s="130"/>
      <c r="M560" s="129"/>
      <c r="N560" s="130"/>
      <c r="O560" s="131"/>
      <c r="P560" s="88"/>
      <c r="Q560" s="132"/>
      <c r="R560" s="132"/>
      <c r="S560" s="132"/>
      <c r="T560" s="133"/>
      <c r="U560" s="134"/>
      <c r="V560" s="135"/>
      <c r="W560" s="136"/>
      <c r="X560" s="2"/>
      <c r="Y560" s="111"/>
      <c r="Z560" s="3"/>
    </row>
    <row r="561" ht="14.25" hidden="1" customHeight="1" collapsed="1">
      <c r="A561" s="100"/>
      <c r="B561" s="101" t="s">
        <v>1155</v>
      </c>
      <c r="C561" s="102" t="s">
        <v>1156</v>
      </c>
      <c r="D561" s="103"/>
      <c r="E561" s="35"/>
      <c r="F561" s="101"/>
      <c r="G561" s="104"/>
      <c r="H561" s="104"/>
      <c r="I561" s="103"/>
      <c r="J561" s="88"/>
      <c r="K561" s="105"/>
      <c r="L561" s="106"/>
      <c r="M561" s="106"/>
      <c r="N561" s="106"/>
      <c r="O561" s="107"/>
      <c r="P561" s="88"/>
      <c r="Q561" s="108"/>
      <c r="R561" s="108"/>
      <c r="S561" s="108"/>
      <c r="T561" s="108">
        <f t="shared" ref="T561:U561" si="295">T562+T608+T638+T665+T670+T676+T696+T711+T725+T732</f>
        <v>0</v>
      </c>
      <c r="U561" s="108">
        <f t="shared" si="295"/>
        <v>0</v>
      </c>
      <c r="V561" s="109"/>
      <c r="W561" s="110"/>
      <c r="X561" s="2"/>
      <c r="Y561" s="111"/>
      <c r="Z561" s="3"/>
    </row>
    <row r="562" ht="14.25" hidden="1" customHeight="1" outlineLevel="1">
      <c r="A562" s="112"/>
      <c r="B562" s="113" t="s">
        <v>1157</v>
      </c>
      <c r="C562" s="114" t="s">
        <v>1158</v>
      </c>
      <c r="D562" s="115"/>
      <c r="E562" s="35"/>
      <c r="F562" s="113"/>
      <c r="G562" s="116"/>
      <c r="H562" s="116"/>
      <c r="I562" s="115"/>
      <c r="J562" s="88"/>
      <c r="K562" s="117"/>
      <c r="L562" s="118"/>
      <c r="M562" s="118"/>
      <c r="N562" s="118"/>
      <c r="O562" s="119"/>
      <c r="P562" s="88"/>
      <c r="Q562" s="120"/>
      <c r="R562" s="120"/>
      <c r="S562" s="120"/>
      <c r="T562" s="120">
        <f>SUM(T563:T607)</f>
        <v>0</v>
      </c>
      <c r="U562" s="121">
        <f t="shared" ref="U562:U740" si="296">IFERROR(T562*(1-$H$12),"")</f>
        <v>0</v>
      </c>
      <c r="V562" s="122"/>
      <c r="W562" s="123"/>
      <c r="X562" s="2"/>
      <c r="Y562" s="111"/>
      <c r="Z562" s="3"/>
    </row>
    <row r="563" ht="14.25" hidden="1" customHeight="1" outlineLevel="2">
      <c r="A563" s="124"/>
      <c r="B563" s="125" t="s">
        <v>1159</v>
      </c>
      <c r="C563" s="126" t="s">
        <v>1160</v>
      </c>
      <c r="D563" s="127" t="s">
        <v>142</v>
      </c>
      <c r="E563" s="35"/>
      <c r="F563" s="128"/>
      <c r="G563" s="128"/>
      <c r="H563" s="128"/>
      <c r="I563" s="127">
        <f t="shared" ref="I563:I607" si="297">F563+G563+H563</f>
        <v>0</v>
      </c>
      <c r="J563" s="88"/>
      <c r="K563" s="129">
        <f t="shared" ref="K563:K607" si="298">L563*O563</f>
        <v>223.1025901</v>
      </c>
      <c r="L563" s="130">
        <v>0.6</v>
      </c>
      <c r="M563" s="129">
        <f t="shared" ref="M563:M607" si="299">N563*O563</f>
        <v>148.73506</v>
      </c>
      <c r="N563" s="130">
        <f t="shared" ref="N563:N607" si="300">100%-L563</f>
        <v>0.4</v>
      </c>
      <c r="O563" s="131">
        <f t="array" ref="O563">INDEX('LPU Regionalizada'!$B$3:$N$785,MATCH($B563,'LPU Regionalizada'!$B$3:$B$785,0),MATCH(INDEX(CTRL!$F$3:$F$29,CTRL!$E$1),'LPU Regionalizada'!$B$3:$N$3,0))</f>
        <v>371.8376501</v>
      </c>
      <c r="P563" s="88"/>
      <c r="Q563" s="132">
        <f t="shared" ref="Q563:Q607" si="301">F563*O563</f>
        <v>0</v>
      </c>
      <c r="R563" s="132">
        <f t="shared" ref="R563:R607" si="302">G563*O563</f>
        <v>0</v>
      </c>
      <c r="S563" s="132">
        <f t="shared" ref="S563:S607" si="303">H563*O563</f>
        <v>0</v>
      </c>
      <c r="T563" s="133">
        <f t="shared" ref="T563:T607" si="304">SUM(Q563:S563)</f>
        <v>0</v>
      </c>
      <c r="U563" s="134">
        <f t="shared" si="296"/>
        <v>0</v>
      </c>
      <c r="V563" s="135"/>
      <c r="W563" s="136"/>
      <c r="X563" s="2"/>
      <c r="Y563" s="111"/>
      <c r="Z563" s="3"/>
    </row>
    <row r="564" ht="14.25" hidden="1" customHeight="1" outlineLevel="2">
      <c r="A564" s="124"/>
      <c r="B564" s="125" t="s">
        <v>1161</v>
      </c>
      <c r="C564" s="126" t="s">
        <v>1162</v>
      </c>
      <c r="D564" s="127" t="s">
        <v>142</v>
      </c>
      <c r="E564" s="35"/>
      <c r="F564" s="128"/>
      <c r="G564" s="128"/>
      <c r="H564" s="128"/>
      <c r="I564" s="127">
        <f t="shared" si="297"/>
        <v>0</v>
      </c>
      <c r="J564" s="88"/>
      <c r="K564" s="129">
        <f t="shared" si="298"/>
        <v>37.00366092</v>
      </c>
      <c r="L564" s="130">
        <v>0.6</v>
      </c>
      <c r="M564" s="129">
        <f t="shared" si="299"/>
        <v>24.66910728</v>
      </c>
      <c r="N564" s="130">
        <f t="shared" si="300"/>
        <v>0.4</v>
      </c>
      <c r="O564" s="131">
        <f t="array" ref="O564">INDEX('LPU Regionalizada'!$B$3:$N$785,MATCH($B564,'LPU Regionalizada'!$B$3:$B$785,0),MATCH(INDEX(CTRL!$F$3:$F$29,CTRL!$E$1),'LPU Regionalizada'!$B$3:$N$3,0))</f>
        <v>61.6727682</v>
      </c>
      <c r="P564" s="88"/>
      <c r="Q564" s="132">
        <f t="shared" si="301"/>
        <v>0</v>
      </c>
      <c r="R564" s="132">
        <f t="shared" si="302"/>
        <v>0</v>
      </c>
      <c r="S564" s="132">
        <f t="shared" si="303"/>
        <v>0</v>
      </c>
      <c r="T564" s="133">
        <f t="shared" si="304"/>
        <v>0</v>
      </c>
      <c r="U564" s="134">
        <f t="shared" si="296"/>
        <v>0</v>
      </c>
      <c r="V564" s="135"/>
      <c r="W564" s="136"/>
      <c r="X564" s="2"/>
      <c r="Y564" s="111"/>
      <c r="Z564" s="3"/>
    </row>
    <row r="565" ht="14.25" hidden="1" customHeight="1" outlineLevel="2">
      <c r="A565" s="124"/>
      <c r="B565" s="125" t="s">
        <v>1163</v>
      </c>
      <c r="C565" s="126" t="s">
        <v>1164</v>
      </c>
      <c r="D565" s="127" t="s">
        <v>142</v>
      </c>
      <c r="E565" s="35"/>
      <c r="F565" s="128"/>
      <c r="G565" s="128"/>
      <c r="H565" s="128"/>
      <c r="I565" s="127">
        <f t="shared" si="297"/>
        <v>0</v>
      </c>
      <c r="J565" s="88"/>
      <c r="K565" s="129">
        <f t="shared" si="298"/>
        <v>207.396</v>
      </c>
      <c r="L565" s="130">
        <v>0.6</v>
      </c>
      <c r="M565" s="129">
        <f t="shared" si="299"/>
        <v>138.264</v>
      </c>
      <c r="N565" s="130">
        <f t="shared" si="300"/>
        <v>0.4</v>
      </c>
      <c r="O565" s="131">
        <f t="array" ref="O565">INDEX('LPU Regionalizada'!$B$3:$N$785,MATCH($B565,'LPU Regionalizada'!$B$3:$B$785,0),MATCH(INDEX(CTRL!$F$3:$F$29,CTRL!$E$1),'LPU Regionalizada'!$B$3:$N$3,0))</f>
        <v>345.66</v>
      </c>
      <c r="P565" s="88"/>
      <c r="Q565" s="132">
        <f t="shared" si="301"/>
        <v>0</v>
      </c>
      <c r="R565" s="132">
        <f t="shared" si="302"/>
        <v>0</v>
      </c>
      <c r="S565" s="132">
        <f t="shared" si="303"/>
        <v>0</v>
      </c>
      <c r="T565" s="133">
        <f t="shared" si="304"/>
        <v>0</v>
      </c>
      <c r="U565" s="134">
        <f t="shared" si="296"/>
        <v>0</v>
      </c>
      <c r="V565" s="135"/>
      <c r="W565" s="136"/>
      <c r="X565" s="2"/>
      <c r="Y565" s="111"/>
      <c r="Z565" s="3"/>
    </row>
    <row r="566" ht="14.25" hidden="1" customHeight="1" outlineLevel="2">
      <c r="A566" s="124"/>
      <c r="B566" s="125" t="s">
        <v>1165</v>
      </c>
      <c r="C566" s="126" t="s">
        <v>1166</v>
      </c>
      <c r="D566" s="127" t="s">
        <v>142</v>
      </c>
      <c r="E566" s="35"/>
      <c r="F566" s="128"/>
      <c r="G566" s="128"/>
      <c r="H566" s="128"/>
      <c r="I566" s="127">
        <f t="shared" si="297"/>
        <v>0</v>
      </c>
      <c r="J566" s="88"/>
      <c r="K566" s="129">
        <f t="shared" si="298"/>
        <v>877.9335685</v>
      </c>
      <c r="L566" s="130">
        <v>0.6</v>
      </c>
      <c r="M566" s="129">
        <f t="shared" si="299"/>
        <v>585.2890456</v>
      </c>
      <c r="N566" s="130">
        <f t="shared" si="300"/>
        <v>0.4</v>
      </c>
      <c r="O566" s="131">
        <f t="array" ref="O566">INDEX('LPU Regionalizada'!$B$3:$N$785,MATCH($B566,'LPU Regionalizada'!$B$3:$B$785,0),MATCH(INDEX(CTRL!$F$3:$F$29,CTRL!$E$1),'LPU Regionalizada'!$B$3:$N$3,0))</f>
        <v>1463.222614</v>
      </c>
      <c r="P566" s="88"/>
      <c r="Q566" s="132">
        <f t="shared" si="301"/>
        <v>0</v>
      </c>
      <c r="R566" s="132">
        <f t="shared" si="302"/>
        <v>0</v>
      </c>
      <c r="S566" s="132">
        <f t="shared" si="303"/>
        <v>0</v>
      </c>
      <c r="T566" s="133">
        <f t="shared" si="304"/>
        <v>0</v>
      </c>
      <c r="U566" s="134">
        <f t="shared" si="296"/>
        <v>0</v>
      </c>
      <c r="V566" s="135"/>
      <c r="W566" s="136"/>
      <c r="X566" s="2"/>
      <c r="Y566" s="111"/>
      <c r="Z566" s="3"/>
    </row>
    <row r="567" ht="14.25" hidden="1" customHeight="1" outlineLevel="2">
      <c r="A567" s="124"/>
      <c r="B567" s="125" t="s">
        <v>1167</v>
      </c>
      <c r="C567" s="126" t="s">
        <v>1168</v>
      </c>
      <c r="D567" s="127" t="s">
        <v>142</v>
      </c>
      <c r="E567" s="35"/>
      <c r="F567" s="128"/>
      <c r="G567" s="128"/>
      <c r="H567" s="128"/>
      <c r="I567" s="127">
        <f t="shared" si="297"/>
        <v>0</v>
      </c>
      <c r="J567" s="88"/>
      <c r="K567" s="129">
        <f t="shared" si="298"/>
        <v>490.2573182</v>
      </c>
      <c r="L567" s="130">
        <v>0.6</v>
      </c>
      <c r="M567" s="129">
        <f t="shared" si="299"/>
        <v>326.8382121</v>
      </c>
      <c r="N567" s="130">
        <f t="shared" si="300"/>
        <v>0.4</v>
      </c>
      <c r="O567" s="131">
        <f t="array" ref="O567">INDEX('LPU Regionalizada'!$B$3:$N$785,MATCH($B567,'LPU Regionalizada'!$B$3:$B$785,0),MATCH(INDEX(CTRL!$F$3:$F$29,CTRL!$E$1),'LPU Regionalizada'!$B$3:$N$3,0))</f>
        <v>817.0955303</v>
      </c>
      <c r="P567" s="88"/>
      <c r="Q567" s="132">
        <f t="shared" si="301"/>
        <v>0</v>
      </c>
      <c r="R567" s="132">
        <f t="shared" si="302"/>
        <v>0</v>
      </c>
      <c r="S567" s="132">
        <f t="shared" si="303"/>
        <v>0</v>
      </c>
      <c r="T567" s="133">
        <f t="shared" si="304"/>
        <v>0</v>
      </c>
      <c r="U567" s="134">
        <f t="shared" si="296"/>
        <v>0</v>
      </c>
      <c r="V567" s="135"/>
      <c r="W567" s="136"/>
      <c r="X567" s="2"/>
      <c r="Y567" s="111"/>
      <c r="Z567" s="3"/>
    </row>
    <row r="568" ht="14.25" hidden="1" customHeight="1" outlineLevel="2">
      <c r="A568" s="124"/>
      <c r="B568" s="125" t="s">
        <v>1169</v>
      </c>
      <c r="C568" s="126" t="s">
        <v>1170</v>
      </c>
      <c r="D568" s="127" t="s">
        <v>142</v>
      </c>
      <c r="E568" s="35"/>
      <c r="F568" s="128"/>
      <c r="G568" s="128"/>
      <c r="H568" s="128"/>
      <c r="I568" s="127">
        <f t="shared" si="297"/>
        <v>0</v>
      </c>
      <c r="J568" s="88"/>
      <c r="K568" s="129">
        <f t="shared" si="298"/>
        <v>838.5669066</v>
      </c>
      <c r="L568" s="130">
        <v>0.6</v>
      </c>
      <c r="M568" s="129">
        <f t="shared" si="299"/>
        <v>559.0446044</v>
      </c>
      <c r="N568" s="130">
        <f t="shared" si="300"/>
        <v>0.4</v>
      </c>
      <c r="O568" s="131">
        <f t="array" ref="O568">INDEX('LPU Regionalizada'!$B$3:$N$785,MATCH($B568,'LPU Regionalizada'!$B$3:$B$785,0),MATCH(INDEX(CTRL!$F$3:$F$29,CTRL!$E$1),'LPU Regionalizada'!$B$3:$N$3,0))</f>
        <v>1397.611511</v>
      </c>
      <c r="P568" s="88"/>
      <c r="Q568" s="132">
        <f t="shared" si="301"/>
        <v>0</v>
      </c>
      <c r="R568" s="132">
        <f t="shared" si="302"/>
        <v>0</v>
      </c>
      <c r="S568" s="132">
        <f t="shared" si="303"/>
        <v>0</v>
      </c>
      <c r="T568" s="133">
        <f t="shared" si="304"/>
        <v>0</v>
      </c>
      <c r="U568" s="134">
        <f t="shared" si="296"/>
        <v>0</v>
      </c>
      <c r="V568" s="135"/>
      <c r="W568" s="136"/>
      <c r="X568" s="2"/>
      <c r="Y568" s="111"/>
      <c r="Z568" s="3"/>
    </row>
    <row r="569" ht="14.25" hidden="1" customHeight="1" outlineLevel="2">
      <c r="A569" s="124"/>
      <c r="B569" s="125" t="s">
        <v>1171</v>
      </c>
      <c r="C569" s="126" t="s">
        <v>1172</v>
      </c>
      <c r="D569" s="127" t="s">
        <v>142</v>
      </c>
      <c r="E569" s="35"/>
      <c r="F569" s="128"/>
      <c r="G569" s="128"/>
      <c r="H569" s="128"/>
      <c r="I569" s="127">
        <f t="shared" si="297"/>
        <v>0</v>
      </c>
      <c r="J569" s="88"/>
      <c r="K569" s="129">
        <f t="shared" si="298"/>
        <v>148.625445</v>
      </c>
      <c r="L569" s="130">
        <v>0.6</v>
      </c>
      <c r="M569" s="129">
        <f t="shared" si="299"/>
        <v>99.08363</v>
      </c>
      <c r="N569" s="130">
        <f t="shared" si="300"/>
        <v>0.4</v>
      </c>
      <c r="O569" s="131">
        <f t="array" ref="O569">INDEX('LPU Regionalizada'!$B$3:$N$785,MATCH($B569,'LPU Regionalizada'!$B$3:$B$785,0),MATCH(INDEX(CTRL!$F$3:$F$29,CTRL!$E$1),'LPU Regionalizada'!$B$3:$N$3,0))</f>
        <v>247.709075</v>
      </c>
      <c r="P569" s="88"/>
      <c r="Q569" s="132">
        <f t="shared" si="301"/>
        <v>0</v>
      </c>
      <c r="R569" s="132">
        <f t="shared" si="302"/>
        <v>0</v>
      </c>
      <c r="S569" s="132">
        <f t="shared" si="303"/>
        <v>0</v>
      </c>
      <c r="T569" s="133">
        <f t="shared" si="304"/>
        <v>0</v>
      </c>
      <c r="U569" s="134">
        <f t="shared" si="296"/>
        <v>0</v>
      </c>
      <c r="V569" s="135"/>
      <c r="W569" s="136"/>
      <c r="X569" s="2"/>
      <c r="Y569" s="111"/>
      <c r="Z569" s="3"/>
    </row>
    <row r="570" ht="14.25" hidden="1" customHeight="1" outlineLevel="2">
      <c r="A570" s="124"/>
      <c r="B570" s="125" t="s">
        <v>1173</v>
      </c>
      <c r="C570" s="126" t="s">
        <v>1174</v>
      </c>
      <c r="D570" s="127" t="s">
        <v>142</v>
      </c>
      <c r="E570" s="35"/>
      <c r="F570" s="128"/>
      <c r="G570" s="128"/>
      <c r="H570" s="128"/>
      <c r="I570" s="127">
        <f t="shared" si="297"/>
        <v>0</v>
      </c>
      <c r="J570" s="88"/>
      <c r="K570" s="129">
        <f t="shared" si="298"/>
        <v>1005.77331</v>
      </c>
      <c r="L570" s="130">
        <v>0.6</v>
      </c>
      <c r="M570" s="129">
        <f t="shared" si="299"/>
        <v>670.51554</v>
      </c>
      <c r="N570" s="130">
        <f t="shared" si="300"/>
        <v>0.4</v>
      </c>
      <c r="O570" s="131">
        <f t="array" ref="O570">INDEX('LPU Regionalizada'!$B$3:$N$785,MATCH($B570,'LPU Regionalizada'!$B$3:$B$785,0),MATCH(INDEX(CTRL!$F$3:$F$29,CTRL!$E$1),'LPU Regionalizada'!$B$3:$N$3,0))</f>
        <v>1676.28885</v>
      </c>
      <c r="P570" s="88"/>
      <c r="Q570" s="132">
        <f t="shared" si="301"/>
        <v>0</v>
      </c>
      <c r="R570" s="132">
        <f t="shared" si="302"/>
        <v>0</v>
      </c>
      <c r="S570" s="132">
        <f t="shared" si="303"/>
        <v>0</v>
      </c>
      <c r="T570" s="133">
        <f t="shared" si="304"/>
        <v>0</v>
      </c>
      <c r="U570" s="134">
        <f t="shared" si="296"/>
        <v>0</v>
      </c>
      <c r="V570" s="135"/>
      <c r="W570" s="136"/>
      <c r="X570" s="2"/>
      <c r="Y570" s="111"/>
      <c r="Z570" s="3"/>
    </row>
    <row r="571" ht="14.25" hidden="1" customHeight="1" outlineLevel="2">
      <c r="A571" s="124"/>
      <c r="B571" s="125" t="s">
        <v>1175</v>
      </c>
      <c r="C571" s="126" t="s">
        <v>1176</v>
      </c>
      <c r="D571" s="127" t="s">
        <v>142</v>
      </c>
      <c r="E571" s="35"/>
      <c r="F571" s="128"/>
      <c r="G571" s="128"/>
      <c r="H571" s="128"/>
      <c r="I571" s="127">
        <f t="shared" si="297"/>
        <v>0</v>
      </c>
      <c r="J571" s="88"/>
      <c r="K571" s="129">
        <f t="shared" si="298"/>
        <v>728.8011818</v>
      </c>
      <c r="L571" s="130">
        <v>0.6</v>
      </c>
      <c r="M571" s="129">
        <f t="shared" si="299"/>
        <v>485.8674545</v>
      </c>
      <c r="N571" s="130">
        <f t="shared" si="300"/>
        <v>0.4</v>
      </c>
      <c r="O571" s="131">
        <f t="array" ref="O571">INDEX('LPU Regionalizada'!$B$3:$N$785,MATCH($B571,'LPU Regionalizada'!$B$3:$B$785,0),MATCH(INDEX(CTRL!$F$3:$F$29,CTRL!$E$1),'LPU Regionalizada'!$B$3:$N$3,0))</f>
        <v>1214.668636</v>
      </c>
      <c r="P571" s="88"/>
      <c r="Q571" s="132">
        <f t="shared" si="301"/>
        <v>0</v>
      </c>
      <c r="R571" s="132">
        <f t="shared" si="302"/>
        <v>0</v>
      </c>
      <c r="S571" s="132">
        <f t="shared" si="303"/>
        <v>0</v>
      </c>
      <c r="T571" s="133">
        <f t="shared" si="304"/>
        <v>0</v>
      </c>
      <c r="U571" s="134">
        <f t="shared" si="296"/>
        <v>0</v>
      </c>
      <c r="V571" s="135"/>
      <c r="W571" s="136"/>
      <c r="X571" s="2"/>
      <c r="Y571" s="111"/>
      <c r="Z571" s="3"/>
    </row>
    <row r="572" ht="14.25" hidden="1" customHeight="1" outlineLevel="2">
      <c r="A572" s="124"/>
      <c r="B572" s="125" t="s">
        <v>1177</v>
      </c>
      <c r="C572" s="126" t="s">
        <v>1178</v>
      </c>
      <c r="D572" s="127" t="s">
        <v>142</v>
      </c>
      <c r="E572" s="35"/>
      <c r="F572" s="128"/>
      <c r="G572" s="128"/>
      <c r="H572" s="128"/>
      <c r="I572" s="127">
        <f t="shared" si="297"/>
        <v>0</v>
      </c>
      <c r="J572" s="88"/>
      <c r="K572" s="129">
        <f t="shared" si="298"/>
        <v>166.2627273</v>
      </c>
      <c r="L572" s="130">
        <v>0.6</v>
      </c>
      <c r="M572" s="129">
        <f t="shared" si="299"/>
        <v>110.8418182</v>
      </c>
      <c r="N572" s="130">
        <f t="shared" si="300"/>
        <v>0.4</v>
      </c>
      <c r="O572" s="131">
        <f t="array" ref="O572">INDEX('LPU Regionalizada'!$B$3:$N$785,MATCH($B572,'LPU Regionalizada'!$B$3:$B$785,0),MATCH(INDEX(CTRL!$F$3:$F$29,CTRL!$E$1),'LPU Regionalizada'!$B$3:$N$3,0))</f>
        <v>277.1045455</v>
      </c>
      <c r="P572" s="88"/>
      <c r="Q572" s="132">
        <f t="shared" si="301"/>
        <v>0</v>
      </c>
      <c r="R572" s="132">
        <f t="shared" si="302"/>
        <v>0</v>
      </c>
      <c r="S572" s="132">
        <f t="shared" si="303"/>
        <v>0</v>
      </c>
      <c r="T572" s="133">
        <f t="shared" si="304"/>
        <v>0</v>
      </c>
      <c r="U572" s="134">
        <f t="shared" si="296"/>
        <v>0</v>
      </c>
      <c r="V572" s="135"/>
      <c r="W572" s="136"/>
      <c r="X572" s="2"/>
      <c r="Y572" s="111"/>
      <c r="Z572" s="3"/>
    </row>
    <row r="573" ht="14.25" hidden="1" customHeight="1" outlineLevel="2">
      <c r="A573" s="124"/>
      <c r="B573" s="125" t="s">
        <v>1179</v>
      </c>
      <c r="C573" s="126" t="s">
        <v>1180</v>
      </c>
      <c r="D573" s="127" t="s">
        <v>142</v>
      </c>
      <c r="E573" s="35"/>
      <c r="F573" s="128"/>
      <c r="G573" s="128"/>
      <c r="H573" s="128"/>
      <c r="I573" s="127">
        <f t="shared" si="297"/>
        <v>0</v>
      </c>
      <c r="J573" s="88"/>
      <c r="K573" s="129">
        <f t="shared" si="298"/>
        <v>248.268</v>
      </c>
      <c r="L573" s="130">
        <v>0.6</v>
      </c>
      <c r="M573" s="129">
        <f t="shared" si="299"/>
        <v>165.512</v>
      </c>
      <c r="N573" s="130">
        <f t="shared" si="300"/>
        <v>0.4</v>
      </c>
      <c r="O573" s="131">
        <f t="array" ref="O573">INDEX('LPU Regionalizada'!$B$3:$N$785,MATCH($B573,'LPU Regionalizada'!$B$3:$B$785,0),MATCH(INDEX(CTRL!$F$3:$F$29,CTRL!$E$1),'LPU Regionalizada'!$B$3:$N$3,0))</f>
        <v>413.78</v>
      </c>
      <c r="P573" s="88"/>
      <c r="Q573" s="132">
        <f t="shared" si="301"/>
        <v>0</v>
      </c>
      <c r="R573" s="132">
        <f t="shared" si="302"/>
        <v>0</v>
      </c>
      <c r="S573" s="132">
        <f t="shared" si="303"/>
        <v>0</v>
      </c>
      <c r="T573" s="133">
        <f t="shared" si="304"/>
        <v>0</v>
      </c>
      <c r="U573" s="134">
        <f t="shared" si="296"/>
        <v>0</v>
      </c>
      <c r="V573" s="135"/>
      <c r="W573" s="136"/>
      <c r="X573" s="2"/>
      <c r="Y573" s="111"/>
      <c r="Z573" s="3"/>
    </row>
    <row r="574" ht="14.25" hidden="1" customHeight="1" outlineLevel="2">
      <c r="A574" s="124"/>
      <c r="B574" s="125" t="s">
        <v>1181</v>
      </c>
      <c r="C574" s="126" t="s">
        <v>1182</v>
      </c>
      <c r="D574" s="127" t="s">
        <v>946</v>
      </c>
      <c r="E574" s="35"/>
      <c r="F574" s="128"/>
      <c r="G574" s="128"/>
      <c r="H574" s="128"/>
      <c r="I574" s="127">
        <f t="shared" si="297"/>
        <v>0</v>
      </c>
      <c r="J574" s="88"/>
      <c r="K574" s="129">
        <f t="shared" si="298"/>
        <v>893.0511</v>
      </c>
      <c r="L574" s="130">
        <v>0.6</v>
      </c>
      <c r="M574" s="129">
        <f t="shared" si="299"/>
        <v>595.3674</v>
      </c>
      <c r="N574" s="130">
        <f t="shared" si="300"/>
        <v>0.4</v>
      </c>
      <c r="O574" s="131">
        <f t="array" ref="O574">INDEX('LPU Regionalizada'!$B$3:$N$785,MATCH($B574,'LPU Regionalizada'!$B$3:$B$785,0),MATCH(INDEX(CTRL!$F$3:$F$29,CTRL!$E$1),'LPU Regionalizada'!$B$3:$N$3,0))</f>
        <v>1488.4185</v>
      </c>
      <c r="P574" s="88"/>
      <c r="Q574" s="132">
        <f t="shared" si="301"/>
        <v>0</v>
      </c>
      <c r="R574" s="132">
        <f t="shared" si="302"/>
        <v>0</v>
      </c>
      <c r="S574" s="132">
        <f t="shared" si="303"/>
        <v>0</v>
      </c>
      <c r="T574" s="133">
        <f t="shared" si="304"/>
        <v>0</v>
      </c>
      <c r="U574" s="134">
        <f t="shared" si="296"/>
        <v>0</v>
      </c>
      <c r="V574" s="135"/>
      <c r="W574" s="136"/>
      <c r="X574" s="2"/>
      <c r="Y574" s="111"/>
      <c r="Z574" s="3"/>
    </row>
    <row r="575" ht="14.25" hidden="1" customHeight="1" outlineLevel="2">
      <c r="A575" s="124"/>
      <c r="B575" s="125" t="s">
        <v>1183</v>
      </c>
      <c r="C575" s="126" t="s">
        <v>1184</v>
      </c>
      <c r="D575" s="127" t="s">
        <v>142</v>
      </c>
      <c r="E575" s="35"/>
      <c r="F575" s="128"/>
      <c r="G575" s="128"/>
      <c r="H575" s="128"/>
      <c r="I575" s="127">
        <f t="shared" si="297"/>
        <v>0</v>
      </c>
      <c r="J575" s="88"/>
      <c r="K575" s="129">
        <f t="shared" si="298"/>
        <v>51.54087557</v>
      </c>
      <c r="L575" s="130">
        <v>0.6</v>
      </c>
      <c r="M575" s="129">
        <f t="shared" si="299"/>
        <v>34.36058371</v>
      </c>
      <c r="N575" s="130">
        <f t="shared" si="300"/>
        <v>0.4</v>
      </c>
      <c r="O575" s="131">
        <f t="array" ref="O575">INDEX('LPU Regionalizada'!$B$3:$N$785,MATCH($B575,'LPU Regionalizada'!$B$3:$B$785,0),MATCH(INDEX(CTRL!$F$3:$F$29,CTRL!$E$1),'LPU Regionalizada'!$B$3:$N$3,0))</f>
        <v>85.90145928</v>
      </c>
      <c r="P575" s="88"/>
      <c r="Q575" s="132">
        <f t="shared" si="301"/>
        <v>0</v>
      </c>
      <c r="R575" s="132">
        <f t="shared" si="302"/>
        <v>0</v>
      </c>
      <c r="S575" s="132">
        <f t="shared" si="303"/>
        <v>0</v>
      </c>
      <c r="T575" s="133">
        <f t="shared" si="304"/>
        <v>0</v>
      </c>
      <c r="U575" s="134">
        <f t="shared" si="296"/>
        <v>0</v>
      </c>
      <c r="V575" s="135"/>
      <c r="W575" s="136"/>
      <c r="X575" s="2"/>
      <c r="Y575" s="111"/>
      <c r="Z575" s="3"/>
    </row>
    <row r="576" ht="14.25" hidden="1" customHeight="1" outlineLevel="2">
      <c r="A576" s="124"/>
      <c r="B576" s="125" t="s">
        <v>1185</v>
      </c>
      <c r="C576" s="126" t="s">
        <v>1186</v>
      </c>
      <c r="D576" s="127" t="s">
        <v>142</v>
      </c>
      <c r="E576" s="35"/>
      <c r="F576" s="128"/>
      <c r="G576" s="128"/>
      <c r="H576" s="128"/>
      <c r="I576" s="127">
        <f t="shared" si="297"/>
        <v>0</v>
      </c>
      <c r="J576" s="88"/>
      <c r="K576" s="129">
        <f t="shared" si="298"/>
        <v>57.8907</v>
      </c>
      <c r="L576" s="130">
        <v>0.6</v>
      </c>
      <c r="M576" s="129">
        <f t="shared" si="299"/>
        <v>38.5938</v>
      </c>
      <c r="N576" s="130">
        <f t="shared" si="300"/>
        <v>0.4</v>
      </c>
      <c r="O576" s="131">
        <f t="array" ref="O576">INDEX('LPU Regionalizada'!$B$3:$N$785,MATCH($B576,'LPU Regionalizada'!$B$3:$B$785,0),MATCH(INDEX(CTRL!$F$3:$F$29,CTRL!$E$1),'LPU Regionalizada'!$B$3:$N$3,0))</f>
        <v>96.4845</v>
      </c>
      <c r="P576" s="88"/>
      <c r="Q576" s="132">
        <f t="shared" si="301"/>
        <v>0</v>
      </c>
      <c r="R576" s="132">
        <f t="shared" si="302"/>
        <v>0</v>
      </c>
      <c r="S576" s="132">
        <f t="shared" si="303"/>
        <v>0</v>
      </c>
      <c r="T576" s="133">
        <f t="shared" si="304"/>
        <v>0</v>
      </c>
      <c r="U576" s="134">
        <f t="shared" si="296"/>
        <v>0</v>
      </c>
      <c r="V576" s="135"/>
      <c r="W576" s="136"/>
      <c r="X576" s="2"/>
      <c r="Y576" s="111"/>
      <c r="Z576" s="3"/>
    </row>
    <row r="577" ht="14.25" hidden="1" customHeight="1" outlineLevel="2">
      <c r="A577" s="124"/>
      <c r="B577" s="125" t="s">
        <v>1187</v>
      </c>
      <c r="C577" s="126" t="s">
        <v>1188</v>
      </c>
      <c r="D577" s="127" t="s">
        <v>142</v>
      </c>
      <c r="E577" s="35"/>
      <c r="F577" s="128"/>
      <c r="G577" s="128"/>
      <c r="H577" s="128"/>
      <c r="I577" s="127">
        <f t="shared" si="297"/>
        <v>0</v>
      </c>
      <c r="J577" s="88"/>
      <c r="K577" s="129">
        <f t="shared" si="298"/>
        <v>502.2490347</v>
      </c>
      <c r="L577" s="130">
        <v>0.6</v>
      </c>
      <c r="M577" s="129">
        <f t="shared" si="299"/>
        <v>334.8326898</v>
      </c>
      <c r="N577" s="130">
        <f t="shared" si="300"/>
        <v>0.4</v>
      </c>
      <c r="O577" s="131">
        <f t="array" ref="O577">INDEX('LPU Regionalizada'!$B$3:$N$785,MATCH($B577,'LPU Regionalizada'!$B$3:$B$785,0),MATCH(INDEX(CTRL!$F$3:$F$29,CTRL!$E$1),'LPU Regionalizada'!$B$3:$N$3,0))</f>
        <v>837.0817245</v>
      </c>
      <c r="P577" s="88"/>
      <c r="Q577" s="132">
        <f t="shared" si="301"/>
        <v>0</v>
      </c>
      <c r="R577" s="132">
        <f t="shared" si="302"/>
        <v>0</v>
      </c>
      <c r="S577" s="132">
        <f t="shared" si="303"/>
        <v>0</v>
      </c>
      <c r="T577" s="133">
        <f t="shared" si="304"/>
        <v>0</v>
      </c>
      <c r="U577" s="134">
        <f t="shared" si="296"/>
        <v>0</v>
      </c>
      <c r="V577" s="135"/>
      <c r="W577" s="136"/>
      <c r="X577" s="2"/>
      <c r="Y577" s="111"/>
      <c r="Z577" s="3"/>
    </row>
    <row r="578" ht="14.25" hidden="1" customHeight="1" outlineLevel="2">
      <c r="A578" s="124"/>
      <c r="B578" s="125" t="s">
        <v>1189</v>
      </c>
      <c r="C578" s="126" t="s">
        <v>1190</v>
      </c>
      <c r="D578" s="127" t="s">
        <v>142</v>
      </c>
      <c r="E578" s="35"/>
      <c r="F578" s="128"/>
      <c r="G578" s="128"/>
      <c r="H578" s="128"/>
      <c r="I578" s="127">
        <f t="shared" si="297"/>
        <v>0</v>
      </c>
      <c r="J578" s="88"/>
      <c r="K578" s="129">
        <f t="shared" si="298"/>
        <v>561.291</v>
      </c>
      <c r="L578" s="130">
        <v>0.6</v>
      </c>
      <c r="M578" s="129">
        <f t="shared" si="299"/>
        <v>374.194</v>
      </c>
      <c r="N578" s="130">
        <f t="shared" si="300"/>
        <v>0.4</v>
      </c>
      <c r="O578" s="131">
        <f t="array" ref="O578">INDEX('LPU Regionalizada'!$B$3:$N$785,MATCH($B578,'LPU Regionalizada'!$B$3:$B$785,0),MATCH(INDEX(CTRL!$F$3:$F$29,CTRL!$E$1),'LPU Regionalizada'!$B$3:$N$3,0))</f>
        <v>935.485</v>
      </c>
      <c r="P578" s="88"/>
      <c r="Q578" s="132">
        <f t="shared" si="301"/>
        <v>0</v>
      </c>
      <c r="R578" s="132">
        <f t="shared" si="302"/>
        <v>0</v>
      </c>
      <c r="S578" s="132">
        <f t="shared" si="303"/>
        <v>0</v>
      </c>
      <c r="T578" s="133">
        <f t="shared" si="304"/>
        <v>0</v>
      </c>
      <c r="U578" s="134">
        <f t="shared" si="296"/>
        <v>0</v>
      </c>
      <c r="V578" s="135"/>
      <c r="W578" s="136"/>
      <c r="X578" s="2"/>
      <c r="Y578" s="111"/>
      <c r="Z578" s="3"/>
    </row>
    <row r="579" ht="14.25" hidden="1" customHeight="1" outlineLevel="2">
      <c r="A579" s="124"/>
      <c r="B579" s="125" t="s">
        <v>1191</v>
      </c>
      <c r="C579" s="126" t="s">
        <v>1192</v>
      </c>
      <c r="D579" s="127" t="s">
        <v>142</v>
      </c>
      <c r="E579" s="35"/>
      <c r="F579" s="128"/>
      <c r="G579" s="128"/>
      <c r="H579" s="128"/>
      <c r="I579" s="127">
        <f t="shared" si="297"/>
        <v>0</v>
      </c>
      <c r="J579" s="88"/>
      <c r="K579" s="129">
        <f t="shared" si="298"/>
        <v>449.7408</v>
      </c>
      <c r="L579" s="130">
        <v>0.6</v>
      </c>
      <c r="M579" s="129">
        <f t="shared" si="299"/>
        <v>299.8272</v>
      </c>
      <c r="N579" s="130">
        <f t="shared" si="300"/>
        <v>0.4</v>
      </c>
      <c r="O579" s="131">
        <f t="array" ref="O579">INDEX('LPU Regionalizada'!$B$3:$N$785,MATCH($B579,'LPU Regionalizada'!$B$3:$B$785,0),MATCH(INDEX(CTRL!$F$3:$F$29,CTRL!$E$1),'LPU Regionalizada'!$B$3:$N$3,0))</f>
        <v>749.568</v>
      </c>
      <c r="P579" s="88"/>
      <c r="Q579" s="132">
        <f t="shared" si="301"/>
        <v>0</v>
      </c>
      <c r="R579" s="132">
        <f t="shared" si="302"/>
        <v>0</v>
      </c>
      <c r="S579" s="132">
        <f t="shared" si="303"/>
        <v>0</v>
      </c>
      <c r="T579" s="133">
        <f t="shared" si="304"/>
        <v>0</v>
      </c>
      <c r="U579" s="134">
        <f t="shared" si="296"/>
        <v>0</v>
      </c>
      <c r="V579" s="135"/>
      <c r="W579" s="136"/>
      <c r="X579" s="2"/>
      <c r="Y579" s="111"/>
      <c r="Z579" s="3"/>
    </row>
    <row r="580" ht="14.25" hidden="1" customHeight="1" outlineLevel="2">
      <c r="A580" s="124"/>
      <c r="B580" s="125" t="s">
        <v>1193</v>
      </c>
      <c r="C580" s="126" t="s">
        <v>1194</v>
      </c>
      <c r="D580" s="127" t="s">
        <v>142</v>
      </c>
      <c r="E580" s="35"/>
      <c r="F580" s="128"/>
      <c r="G580" s="128"/>
      <c r="H580" s="128"/>
      <c r="I580" s="127">
        <f t="shared" si="297"/>
        <v>0</v>
      </c>
      <c r="J580" s="88"/>
      <c r="K580" s="129">
        <f t="shared" si="298"/>
        <v>530.6316</v>
      </c>
      <c r="L580" s="130">
        <v>0.6</v>
      </c>
      <c r="M580" s="129">
        <f t="shared" si="299"/>
        <v>353.7544</v>
      </c>
      <c r="N580" s="130">
        <f t="shared" si="300"/>
        <v>0.4</v>
      </c>
      <c r="O580" s="131">
        <f t="array" ref="O580">INDEX('LPU Regionalizada'!$B$3:$N$785,MATCH($B580,'LPU Regionalizada'!$B$3:$B$785,0),MATCH(INDEX(CTRL!$F$3:$F$29,CTRL!$E$1),'LPU Regionalizada'!$B$3:$N$3,0))</f>
        <v>884.386</v>
      </c>
      <c r="P580" s="88"/>
      <c r="Q580" s="132">
        <f t="shared" si="301"/>
        <v>0</v>
      </c>
      <c r="R580" s="132">
        <f t="shared" si="302"/>
        <v>0</v>
      </c>
      <c r="S580" s="132">
        <f t="shared" si="303"/>
        <v>0</v>
      </c>
      <c r="T580" s="133">
        <f t="shared" si="304"/>
        <v>0</v>
      </c>
      <c r="U580" s="134">
        <f t="shared" si="296"/>
        <v>0</v>
      </c>
      <c r="V580" s="135"/>
      <c r="W580" s="136"/>
      <c r="X580" s="2"/>
      <c r="Y580" s="111"/>
      <c r="Z580" s="3"/>
    </row>
    <row r="581" ht="14.25" hidden="1" customHeight="1" outlineLevel="2">
      <c r="A581" s="124"/>
      <c r="B581" s="125" t="s">
        <v>1195</v>
      </c>
      <c r="C581" s="126" t="s">
        <v>1196</v>
      </c>
      <c r="D581" s="127" t="s">
        <v>142</v>
      </c>
      <c r="E581" s="35"/>
      <c r="F581" s="128"/>
      <c r="G581" s="128"/>
      <c r="H581" s="128"/>
      <c r="I581" s="127">
        <f t="shared" si="297"/>
        <v>0</v>
      </c>
      <c r="J581" s="88"/>
      <c r="K581" s="129">
        <f t="shared" si="298"/>
        <v>289.737</v>
      </c>
      <c r="L581" s="130">
        <v>0.6</v>
      </c>
      <c r="M581" s="129">
        <f t="shared" si="299"/>
        <v>193.158</v>
      </c>
      <c r="N581" s="130">
        <f t="shared" si="300"/>
        <v>0.4</v>
      </c>
      <c r="O581" s="131">
        <f t="array" ref="O581">INDEX('LPU Regionalizada'!$B$3:$N$785,MATCH($B581,'LPU Regionalizada'!$B$3:$B$785,0),MATCH(INDEX(CTRL!$F$3:$F$29,CTRL!$E$1),'LPU Regionalizada'!$B$3:$N$3,0))</f>
        <v>482.895</v>
      </c>
      <c r="P581" s="88"/>
      <c r="Q581" s="132">
        <f t="shared" si="301"/>
        <v>0</v>
      </c>
      <c r="R581" s="132">
        <f t="shared" si="302"/>
        <v>0</v>
      </c>
      <c r="S581" s="132">
        <f t="shared" si="303"/>
        <v>0</v>
      </c>
      <c r="T581" s="133">
        <f t="shared" si="304"/>
        <v>0</v>
      </c>
      <c r="U581" s="134">
        <f t="shared" si="296"/>
        <v>0</v>
      </c>
      <c r="V581" s="135"/>
      <c r="W581" s="136"/>
      <c r="X581" s="2"/>
      <c r="Y581" s="111"/>
      <c r="Z581" s="3"/>
    </row>
    <row r="582" ht="14.25" hidden="1" customHeight="1" outlineLevel="2">
      <c r="A582" s="124"/>
      <c r="B582" s="125" t="s">
        <v>1197</v>
      </c>
      <c r="C582" s="126" t="s">
        <v>1198</v>
      </c>
      <c r="D582" s="127" t="s">
        <v>142</v>
      </c>
      <c r="E582" s="35"/>
      <c r="F582" s="128"/>
      <c r="G582" s="128"/>
      <c r="H582" s="128"/>
      <c r="I582" s="127">
        <f t="shared" si="297"/>
        <v>0</v>
      </c>
      <c r="J582" s="88"/>
      <c r="K582" s="129">
        <f t="shared" si="298"/>
        <v>312.83616</v>
      </c>
      <c r="L582" s="130">
        <v>0.6</v>
      </c>
      <c r="M582" s="129">
        <f t="shared" si="299"/>
        <v>208.55744</v>
      </c>
      <c r="N582" s="130">
        <f t="shared" si="300"/>
        <v>0.4</v>
      </c>
      <c r="O582" s="131">
        <f t="array" ref="O582">INDEX('LPU Regionalizada'!$B$3:$N$785,MATCH($B582,'LPU Regionalizada'!$B$3:$B$785,0),MATCH(INDEX(CTRL!$F$3:$F$29,CTRL!$E$1),'LPU Regionalizada'!$B$3:$N$3,0))</f>
        <v>521.3936</v>
      </c>
      <c r="P582" s="88"/>
      <c r="Q582" s="132">
        <f t="shared" si="301"/>
        <v>0</v>
      </c>
      <c r="R582" s="132">
        <f t="shared" si="302"/>
        <v>0</v>
      </c>
      <c r="S582" s="132">
        <f t="shared" si="303"/>
        <v>0</v>
      </c>
      <c r="T582" s="133">
        <f t="shared" si="304"/>
        <v>0</v>
      </c>
      <c r="U582" s="134">
        <f t="shared" si="296"/>
        <v>0</v>
      </c>
      <c r="V582" s="135"/>
      <c r="W582" s="136"/>
      <c r="X582" s="2"/>
      <c r="Y582" s="111"/>
      <c r="Z582" s="3"/>
    </row>
    <row r="583" ht="14.25" hidden="1" customHeight="1" outlineLevel="2">
      <c r="A583" s="124"/>
      <c r="B583" s="125" t="s">
        <v>1199</v>
      </c>
      <c r="C583" s="126" t="s">
        <v>1200</v>
      </c>
      <c r="D583" s="127" t="s">
        <v>142</v>
      </c>
      <c r="E583" s="35"/>
      <c r="F583" s="128"/>
      <c r="G583" s="128"/>
      <c r="H583" s="128"/>
      <c r="I583" s="127">
        <f t="shared" si="297"/>
        <v>0</v>
      </c>
      <c r="J583" s="88"/>
      <c r="K583" s="129">
        <f t="shared" si="298"/>
        <v>375.58143</v>
      </c>
      <c r="L583" s="130">
        <v>0.6</v>
      </c>
      <c r="M583" s="129">
        <f t="shared" si="299"/>
        <v>250.38762</v>
      </c>
      <c r="N583" s="130">
        <f t="shared" si="300"/>
        <v>0.4</v>
      </c>
      <c r="O583" s="131">
        <f t="array" ref="O583">INDEX('LPU Regionalizada'!$B$3:$N$785,MATCH($B583,'LPU Regionalizada'!$B$3:$B$785,0),MATCH(INDEX(CTRL!$F$3:$F$29,CTRL!$E$1),'LPU Regionalizada'!$B$3:$N$3,0))</f>
        <v>625.96905</v>
      </c>
      <c r="P583" s="88"/>
      <c r="Q583" s="132">
        <f t="shared" si="301"/>
        <v>0</v>
      </c>
      <c r="R583" s="132">
        <f t="shared" si="302"/>
        <v>0</v>
      </c>
      <c r="S583" s="132">
        <f t="shared" si="303"/>
        <v>0</v>
      </c>
      <c r="T583" s="133">
        <f t="shared" si="304"/>
        <v>0</v>
      </c>
      <c r="U583" s="134">
        <f t="shared" si="296"/>
        <v>0</v>
      </c>
      <c r="V583" s="135"/>
      <c r="W583" s="136"/>
      <c r="X583" s="2"/>
      <c r="Y583" s="111"/>
      <c r="Z583" s="3"/>
    </row>
    <row r="584" ht="14.25" hidden="1" customHeight="1" outlineLevel="2">
      <c r="A584" s="124"/>
      <c r="B584" s="125" t="s">
        <v>1201</v>
      </c>
      <c r="C584" s="126" t="s">
        <v>1202</v>
      </c>
      <c r="D584" s="127" t="s">
        <v>142</v>
      </c>
      <c r="E584" s="35"/>
      <c r="F584" s="128"/>
      <c r="G584" s="128"/>
      <c r="H584" s="128"/>
      <c r="I584" s="127">
        <f t="shared" si="297"/>
        <v>0</v>
      </c>
      <c r="J584" s="88"/>
      <c r="K584" s="129">
        <f t="shared" si="298"/>
        <v>816.162</v>
      </c>
      <c r="L584" s="130">
        <v>0.6</v>
      </c>
      <c r="M584" s="129">
        <f t="shared" si="299"/>
        <v>544.108</v>
      </c>
      <c r="N584" s="130">
        <f t="shared" si="300"/>
        <v>0.4</v>
      </c>
      <c r="O584" s="131">
        <f t="array" ref="O584">INDEX('LPU Regionalizada'!$B$3:$N$785,MATCH($B584,'LPU Regionalizada'!$B$3:$B$785,0),MATCH(INDEX(CTRL!$F$3:$F$29,CTRL!$E$1),'LPU Regionalizada'!$B$3:$N$3,0))</f>
        <v>1360.27</v>
      </c>
      <c r="P584" s="88"/>
      <c r="Q584" s="132">
        <f t="shared" si="301"/>
        <v>0</v>
      </c>
      <c r="R584" s="132">
        <f t="shared" si="302"/>
        <v>0</v>
      </c>
      <c r="S584" s="132">
        <f t="shared" si="303"/>
        <v>0</v>
      </c>
      <c r="T584" s="133">
        <f t="shared" si="304"/>
        <v>0</v>
      </c>
      <c r="U584" s="134">
        <f t="shared" si="296"/>
        <v>0</v>
      </c>
      <c r="V584" s="135"/>
      <c r="W584" s="136"/>
      <c r="X584" s="2"/>
      <c r="Y584" s="111"/>
      <c r="Z584" s="3"/>
    </row>
    <row r="585" ht="14.25" hidden="1" customHeight="1" outlineLevel="2">
      <c r="A585" s="124"/>
      <c r="B585" s="125" t="s">
        <v>1203</v>
      </c>
      <c r="C585" s="126" t="s">
        <v>1204</v>
      </c>
      <c r="D585" s="127" t="s">
        <v>142</v>
      </c>
      <c r="E585" s="35"/>
      <c r="F585" s="128"/>
      <c r="G585" s="128"/>
      <c r="H585" s="128"/>
      <c r="I585" s="127">
        <f t="shared" si="297"/>
        <v>0</v>
      </c>
      <c r="J585" s="88"/>
      <c r="K585" s="129">
        <f t="shared" si="298"/>
        <v>392.3238</v>
      </c>
      <c r="L585" s="130">
        <v>0.6</v>
      </c>
      <c r="M585" s="129">
        <f t="shared" si="299"/>
        <v>261.5492</v>
      </c>
      <c r="N585" s="130">
        <f t="shared" si="300"/>
        <v>0.4</v>
      </c>
      <c r="O585" s="131">
        <f t="array" ref="O585">INDEX('LPU Regionalizada'!$B$3:$N$785,MATCH($B585,'LPU Regionalizada'!$B$3:$B$785,0),MATCH(INDEX(CTRL!$F$3:$F$29,CTRL!$E$1),'LPU Regionalizada'!$B$3:$N$3,0))</f>
        <v>653.873</v>
      </c>
      <c r="P585" s="88"/>
      <c r="Q585" s="132">
        <f t="shared" si="301"/>
        <v>0</v>
      </c>
      <c r="R585" s="132">
        <f t="shared" si="302"/>
        <v>0</v>
      </c>
      <c r="S585" s="132">
        <f t="shared" si="303"/>
        <v>0</v>
      </c>
      <c r="T585" s="133">
        <f t="shared" si="304"/>
        <v>0</v>
      </c>
      <c r="U585" s="134">
        <f t="shared" si="296"/>
        <v>0</v>
      </c>
      <c r="V585" s="135"/>
      <c r="W585" s="136"/>
      <c r="X585" s="2"/>
      <c r="Y585" s="111"/>
      <c r="Z585" s="3"/>
    </row>
    <row r="586" ht="14.25" hidden="1" customHeight="1" outlineLevel="2">
      <c r="A586" s="124"/>
      <c r="B586" s="125" t="s">
        <v>1205</v>
      </c>
      <c r="C586" s="126" t="s">
        <v>1206</v>
      </c>
      <c r="D586" s="127" t="s">
        <v>142</v>
      </c>
      <c r="E586" s="35"/>
      <c r="F586" s="128"/>
      <c r="G586" s="128"/>
      <c r="H586" s="128"/>
      <c r="I586" s="127">
        <f t="shared" si="297"/>
        <v>0</v>
      </c>
      <c r="J586" s="88"/>
      <c r="K586" s="129">
        <f t="shared" si="298"/>
        <v>685.17696</v>
      </c>
      <c r="L586" s="130">
        <v>0.6</v>
      </c>
      <c r="M586" s="129">
        <f t="shared" si="299"/>
        <v>456.78464</v>
      </c>
      <c r="N586" s="130">
        <f t="shared" si="300"/>
        <v>0.4</v>
      </c>
      <c r="O586" s="131">
        <f t="array" ref="O586">INDEX('LPU Regionalizada'!$B$3:$N$785,MATCH($B586,'LPU Regionalizada'!$B$3:$B$785,0),MATCH(INDEX(CTRL!$F$3:$F$29,CTRL!$E$1),'LPU Regionalizada'!$B$3:$N$3,0))</f>
        <v>1141.9616</v>
      </c>
      <c r="P586" s="88"/>
      <c r="Q586" s="132">
        <f t="shared" si="301"/>
        <v>0</v>
      </c>
      <c r="R586" s="132">
        <f t="shared" si="302"/>
        <v>0</v>
      </c>
      <c r="S586" s="132">
        <f t="shared" si="303"/>
        <v>0</v>
      </c>
      <c r="T586" s="133">
        <f t="shared" si="304"/>
        <v>0</v>
      </c>
      <c r="U586" s="134">
        <f t="shared" si="296"/>
        <v>0</v>
      </c>
      <c r="V586" s="135"/>
      <c r="W586" s="136"/>
      <c r="X586" s="2"/>
      <c r="Y586" s="111"/>
      <c r="Z586" s="3"/>
    </row>
    <row r="587" ht="14.25" hidden="1" customHeight="1" outlineLevel="2">
      <c r="A587" s="124"/>
      <c r="B587" s="125" t="s">
        <v>1207</v>
      </c>
      <c r="C587" s="126" t="s">
        <v>1208</v>
      </c>
      <c r="D587" s="127" t="s">
        <v>142</v>
      </c>
      <c r="E587" s="35"/>
      <c r="F587" s="128"/>
      <c r="G587" s="128"/>
      <c r="H587" s="128"/>
      <c r="I587" s="127">
        <f t="shared" si="297"/>
        <v>0</v>
      </c>
      <c r="J587" s="88"/>
      <c r="K587" s="129">
        <f t="shared" si="298"/>
        <v>218.8116</v>
      </c>
      <c r="L587" s="130">
        <v>0.6</v>
      </c>
      <c r="M587" s="129">
        <f t="shared" si="299"/>
        <v>145.8744</v>
      </c>
      <c r="N587" s="130">
        <f t="shared" si="300"/>
        <v>0.4</v>
      </c>
      <c r="O587" s="131">
        <f t="array" ref="O587">INDEX('LPU Regionalizada'!$B$3:$N$785,MATCH($B587,'LPU Regionalizada'!$B$3:$B$785,0),MATCH(INDEX(CTRL!$F$3:$F$29,CTRL!$E$1),'LPU Regionalizada'!$B$3:$N$3,0))</f>
        <v>364.686</v>
      </c>
      <c r="P587" s="88"/>
      <c r="Q587" s="132">
        <f t="shared" si="301"/>
        <v>0</v>
      </c>
      <c r="R587" s="132">
        <f t="shared" si="302"/>
        <v>0</v>
      </c>
      <c r="S587" s="132">
        <f t="shared" si="303"/>
        <v>0</v>
      </c>
      <c r="T587" s="133">
        <f t="shared" si="304"/>
        <v>0</v>
      </c>
      <c r="U587" s="134">
        <f t="shared" si="296"/>
        <v>0</v>
      </c>
      <c r="V587" s="135"/>
      <c r="W587" s="136"/>
      <c r="X587" s="2"/>
      <c r="Y587" s="111"/>
      <c r="Z587" s="3"/>
    </row>
    <row r="588" ht="14.25" hidden="1" customHeight="1" outlineLevel="2">
      <c r="A588" s="124"/>
      <c r="B588" s="125" t="s">
        <v>1209</v>
      </c>
      <c r="C588" s="126" t="s">
        <v>1210</v>
      </c>
      <c r="D588" s="127" t="s">
        <v>142</v>
      </c>
      <c r="E588" s="35"/>
      <c r="F588" s="128"/>
      <c r="G588" s="128"/>
      <c r="H588" s="128"/>
      <c r="I588" s="127">
        <f t="shared" si="297"/>
        <v>0</v>
      </c>
      <c r="J588" s="88"/>
      <c r="K588" s="129">
        <f t="shared" si="298"/>
        <v>230.202</v>
      </c>
      <c r="L588" s="130">
        <v>0.6</v>
      </c>
      <c r="M588" s="129">
        <f t="shared" si="299"/>
        <v>153.468</v>
      </c>
      <c r="N588" s="130">
        <f t="shared" si="300"/>
        <v>0.4</v>
      </c>
      <c r="O588" s="131">
        <f t="array" ref="O588">INDEX('LPU Regionalizada'!$B$3:$N$785,MATCH($B588,'LPU Regionalizada'!$B$3:$B$785,0),MATCH(INDEX(CTRL!$F$3:$F$29,CTRL!$E$1),'LPU Regionalizada'!$B$3:$N$3,0))</f>
        <v>383.67</v>
      </c>
      <c r="P588" s="88"/>
      <c r="Q588" s="132">
        <f t="shared" si="301"/>
        <v>0</v>
      </c>
      <c r="R588" s="132">
        <f t="shared" si="302"/>
        <v>0</v>
      </c>
      <c r="S588" s="132">
        <f t="shared" si="303"/>
        <v>0</v>
      </c>
      <c r="T588" s="133">
        <f t="shared" si="304"/>
        <v>0</v>
      </c>
      <c r="U588" s="134">
        <f t="shared" si="296"/>
        <v>0</v>
      </c>
      <c r="V588" s="135"/>
      <c r="W588" s="136"/>
      <c r="X588" s="2"/>
      <c r="Y588" s="111"/>
      <c r="Z588" s="3"/>
    </row>
    <row r="589" ht="14.25" hidden="1" customHeight="1" outlineLevel="2">
      <c r="A589" s="124"/>
      <c r="B589" s="125" t="s">
        <v>1211</v>
      </c>
      <c r="C589" s="126" t="s">
        <v>1212</v>
      </c>
      <c r="D589" s="127" t="s">
        <v>142</v>
      </c>
      <c r="E589" s="35"/>
      <c r="F589" s="128"/>
      <c r="G589" s="128"/>
      <c r="H589" s="128"/>
      <c r="I589" s="127">
        <f t="shared" si="297"/>
        <v>0</v>
      </c>
      <c r="J589" s="88"/>
      <c r="K589" s="129">
        <f t="shared" si="298"/>
        <v>862.52292</v>
      </c>
      <c r="L589" s="130">
        <v>0.6</v>
      </c>
      <c r="M589" s="129">
        <f t="shared" si="299"/>
        <v>575.01528</v>
      </c>
      <c r="N589" s="130">
        <f t="shared" si="300"/>
        <v>0.4</v>
      </c>
      <c r="O589" s="131">
        <f t="array" ref="O589">INDEX('LPU Regionalizada'!$B$3:$N$785,MATCH($B589,'LPU Regionalizada'!$B$3:$B$785,0),MATCH(INDEX(CTRL!$F$3:$F$29,CTRL!$E$1),'LPU Regionalizada'!$B$3:$N$3,0))</f>
        <v>1437.5382</v>
      </c>
      <c r="P589" s="88"/>
      <c r="Q589" s="132">
        <f t="shared" si="301"/>
        <v>0</v>
      </c>
      <c r="R589" s="132">
        <f t="shared" si="302"/>
        <v>0</v>
      </c>
      <c r="S589" s="132">
        <f t="shared" si="303"/>
        <v>0</v>
      </c>
      <c r="T589" s="133">
        <f t="shared" si="304"/>
        <v>0</v>
      </c>
      <c r="U589" s="134">
        <f t="shared" si="296"/>
        <v>0</v>
      </c>
      <c r="V589" s="135"/>
      <c r="W589" s="136"/>
      <c r="X589" s="2"/>
      <c r="Y589" s="111"/>
      <c r="Z589" s="3"/>
    </row>
    <row r="590" ht="14.25" hidden="1" customHeight="1" outlineLevel="2">
      <c r="A590" s="124"/>
      <c r="B590" s="125" t="s">
        <v>1213</v>
      </c>
      <c r="C590" s="126" t="s">
        <v>1214</v>
      </c>
      <c r="D590" s="127" t="s">
        <v>142</v>
      </c>
      <c r="E590" s="35"/>
      <c r="F590" s="128"/>
      <c r="G590" s="128"/>
      <c r="H590" s="128"/>
      <c r="I590" s="127">
        <f t="shared" si="297"/>
        <v>0</v>
      </c>
      <c r="J590" s="88"/>
      <c r="K590" s="129">
        <f t="shared" si="298"/>
        <v>145.3709165</v>
      </c>
      <c r="L590" s="130">
        <v>0.6</v>
      </c>
      <c r="M590" s="129">
        <f t="shared" si="299"/>
        <v>96.91394434</v>
      </c>
      <c r="N590" s="130">
        <f t="shared" si="300"/>
        <v>0.4</v>
      </c>
      <c r="O590" s="131">
        <f t="array" ref="O590">INDEX('LPU Regionalizada'!$B$3:$N$785,MATCH($B590,'LPU Regionalizada'!$B$3:$B$785,0),MATCH(INDEX(CTRL!$F$3:$F$29,CTRL!$E$1),'LPU Regionalizada'!$B$3:$N$3,0))</f>
        <v>242.2848609</v>
      </c>
      <c r="P590" s="88"/>
      <c r="Q590" s="132">
        <f t="shared" si="301"/>
        <v>0</v>
      </c>
      <c r="R590" s="132">
        <f t="shared" si="302"/>
        <v>0</v>
      </c>
      <c r="S590" s="132">
        <f t="shared" si="303"/>
        <v>0</v>
      </c>
      <c r="T590" s="133">
        <f t="shared" si="304"/>
        <v>0</v>
      </c>
      <c r="U590" s="134">
        <f t="shared" si="296"/>
        <v>0</v>
      </c>
      <c r="V590" s="135"/>
      <c r="W590" s="136"/>
      <c r="X590" s="2"/>
      <c r="Y590" s="111"/>
      <c r="Z590" s="3"/>
    </row>
    <row r="591" ht="14.25" hidden="1" customHeight="1" outlineLevel="2">
      <c r="A591" s="124"/>
      <c r="B591" s="125" t="s">
        <v>1215</v>
      </c>
      <c r="C591" s="126" t="s">
        <v>1216</v>
      </c>
      <c r="D591" s="127" t="s">
        <v>142</v>
      </c>
      <c r="E591" s="35"/>
      <c r="F591" s="128"/>
      <c r="G591" s="128"/>
      <c r="H591" s="128"/>
      <c r="I591" s="127">
        <f t="shared" si="297"/>
        <v>0</v>
      </c>
      <c r="J591" s="88"/>
      <c r="K591" s="129">
        <f t="shared" si="298"/>
        <v>133.62948</v>
      </c>
      <c r="L591" s="130">
        <v>0.6</v>
      </c>
      <c r="M591" s="129">
        <f t="shared" si="299"/>
        <v>89.08632</v>
      </c>
      <c r="N591" s="130">
        <f t="shared" si="300"/>
        <v>0.4</v>
      </c>
      <c r="O591" s="131">
        <f t="array" ref="O591">INDEX('LPU Regionalizada'!$B$3:$N$785,MATCH($B591,'LPU Regionalizada'!$B$3:$B$785,0),MATCH(INDEX(CTRL!$F$3:$F$29,CTRL!$E$1),'LPU Regionalizada'!$B$3:$N$3,0))</f>
        <v>222.7158</v>
      </c>
      <c r="P591" s="88"/>
      <c r="Q591" s="132">
        <f t="shared" si="301"/>
        <v>0</v>
      </c>
      <c r="R591" s="132">
        <f t="shared" si="302"/>
        <v>0</v>
      </c>
      <c r="S591" s="132">
        <f t="shared" si="303"/>
        <v>0</v>
      </c>
      <c r="T591" s="133">
        <f t="shared" si="304"/>
        <v>0</v>
      </c>
      <c r="U591" s="134">
        <f t="shared" si="296"/>
        <v>0</v>
      </c>
      <c r="V591" s="135"/>
      <c r="W591" s="136"/>
      <c r="X591" s="2"/>
      <c r="Y591" s="111"/>
      <c r="Z591" s="3"/>
    </row>
    <row r="592" ht="14.25" hidden="1" customHeight="1" outlineLevel="2">
      <c r="A592" s="124"/>
      <c r="B592" s="125" t="s">
        <v>1217</v>
      </c>
      <c r="C592" s="126" t="s">
        <v>1218</v>
      </c>
      <c r="D592" s="127" t="s">
        <v>142</v>
      </c>
      <c r="E592" s="35"/>
      <c r="F592" s="128"/>
      <c r="G592" s="128"/>
      <c r="H592" s="128"/>
      <c r="I592" s="127">
        <f t="shared" si="297"/>
        <v>0</v>
      </c>
      <c r="J592" s="88"/>
      <c r="K592" s="129">
        <f t="shared" si="298"/>
        <v>142.323</v>
      </c>
      <c r="L592" s="130">
        <v>0.6</v>
      </c>
      <c r="M592" s="129">
        <f t="shared" si="299"/>
        <v>94.882</v>
      </c>
      <c r="N592" s="130">
        <f t="shared" si="300"/>
        <v>0.4</v>
      </c>
      <c r="O592" s="131">
        <f t="array" ref="O592">INDEX('LPU Regionalizada'!$B$3:$N$785,MATCH($B592,'LPU Regionalizada'!$B$3:$B$785,0),MATCH(INDEX(CTRL!$F$3:$F$29,CTRL!$E$1),'LPU Regionalizada'!$B$3:$N$3,0))</f>
        <v>237.205</v>
      </c>
      <c r="P592" s="88"/>
      <c r="Q592" s="132">
        <f t="shared" si="301"/>
        <v>0</v>
      </c>
      <c r="R592" s="132">
        <f t="shared" si="302"/>
        <v>0</v>
      </c>
      <c r="S592" s="132">
        <f t="shared" si="303"/>
        <v>0</v>
      </c>
      <c r="T592" s="133">
        <f t="shared" si="304"/>
        <v>0</v>
      </c>
      <c r="U592" s="134">
        <f t="shared" si="296"/>
        <v>0</v>
      </c>
      <c r="V592" s="135"/>
      <c r="W592" s="136"/>
      <c r="X592" s="2"/>
      <c r="Y592" s="111"/>
      <c r="Z592" s="3"/>
    </row>
    <row r="593" ht="14.25" hidden="1" customHeight="1" outlineLevel="2">
      <c r="A593" s="124"/>
      <c r="B593" s="125" t="s">
        <v>1219</v>
      </c>
      <c r="C593" s="126" t="s">
        <v>1220</v>
      </c>
      <c r="D593" s="127" t="s">
        <v>142</v>
      </c>
      <c r="E593" s="35"/>
      <c r="F593" s="128"/>
      <c r="G593" s="128"/>
      <c r="H593" s="128"/>
      <c r="I593" s="127">
        <f t="shared" si="297"/>
        <v>0</v>
      </c>
      <c r="J593" s="88"/>
      <c r="K593" s="129">
        <f t="shared" si="298"/>
        <v>175.05684</v>
      </c>
      <c r="L593" s="130">
        <v>0.6</v>
      </c>
      <c r="M593" s="129">
        <f t="shared" si="299"/>
        <v>116.70456</v>
      </c>
      <c r="N593" s="130">
        <f t="shared" si="300"/>
        <v>0.4</v>
      </c>
      <c r="O593" s="131">
        <f t="array" ref="O593">INDEX('LPU Regionalizada'!$B$3:$N$785,MATCH($B593,'LPU Regionalizada'!$B$3:$B$785,0),MATCH(INDEX(CTRL!$F$3:$F$29,CTRL!$E$1),'LPU Regionalizada'!$B$3:$N$3,0))</f>
        <v>291.7614</v>
      </c>
      <c r="P593" s="88"/>
      <c r="Q593" s="132">
        <f t="shared" si="301"/>
        <v>0</v>
      </c>
      <c r="R593" s="132">
        <f t="shared" si="302"/>
        <v>0</v>
      </c>
      <c r="S593" s="132">
        <f t="shared" si="303"/>
        <v>0</v>
      </c>
      <c r="T593" s="133">
        <f t="shared" si="304"/>
        <v>0</v>
      </c>
      <c r="U593" s="134">
        <f t="shared" si="296"/>
        <v>0</v>
      </c>
      <c r="V593" s="135"/>
      <c r="W593" s="136"/>
      <c r="X593" s="2"/>
      <c r="Y593" s="111"/>
      <c r="Z593" s="3"/>
    </row>
    <row r="594" ht="14.25" hidden="1" customHeight="1" outlineLevel="2">
      <c r="A594" s="124"/>
      <c r="B594" s="125" t="s">
        <v>1221</v>
      </c>
      <c r="C594" s="126" t="s">
        <v>1222</v>
      </c>
      <c r="D594" s="127" t="s">
        <v>142</v>
      </c>
      <c r="E594" s="35"/>
      <c r="F594" s="128"/>
      <c r="G594" s="128"/>
      <c r="H594" s="128"/>
      <c r="I594" s="127">
        <f t="shared" si="297"/>
        <v>0</v>
      </c>
      <c r="J594" s="88"/>
      <c r="K594" s="129">
        <f t="shared" si="298"/>
        <v>277.84386</v>
      </c>
      <c r="L594" s="130">
        <v>0.6</v>
      </c>
      <c r="M594" s="129">
        <f t="shared" si="299"/>
        <v>185.22924</v>
      </c>
      <c r="N594" s="130">
        <f t="shared" si="300"/>
        <v>0.4</v>
      </c>
      <c r="O594" s="131">
        <f t="array" ref="O594">INDEX('LPU Regionalizada'!$B$3:$N$785,MATCH($B594,'LPU Regionalizada'!$B$3:$B$785,0),MATCH(INDEX(CTRL!$F$3:$F$29,CTRL!$E$1),'LPU Regionalizada'!$B$3:$N$3,0))</f>
        <v>463.0731</v>
      </c>
      <c r="P594" s="88"/>
      <c r="Q594" s="132">
        <f t="shared" si="301"/>
        <v>0</v>
      </c>
      <c r="R594" s="132">
        <f t="shared" si="302"/>
        <v>0</v>
      </c>
      <c r="S594" s="132">
        <f t="shared" si="303"/>
        <v>0</v>
      </c>
      <c r="T594" s="133">
        <f t="shared" si="304"/>
        <v>0</v>
      </c>
      <c r="U594" s="134">
        <f t="shared" si="296"/>
        <v>0</v>
      </c>
      <c r="V594" s="135"/>
      <c r="W594" s="136"/>
      <c r="X594" s="2"/>
      <c r="Y594" s="111"/>
      <c r="Z594" s="3"/>
    </row>
    <row r="595" ht="14.25" hidden="1" customHeight="1" outlineLevel="2">
      <c r="A595" s="124"/>
      <c r="B595" s="125" t="s">
        <v>1223</v>
      </c>
      <c r="C595" s="126" t="s">
        <v>1224</v>
      </c>
      <c r="D595" s="127" t="s">
        <v>142</v>
      </c>
      <c r="E595" s="35"/>
      <c r="F595" s="128"/>
      <c r="G595" s="128"/>
      <c r="H595" s="128"/>
      <c r="I595" s="127">
        <f t="shared" si="297"/>
        <v>0</v>
      </c>
      <c r="J595" s="88"/>
      <c r="K595" s="129">
        <f t="shared" si="298"/>
        <v>197.5428</v>
      </c>
      <c r="L595" s="130">
        <v>0.6</v>
      </c>
      <c r="M595" s="129">
        <f t="shared" si="299"/>
        <v>131.6952</v>
      </c>
      <c r="N595" s="130">
        <f t="shared" si="300"/>
        <v>0.4</v>
      </c>
      <c r="O595" s="131">
        <f t="array" ref="O595">INDEX('LPU Regionalizada'!$B$3:$N$785,MATCH($B595,'LPU Regionalizada'!$B$3:$B$785,0),MATCH(INDEX(CTRL!$F$3:$F$29,CTRL!$E$1),'LPU Regionalizada'!$B$3:$N$3,0))</f>
        <v>329.238</v>
      </c>
      <c r="P595" s="88"/>
      <c r="Q595" s="132">
        <f t="shared" si="301"/>
        <v>0</v>
      </c>
      <c r="R595" s="132">
        <f t="shared" si="302"/>
        <v>0</v>
      </c>
      <c r="S595" s="132">
        <f t="shared" si="303"/>
        <v>0</v>
      </c>
      <c r="T595" s="133">
        <f t="shared" si="304"/>
        <v>0</v>
      </c>
      <c r="U595" s="134">
        <f t="shared" si="296"/>
        <v>0</v>
      </c>
      <c r="V595" s="135"/>
      <c r="W595" s="136"/>
      <c r="X595" s="2"/>
      <c r="Y595" s="111"/>
      <c r="Z595" s="3"/>
    </row>
    <row r="596" ht="14.25" hidden="1" customHeight="1" outlineLevel="2">
      <c r="A596" s="124"/>
      <c r="B596" s="125" t="s">
        <v>1225</v>
      </c>
      <c r="C596" s="126" t="s">
        <v>1226</v>
      </c>
      <c r="D596" s="127" t="s">
        <v>142</v>
      </c>
      <c r="E596" s="35"/>
      <c r="F596" s="128"/>
      <c r="G596" s="128"/>
      <c r="H596" s="128"/>
      <c r="I596" s="127">
        <f t="shared" si="297"/>
        <v>0</v>
      </c>
      <c r="J596" s="88"/>
      <c r="K596" s="129">
        <f t="shared" si="298"/>
        <v>378</v>
      </c>
      <c r="L596" s="130">
        <v>0.6</v>
      </c>
      <c r="M596" s="129">
        <f t="shared" si="299"/>
        <v>252</v>
      </c>
      <c r="N596" s="130">
        <f t="shared" si="300"/>
        <v>0.4</v>
      </c>
      <c r="O596" s="131">
        <f t="array" ref="O596">INDEX('LPU Regionalizada'!$B$3:$N$785,MATCH($B596,'LPU Regionalizada'!$B$3:$B$785,0),MATCH(INDEX(CTRL!$F$3:$F$29,CTRL!$E$1),'LPU Regionalizada'!$B$3:$N$3,0))</f>
        <v>630</v>
      </c>
      <c r="P596" s="88"/>
      <c r="Q596" s="132">
        <f t="shared" si="301"/>
        <v>0</v>
      </c>
      <c r="R596" s="132">
        <f t="shared" si="302"/>
        <v>0</v>
      </c>
      <c r="S596" s="132">
        <f t="shared" si="303"/>
        <v>0</v>
      </c>
      <c r="T596" s="133">
        <f t="shared" si="304"/>
        <v>0</v>
      </c>
      <c r="U596" s="134">
        <f t="shared" si="296"/>
        <v>0</v>
      </c>
      <c r="V596" s="135"/>
      <c r="W596" s="136"/>
      <c r="X596" s="2"/>
      <c r="Y596" s="111"/>
      <c r="Z596" s="3"/>
    </row>
    <row r="597" ht="14.25" hidden="1" customHeight="1" outlineLevel="2">
      <c r="A597" s="124"/>
      <c r="B597" s="125" t="s">
        <v>1227</v>
      </c>
      <c r="C597" s="126" t="s">
        <v>1228</v>
      </c>
      <c r="D597" s="127" t="s">
        <v>142</v>
      </c>
      <c r="E597" s="35"/>
      <c r="F597" s="128"/>
      <c r="G597" s="128"/>
      <c r="H597" s="128"/>
      <c r="I597" s="127">
        <f t="shared" si="297"/>
        <v>0</v>
      </c>
      <c r="J597" s="88"/>
      <c r="K597" s="129">
        <f t="shared" si="298"/>
        <v>29.9982</v>
      </c>
      <c r="L597" s="130">
        <v>0.6</v>
      </c>
      <c r="M597" s="129">
        <f t="shared" si="299"/>
        <v>19.9988</v>
      </c>
      <c r="N597" s="130">
        <f t="shared" si="300"/>
        <v>0.4</v>
      </c>
      <c r="O597" s="131">
        <f t="array" ref="O597">INDEX('LPU Regionalizada'!$B$3:$N$785,MATCH($B597,'LPU Regionalizada'!$B$3:$B$785,0),MATCH(INDEX(CTRL!$F$3:$F$29,CTRL!$E$1),'LPU Regionalizada'!$B$3:$N$3,0))</f>
        <v>49.997</v>
      </c>
      <c r="P597" s="88"/>
      <c r="Q597" s="132">
        <f t="shared" si="301"/>
        <v>0</v>
      </c>
      <c r="R597" s="132">
        <f t="shared" si="302"/>
        <v>0</v>
      </c>
      <c r="S597" s="132">
        <f t="shared" si="303"/>
        <v>0</v>
      </c>
      <c r="T597" s="133">
        <f t="shared" si="304"/>
        <v>0</v>
      </c>
      <c r="U597" s="134">
        <f t="shared" si="296"/>
        <v>0</v>
      </c>
      <c r="V597" s="135"/>
      <c r="W597" s="136"/>
      <c r="X597" s="2"/>
      <c r="Y597" s="111"/>
      <c r="Z597" s="3"/>
    </row>
    <row r="598" ht="14.25" hidden="1" customHeight="1" outlineLevel="2">
      <c r="A598" s="124"/>
      <c r="B598" s="125" t="s">
        <v>1229</v>
      </c>
      <c r="C598" s="126" t="s">
        <v>1230</v>
      </c>
      <c r="D598" s="127" t="s">
        <v>142</v>
      </c>
      <c r="E598" s="35"/>
      <c r="F598" s="128"/>
      <c r="G598" s="128"/>
      <c r="H598" s="128"/>
      <c r="I598" s="127">
        <f t="shared" si="297"/>
        <v>0</v>
      </c>
      <c r="J598" s="88"/>
      <c r="K598" s="129">
        <f t="shared" si="298"/>
        <v>118.3962</v>
      </c>
      <c r="L598" s="130">
        <v>0.6</v>
      </c>
      <c r="M598" s="129">
        <f t="shared" si="299"/>
        <v>78.9308</v>
      </c>
      <c r="N598" s="130">
        <f t="shared" si="300"/>
        <v>0.4</v>
      </c>
      <c r="O598" s="131">
        <f t="array" ref="O598">INDEX('LPU Regionalizada'!$B$3:$N$785,MATCH($B598,'LPU Regionalizada'!$B$3:$B$785,0),MATCH(INDEX(CTRL!$F$3:$F$29,CTRL!$E$1),'LPU Regionalizada'!$B$3:$N$3,0))</f>
        <v>197.327</v>
      </c>
      <c r="P598" s="88"/>
      <c r="Q598" s="132">
        <f t="shared" si="301"/>
        <v>0</v>
      </c>
      <c r="R598" s="132">
        <f t="shared" si="302"/>
        <v>0</v>
      </c>
      <c r="S598" s="132">
        <f t="shared" si="303"/>
        <v>0</v>
      </c>
      <c r="T598" s="133">
        <f t="shared" si="304"/>
        <v>0</v>
      </c>
      <c r="U598" s="134">
        <f t="shared" si="296"/>
        <v>0</v>
      </c>
      <c r="V598" s="135"/>
      <c r="W598" s="136"/>
      <c r="X598" s="2"/>
      <c r="Y598" s="111"/>
      <c r="Z598" s="3"/>
    </row>
    <row r="599" ht="14.25" hidden="1" customHeight="1" outlineLevel="2">
      <c r="A599" s="124"/>
      <c r="B599" s="125" t="s">
        <v>1231</v>
      </c>
      <c r="C599" s="126" t="s">
        <v>1232</v>
      </c>
      <c r="D599" s="127" t="s">
        <v>142</v>
      </c>
      <c r="E599" s="35"/>
      <c r="F599" s="128"/>
      <c r="G599" s="128"/>
      <c r="H599" s="128"/>
      <c r="I599" s="127">
        <f t="shared" si="297"/>
        <v>0</v>
      </c>
      <c r="J599" s="88"/>
      <c r="K599" s="129">
        <f t="shared" si="298"/>
        <v>28.75761</v>
      </c>
      <c r="L599" s="130">
        <v>0.6</v>
      </c>
      <c r="M599" s="129">
        <f t="shared" si="299"/>
        <v>19.17174</v>
      </c>
      <c r="N599" s="130">
        <f t="shared" si="300"/>
        <v>0.4</v>
      </c>
      <c r="O599" s="131">
        <f t="array" ref="O599">INDEX('LPU Regionalizada'!$B$3:$N$785,MATCH($B599,'LPU Regionalizada'!$B$3:$B$785,0),MATCH(INDEX(CTRL!$F$3:$F$29,CTRL!$E$1),'LPU Regionalizada'!$B$3:$N$3,0))</f>
        <v>47.92935</v>
      </c>
      <c r="P599" s="88"/>
      <c r="Q599" s="132">
        <f t="shared" si="301"/>
        <v>0</v>
      </c>
      <c r="R599" s="132">
        <f t="shared" si="302"/>
        <v>0</v>
      </c>
      <c r="S599" s="132">
        <f t="shared" si="303"/>
        <v>0</v>
      </c>
      <c r="T599" s="133">
        <f t="shared" si="304"/>
        <v>0</v>
      </c>
      <c r="U599" s="134">
        <f t="shared" si="296"/>
        <v>0</v>
      </c>
      <c r="V599" s="135"/>
      <c r="W599" s="136"/>
      <c r="X599" s="2"/>
      <c r="Y599" s="111"/>
      <c r="Z599" s="3"/>
    </row>
    <row r="600" ht="14.25" hidden="1" customHeight="1" outlineLevel="2">
      <c r="A600" s="124"/>
      <c r="B600" s="125" t="s">
        <v>1233</v>
      </c>
      <c r="C600" s="126" t="s">
        <v>1234</v>
      </c>
      <c r="D600" s="127" t="s">
        <v>142</v>
      </c>
      <c r="E600" s="35"/>
      <c r="F600" s="128"/>
      <c r="G600" s="128"/>
      <c r="H600" s="128"/>
      <c r="I600" s="127">
        <f t="shared" si="297"/>
        <v>0</v>
      </c>
      <c r="J600" s="88"/>
      <c r="K600" s="129">
        <f t="shared" si="298"/>
        <v>39.87554054</v>
      </c>
      <c r="L600" s="130">
        <v>0.6</v>
      </c>
      <c r="M600" s="129">
        <f t="shared" si="299"/>
        <v>26.5836937</v>
      </c>
      <c r="N600" s="130">
        <f t="shared" si="300"/>
        <v>0.4</v>
      </c>
      <c r="O600" s="131">
        <f t="array" ref="O600">INDEX('LPU Regionalizada'!$B$3:$N$785,MATCH($B600,'LPU Regionalizada'!$B$3:$B$785,0),MATCH(INDEX(CTRL!$F$3:$F$29,CTRL!$E$1),'LPU Regionalizada'!$B$3:$N$3,0))</f>
        <v>66.45923424</v>
      </c>
      <c r="P600" s="88"/>
      <c r="Q600" s="132">
        <f t="shared" si="301"/>
        <v>0</v>
      </c>
      <c r="R600" s="132">
        <f t="shared" si="302"/>
        <v>0</v>
      </c>
      <c r="S600" s="132">
        <f t="shared" si="303"/>
        <v>0</v>
      </c>
      <c r="T600" s="133">
        <f t="shared" si="304"/>
        <v>0</v>
      </c>
      <c r="U600" s="134">
        <f t="shared" si="296"/>
        <v>0</v>
      </c>
      <c r="V600" s="135"/>
      <c r="W600" s="136"/>
      <c r="X600" s="2"/>
      <c r="Y600" s="111"/>
      <c r="Z600" s="3"/>
    </row>
    <row r="601" ht="14.25" hidden="1" customHeight="1" outlineLevel="2">
      <c r="A601" s="124"/>
      <c r="B601" s="125" t="s">
        <v>1235</v>
      </c>
      <c r="C601" s="126" t="s">
        <v>1236</v>
      </c>
      <c r="D601" s="127" t="s">
        <v>142</v>
      </c>
      <c r="E601" s="35"/>
      <c r="F601" s="128"/>
      <c r="G601" s="128"/>
      <c r="H601" s="128"/>
      <c r="I601" s="127">
        <f t="shared" si="297"/>
        <v>0</v>
      </c>
      <c r="J601" s="88"/>
      <c r="K601" s="129">
        <f t="shared" si="298"/>
        <v>764.31</v>
      </c>
      <c r="L601" s="130">
        <v>0.6</v>
      </c>
      <c r="M601" s="129">
        <f t="shared" si="299"/>
        <v>509.54</v>
      </c>
      <c r="N601" s="130">
        <f t="shared" si="300"/>
        <v>0.4</v>
      </c>
      <c r="O601" s="131">
        <f t="array" ref="O601">INDEX('LPU Regionalizada'!$B$3:$N$785,MATCH($B601,'LPU Regionalizada'!$B$3:$B$785,0),MATCH(INDEX(CTRL!$F$3:$F$29,CTRL!$E$1),'LPU Regionalizada'!$B$3:$N$3,0))</f>
        <v>1273.85</v>
      </c>
      <c r="P601" s="88"/>
      <c r="Q601" s="132">
        <f t="shared" si="301"/>
        <v>0</v>
      </c>
      <c r="R601" s="132">
        <f t="shared" si="302"/>
        <v>0</v>
      </c>
      <c r="S601" s="132">
        <f t="shared" si="303"/>
        <v>0</v>
      </c>
      <c r="T601" s="133">
        <f t="shared" si="304"/>
        <v>0</v>
      </c>
      <c r="U601" s="134">
        <f t="shared" si="296"/>
        <v>0</v>
      </c>
      <c r="V601" s="135"/>
      <c r="W601" s="136"/>
      <c r="X601" s="2"/>
      <c r="Y601" s="111"/>
      <c r="Z601" s="3"/>
    </row>
    <row r="602" ht="14.25" hidden="1" customHeight="1" outlineLevel="2">
      <c r="A602" s="124"/>
      <c r="B602" s="125" t="s">
        <v>1237</v>
      </c>
      <c r="C602" s="126" t="s">
        <v>1238</v>
      </c>
      <c r="D602" s="127" t="s">
        <v>142</v>
      </c>
      <c r="E602" s="35"/>
      <c r="F602" s="128"/>
      <c r="G602" s="128"/>
      <c r="H602" s="128"/>
      <c r="I602" s="127">
        <f t="shared" si="297"/>
        <v>0</v>
      </c>
      <c r="J602" s="88"/>
      <c r="K602" s="129">
        <f t="shared" si="298"/>
        <v>568.692</v>
      </c>
      <c r="L602" s="130">
        <v>0.6</v>
      </c>
      <c r="M602" s="129">
        <f t="shared" si="299"/>
        <v>379.128</v>
      </c>
      <c r="N602" s="130">
        <f t="shared" si="300"/>
        <v>0.4</v>
      </c>
      <c r="O602" s="131">
        <f t="array" ref="O602">INDEX('LPU Regionalizada'!$B$3:$N$785,MATCH($B602,'LPU Regionalizada'!$B$3:$B$785,0),MATCH(INDEX(CTRL!$F$3:$F$29,CTRL!$E$1),'LPU Regionalizada'!$B$3:$N$3,0))</f>
        <v>947.82</v>
      </c>
      <c r="P602" s="88"/>
      <c r="Q602" s="132">
        <f t="shared" si="301"/>
        <v>0</v>
      </c>
      <c r="R602" s="132">
        <f t="shared" si="302"/>
        <v>0</v>
      </c>
      <c r="S602" s="132">
        <f t="shared" si="303"/>
        <v>0</v>
      </c>
      <c r="T602" s="133">
        <f t="shared" si="304"/>
        <v>0</v>
      </c>
      <c r="U602" s="134">
        <f t="shared" si="296"/>
        <v>0</v>
      </c>
      <c r="V602" s="135"/>
      <c r="W602" s="136"/>
      <c r="X602" s="2"/>
      <c r="Y602" s="111"/>
      <c r="Z602" s="3"/>
    </row>
    <row r="603" ht="14.25" hidden="1" customHeight="1" outlineLevel="2">
      <c r="A603" s="124"/>
      <c r="B603" s="125" t="s">
        <v>1239</v>
      </c>
      <c r="C603" s="126" t="s">
        <v>1240</v>
      </c>
      <c r="D603" s="127" t="s">
        <v>911</v>
      </c>
      <c r="E603" s="35"/>
      <c r="F603" s="128"/>
      <c r="G603" s="128"/>
      <c r="H603" s="128"/>
      <c r="I603" s="127">
        <f t="shared" si="297"/>
        <v>0</v>
      </c>
      <c r="J603" s="88"/>
      <c r="K603" s="129">
        <f t="shared" si="298"/>
        <v>271.719</v>
      </c>
      <c r="L603" s="130">
        <v>0.6</v>
      </c>
      <c r="M603" s="129">
        <f t="shared" si="299"/>
        <v>181.146</v>
      </c>
      <c r="N603" s="130">
        <f t="shared" si="300"/>
        <v>0.4</v>
      </c>
      <c r="O603" s="131">
        <f t="array" ref="O603">INDEX('LPU Regionalizada'!$B$3:$N$785,MATCH($B603,'LPU Regionalizada'!$B$3:$B$785,0),MATCH(INDEX(CTRL!$F$3:$F$29,CTRL!$E$1),'LPU Regionalizada'!$B$3:$N$3,0))</f>
        <v>452.865</v>
      </c>
      <c r="P603" s="88"/>
      <c r="Q603" s="132">
        <f t="shared" si="301"/>
        <v>0</v>
      </c>
      <c r="R603" s="132">
        <f t="shared" si="302"/>
        <v>0</v>
      </c>
      <c r="S603" s="132">
        <f t="shared" si="303"/>
        <v>0</v>
      </c>
      <c r="T603" s="133">
        <f t="shared" si="304"/>
        <v>0</v>
      </c>
      <c r="U603" s="134">
        <f t="shared" si="296"/>
        <v>0</v>
      </c>
      <c r="V603" s="135"/>
      <c r="W603" s="136"/>
      <c r="X603" s="2"/>
      <c r="Y603" s="111"/>
      <c r="Z603" s="3"/>
    </row>
    <row r="604" ht="14.25" hidden="1" customHeight="1" outlineLevel="2">
      <c r="A604" s="124"/>
      <c r="B604" s="125" t="s">
        <v>1241</v>
      </c>
      <c r="C604" s="126" t="s">
        <v>1242</v>
      </c>
      <c r="D604" s="127" t="s">
        <v>142</v>
      </c>
      <c r="E604" s="35"/>
      <c r="F604" s="128"/>
      <c r="G604" s="128"/>
      <c r="H604" s="128"/>
      <c r="I604" s="127">
        <f t="shared" si="297"/>
        <v>0</v>
      </c>
      <c r="J604" s="88"/>
      <c r="K604" s="129">
        <f t="shared" si="298"/>
        <v>216.0552</v>
      </c>
      <c r="L604" s="130">
        <v>0.6</v>
      </c>
      <c r="M604" s="129">
        <f t="shared" si="299"/>
        <v>144.0368</v>
      </c>
      <c r="N604" s="130">
        <f t="shared" si="300"/>
        <v>0.4</v>
      </c>
      <c r="O604" s="131">
        <f t="array" ref="O604">INDEX('LPU Regionalizada'!$B$3:$N$785,MATCH($B604,'LPU Regionalizada'!$B$3:$B$785,0),MATCH(INDEX(CTRL!$F$3:$F$29,CTRL!$E$1),'LPU Regionalizada'!$B$3:$N$3,0))</f>
        <v>360.092</v>
      </c>
      <c r="P604" s="88"/>
      <c r="Q604" s="132">
        <f t="shared" si="301"/>
        <v>0</v>
      </c>
      <c r="R604" s="132">
        <f t="shared" si="302"/>
        <v>0</v>
      </c>
      <c r="S604" s="132">
        <f t="shared" si="303"/>
        <v>0</v>
      </c>
      <c r="T604" s="133">
        <f t="shared" si="304"/>
        <v>0</v>
      </c>
      <c r="U604" s="134">
        <f t="shared" si="296"/>
        <v>0</v>
      </c>
      <c r="V604" s="135"/>
      <c r="W604" s="136"/>
      <c r="X604" s="2"/>
      <c r="Y604" s="111"/>
      <c r="Z604" s="3"/>
    </row>
    <row r="605" ht="14.25" hidden="1" customHeight="1" outlineLevel="2">
      <c r="A605" s="124"/>
      <c r="B605" s="125" t="s">
        <v>1243</v>
      </c>
      <c r="C605" s="126" t="s">
        <v>1244</v>
      </c>
      <c r="D605" s="127" t="s">
        <v>142</v>
      </c>
      <c r="E605" s="35"/>
      <c r="F605" s="128"/>
      <c r="G605" s="128"/>
      <c r="H605" s="128"/>
      <c r="I605" s="127">
        <f t="shared" si="297"/>
        <v>0</v>
      </c>
      <c r="J605" s="88"/>
      <c r="K605" s="129">
        <f t="shared" si="298"/>
        <v>204.762</v>
      </c>
      <c r="L605" s="130">
        <v>0.6</v>
      </c>
      <c r="M605" s="129">
        <f t="shared" si="299"/>
        <v>136.508</v>
      </c>
      <c r="N605" s="130">
        <f t="shared" si="300"/>
        <v>0.4</v>
      </c>
      <c r="O605" s="131">
        <f t="array" ref="O605">INDEX('LPU Regionalizada'!$B$3:$N$785,MATCH($B605,'LPU Regionalizada'!$B$3:$B$785,0),MATCH(INDEX(CTRL!$F$3:$F$29,CTRL!$E$1),'LPU Regionalizada'!$B$3:$N$3,0))</f>
        <v>341.27</v>
      </c>
      <c r="P605" s="88"/>
      <c r="Q605" s="132">
        <f t="shared" si="301"/>
        <v>0</v>
      </c>
      <c r="R605" s="132">
        <f t="shared" si="302"/>
        <v>0</v>
      </c>
      <c r="S605" s="132">
        <f t="shared" si="303"/>
        <v>0</v>
      </c>
      <c r="T605" s="133">
        <f t="shared" si="304"/>
        <v>0</v>
      </c>
      <c r="U605" s="134">
        <f t="shared" si="296"/>
        <v>0</v>
      </c>
      <c r="V605" s="135"/>
      <c r="W605" s="136"/>
      <c r="X605" s="2"/>
      <c r="Y605" s="111"/>
      <c r="Z605" s="3"/>
    </row>
    <row r="606" ht="14.25" hidden="1" customHeight="1" outlineLevel="2">
      <c r="A606" s="124"/>
      <c r="B606" s="125" t="s">
        <v>1245</v>
      </c>
      <c r="C606" s="126" t="s">
        <v>1246</v>
      </c>
      <c r="D606" s="127" t="s">
        <v>142</v>
      </c>
      <c r="E606" s="35"/>
      <c r="F606" s="128"/>
      <c r="G606" s="128"/>
      <c r="H606" s="128"/>
      <c r="I606" s="127">
        <f t="shared" si="297"/>
        <v>0</v>
      </c>
      <c r="J606" s="88"/>
      <c r="K606" s="129">
        <f t="shared" si="298"/>
        <v>465.378</v>
      </c>
      <c r="L606" s="130">
        <v>0.6</v>
      </c>
      <c r="M606" s="129">
        <f t="shared" si="299"/>
        <v>310.252</v>
      </c>
      <c r="N606" s="130">
        <f t="shared" si="300"/>
        <v>0.4</v>
      </c>
      <c r="O606" s="131">
        <f t="array" ref="O606">INDEX('LPU Regionalizada'!$B$3:$N$785,MATCH($B606,'LPU Regionalizada'!$B$3:$B$785,0),MATCH(INDEX(CTRL!$F$3:$F$29,CTRL!$E$1),'LPU Regionalizada'!$B$3:$N$3,0))</f>
        <v>775.63</v>
      </c>
      <c r="P606" s="88"/>
      <c r="Q606" s="132">
        <f t="shared" si="301"/>
        <v>0</v>
      </c>
      <c r="R606" s="132">
        <f t="shared" si="302"/>
        <v>0</v>
      </c>
      <c r="S606" s="132">
        <f t="shared" si="303"/>
        <v>0</v>
      </c>
      <c r="T606" s="133">
        <f t="shared" si="304"/>
        <v>0</v>
      </c>
      <c r="U606" s="134">
        <f t="shared" si="296"/>
        <v>0</v>
      </c>
      <c r="V606" s="135"/>
      <c r="W606" s="136"/>
      <c r="X606" s="2"/>
      <c r="Y606" s="111"/>
      <c r="Z606" s="3"/>
    </row>
    <row r="607" ht="14.25" hidden="1" customHeight="1" outlineLevel="2">
      <c r="A607" s="124"/>
      <c r="B607" s="125" t="s">
        <v>1247</v>
      </c>
      <c r="C607" s="126" t="s">
        <v>1248</v>
      </c>
      <c r="D607" s="127" t="s">
        <v>142</v>
      </c>
      <c r="E607" s="35"/>
      <c r="F607" s="128"/>
      <c r="G607" s="128"/>
      <c r="H607" s="128"/>
      <c r="I607" s="127">
        <f t="shared" si="297"/>
        <v>0</v>
      </c>
      <c r="J607" s="88"/>
      <c r="K607" s="129">
        <f t="shared" si="298"/>
        <v>243.93942</v>
      </c>
      <c r="L607" s="130">
        <v>0.6</v>
      </c>
      <c r="M607" s="129">
        <f t="shared" si="299"/>
        <v>162.62628</v>
      </c>
      <c r="N607" s="130">
        <f t="shared" si="300"/>
        <v>0.4</v>
      </c>
      <c r="O607" s="131">
        <f t="array" ref="O607">INDEX('LPU Regionalizada'!$B$3:$N$785,MATCH($B607,'LPU Regionalizada'!$B$3:$B$785,0),MATCH(INDEX(CTRL!$F$3:$F$29,CTRL!$E$1),'LPU Regionalizada'!$B$3:$N$3,0))</f>
        <v>406.5657</v>
      </c>
      <c r="P607" s="88"/>
      <c r="Q607" s="132">
        <f t="shared" si="301"/>
        <v>0</v>
      </c>
      <c r="R607" s="132">
        <f t="shared" si="302"/>
        <v>0</v>
      </c>
      <c r="S607" s="132">
        <f t="shared" si="303"/>
        <v>0</v>
      </c>
      <c r="T607" s="133">
        <f t="shared" si="304"/>
        <v>0</v>
      </c>
      <c r="U607" s="134">
        <f t="shared" si="296"/>
        <v>0</v>
      </c>
      <c r="V607" s="135"/>
      <c r="W607" s="136"/>
      <c r="X607" s="2"/>
      <c r="Y607" s="111"/>
      <c r="Z607" s="3"/>
    </row>
    <row r="608" ht="14.25" hidden="1" customHeight="1" outlineLevel="1">
      <c r="A608" s="112"/>
      <c r="B608" s="113" t="s">
        <v>1249</v>
      </c>
      <c r="C608" s="114" t="s">
        <v>1250</v>
      </c>
      <c r="D608" s="115"/>
      <c r="E608" s="35"/>
      <c r="F608" s="113"/>
      <c r="G608" s="116"/>
      <c r="H608" s="116"/>
      <c r="I608" s="115"/>
      <c r="J608" s="88"/>
      <c r="K608" s="117"/>
      <c r="L608" s="118"/>
      <c r="M608" s="118"/>
      <c r="N608" s="118"/>
      <c r="O608" s="119"/>
      <c r="P608" s="88"/>
      <c r="Q608" s="120"/>
      <c r="R608" s="120"/>
      <c r="S608" s="120"/>
      <c r="T608" s="120">
        <f>SUM(T609:T637)</f>
        <v>0</v>
      </c>
      <c r="U608" s="121">
        <f t="shared" si="296"/>
        <v>0</v>
      </c>
      <c r="V608" s="122"/>
      <c r="W608" s="123"/>
      <c r="X608" s="2"/>
      <c r="Y608" s="111"/>
      <c r="Z608" s="3"/>
    </row>
    <row r="609" ht="14.25" hidden="1" customHeight="1" outlineLevel="2">
      <c r="A609" s="124"/>
      <c r="B609" s="125" t="s">
        <v>1251</v>
      </c>
      <c r="C609" s="126" t="s">
        <v>1252</v>
      </c>
      <c r="D609" s="127" t="s">
        <v>142</v>
      </c>
      <c r="E609" s="35"/>
      <c r="F609" s="128"/>
      <c r="G609" s="128"/>
      <c r="H609" s="128"/>
      <c r="I609" s="127">
        <f t="shared" ref="I609:I637" si="305">F609+G609+H609</f>
        <v>0</v>
      </c>
      <c r="J609" s="88"/>
      <c r="K609" s="129">
        <f t="shared" ref="K609:K637" si="306">L609*O609</f>
        <v>44.05844412</v>
      </c>
      <c r="L609" s="130">
        <v>0.6</v>
      </c>
      <c r="M609" s="129">
        <f t="shared" ref="M609:M637" si="307">N609*O609</f>
        <v>29.37229608</v>
      </c>
      <c r="N609" s="130">
        <f t="shared" ref="N609:N637" si="308">100%-L609</f>
        <v>0.4</v>
      </c>
      <c r="O609" s="131">
        <f t="array" ref="O609">INDEX('LPU Regionalizada'!$B$3:$N$785,MATCH($B609,'LPU Regionalizada'!$B$3:$B$785,0),MATCH(INDEX(CTRL!$F$3:$F$29,CTRL!$E$1),'LPU Regionalizada'!$B$3:$N$3,0))</f>
        <v>73.4307402</v>
      </c>
      <c r="P609" s="88"/>
      <c r="Q609" s="132">
        <f t="shared" ref="Q609:Q637" si="309">F609*O609</f>
        <v>0</v>
      </c>
      <c r="R609" s="132">
        <f t="shared" ref="R609:R637" si="310">G609*O609</f>
        <v>0</v>
      </c>
      <c r="S609" s="132">
        <f t="shared" ref="S609:S637" si="311">H609*O609</f>
        <v>0</v>
      </c>
      <c r="T609" s="133">
        <f t="shared" ref="T609:T637" si="312">SUM(Q609:S609)</f>
        <v>0</v>
      </c>
      <c r="U609" s="134">
        <f t="shared" si="296"/>
        <v>0</v>
      </c>
      <c r="V609" s="135"/>
      <c r="W609" s="136"/>
      <c r="X609" s="2"/>
      <c r="Y609" s="111"/>
      <c r="Z609" s="3"/>
    </row>
    <row r="610" ht="14.25" hidden="1" customHeight="1" outlineLevel="2">
      <c r="A610" s="124"/>
      <c r="B610" s="125" t="s">
        <v>1253</v>
      </c>
      <c r="C610" s="126" t="s">
        <v>1254</v>
      </c>
      <c r="D610" s="127" t="s">
        <v>142</v>
      </c>
      <c r="E610" s="35"/>
      <c r="F610" s="128"/>
      <c r="G610" s="128"/>
      <c r="H610" s="128"/>
      <c r="I610" s="127">
        <f t="shared" si="305"/>
        <v>0</v>
      </c>
      <c r="J610" s="88"/>
      <c r="K610" s="129">
        <f t="shared" si="306"/>
        <v>69.34000943</v>
      </c>
      <c r="L610" s="130">
        <v>0.6</v>
      </c>
      <c r="M610" s="129">
        <f t="shared" si="307"/>
        <v>46.22667295</v>
      </c>
      <c r="N610" s="130">
        <f t="shared" si="308"/>
        <v>0.4</v>
      </c>
      <c r="O610" s="131">
        <f t="array" ref="O610">INDEX('LPU Regionalizada'!$B$3:$N$785,MATCH($B610,'LPU Regionalizada'!$B$3:$B$785,0),MATCH(INDEX(CTRL!$F$3:$F$29,CTRL!$E$1),'LPU Regionalizada'!$B$3:$N$3,0))</f>
        <v>115.5666824</v>
      </c>
      <c r="P610" s="88"/>
      <c r="Q610" s="132">
        <f t="shared" si="309"/>
        <v>0</v>
      </c>
      <c r="R610" s="132">
        <f t="shared" si="310"/>
        <v>0</v>
      </c>
      <c r="S610" s="132">
        <f t="shared" si="311"/>
        <v>0</v>
      </c>
      <c r="T610" s="133">
        <f t="shared" si="312"/>
        <v>0</v>
      </c>
      <c r="U610" s="134">
        <f t="shared" si="296"/>
        <v>0</v>
      </c>
      <c r="V610" s="135"/>
      <c r="W610" s="136"/>
      <c r="X610" s="2"/>
      <c r="Y610" s="111"/>
      <c r="Z610" s="3"/>
    </row>
    <row r="611" ht="14.25" hidden="1" customHeight="1" outlineLevel="2">
      <c r="A611" s="124"/>
      <c r="B611" s="125" t="s">
        <v>1255</v>
      </c>
      <c r="C611" s="126" t="s">
        <v>1256</v>
      </c>
      <c r="D611" s="127" t="s">
        <v>142</v>
      </c>
      <c r="E611" s="35"/>
      <c r="F611" s="128"/>
      <c r="G611" s="128"/>
      <c r="H611" s="128"/>
      <c r="I611" s="127">
        <f t="shared" si="305"/>
        <v>0</v>
      </c>
      <c r="J611" s="88"/>
      <c r="K611" s="129">
        <f t="shared" si="306"/>
        <v>101.5207078</v>
      </c>
      <c r="L611" s="130">
        <v>0.6</v>
      </c>
      <c r="M611" s="129">
        <f t="shared" si="307"/>
        <v>67.68047187</v>
      </c>
      <c r="N611" s="130">
        <f t="shared" si="308"/>
        <v>0.4</v>
      </c>
      <c r="O611" s="131">
        <f t="array" ref="O611">INDEX('LPU Regionalizada'!$B$3:$N$785,MATCH($B611,'LPU Regionalizada'!$B$3:$B$785,0),MATCH(INDEX(CTRL!$F$3:$F$29,CTRL!$E$1),'LPU Regionalizada'!$B$3:$N$3,0))</f>
        <v>169.2011797</v>
      </c>
      <c r="P611" s="88"/>
      <c r="Q611" s="132">
        <f t="shared" si="309"/>
        <v>0</v>
      </c>
      <c r="R611" s="132">
        <f t="shared" si="310"/>
        <v>0</v>
      </c>
      <c r="S611" s="132">
        <f t="shared" si="311"/>
        <v>0</v>
      </c>
      <c r="T611" s="133">
        <f t="shared" si="312"/>
        <v>0</v>
      </c>
      <c r="U611" s="134">
        <f t="shared" si="296"/>
        <v>0</v>
      </c>
      <c r="V611" s="135"/>
      <c r="W611" s="136"/>
      <c r="X611" s="2"/>
      <c r="Y611" s="111"/>
      <c r="Z611" s="3"/>
    </row>
    <row r="612" ht="14.25" hidden="1" customHeight="1" outlineLevel="2">
      <c r="A612" s="124"/>
      <c r="B612" s="125" t="s">
        <v>1257</v>
      </c>
      <c r="C612" s="126" t="s">
        <v>1258</v>
      </c>
      <c r="D612" s="127" t="s">
        <v>142</v>
      </c>
      <c r="E612" s="35"/>
      <c r="F612" s="128"/>
      <c r="G612" s="128"/>
      <c r="H612" s="128"/>
      <c r="I612" s="127">
        <f t="shared" si="305"/>
        <v>0</v>
      </c>
      <c r="J612" s="88"/>
      <c r="K612" s="129">
        <f t="shared" si="306"/>
        <v>18.20601859</v>
      </c>
      <c r="L612" s="130">
        <v>0.6</v>
      </c>
      <c r="M612" s="129">
        <f t="shared" si="307"/>
        <v>12.13734573</v>
      </c>
      <c r="N612" s="130">
        <f t="shared" si="308"/>
        <v>0.4</v>
      </c>
      <c r="O612" s="131">
        <f t="array" ref="O612">INDEX('LPU Regionalizada'!$B$3:$N$785,MATCH($B612,'LPU Regionalizada'!$B$3:$B$785,0),MATCH(INDEX(CTRL!$F$3:$F$29,CTRL!$E$1),'LPU Regionalizada'!$B$3:$N$3,0))</f>
        <v>30.34336431</v>
      </c>
      <c r="P612" s="88"/>
      <c r="Q612" s="132">
        <f t="shared" si="309"/>
        <v>0</v>
      </c>
      <c r="R612" s="132">
        <f t="shared" si="310"/>
        <v>0</v>
      </c>
      <c r="S612" s="132">
        <f t="shared" si="311"/>
        <v>0</v>
      </c>
      <c r="T612" s="133">
        <f t="shared" si="312"/>
        <v>0</v>
      </c>
      <c r="U612" s="134">
        <f t="shared" si="296"/>
        <v>0</v>
      </c>
      <c r="V612" s="135"/>
      <c r="W612" s="136"/>
      <c r="X612" s="2"/>
      <c r="Y612" s="111"/>
      <c r="Z612" s="3"/>
    </row>
    <row r="613" ht="14.25" hidden="1" customHeight="1" outlineLevel="2">
      <c r="A613" s="124"/>
      <c r="B613" s="125" t="s">
        <v>1259</v>
      </c>
      <c r="C613" s="126" t="s">
        <v>1260</v>
      </c>
      <c r="D613" s="127" t="s">
        <v>142</v>
      </c>
      <c r="E613" s="35"/>
      <c r="F613" s="128"/>
      <c r="G613" s="128"/>
      <c r="H613" s="128"/>
      <c r="I613" s="127">
        <f t="shared" si="305"/>
        <v>0</v>
      </c>
      <c r="J613" s="88"/>
      <c r="K613" s="129">
        <f t="shared" si="306"/>
        <v>22.08352701</v>
      </c>
      <c r="L613" s="130">
        <v>0.6</v>
      </c>
      <c r="M613" s="129">
        <f t="shared" si="307"/>
        <v>14.72235134</v>
      </c>
      <c r="N613" s="130">
        <f t="shared" si="308"/>
        <v>0.4</v>
      </c>
      <c r="O613" s="131">
        <f t="array" ref="O613">INDEX('LPU Regionalizada'!$B$3:$N$785,MATCH($B613,'LPU Regionalizada'!$B$3:$B$785,0),MATCH(INDEX(CTRL!$F$3:$F$29,CTRL!$E$1),'LPU Regionalizada'!$B$3:$N$3,0))</f>
        <v>36.80587835</v>
      </c>
      <c r="P613" s="88"/>
      <c r="Q613" s="132">
        <f t="shared" si="309"/>
        <v>0</v>
      </c>
      <c r="R613" s="132">
        <f t="shared" si="310"/>
        <v>0</v>
      </c>
      <c r="S613" s="132">
        <f t="shared" si="311"/>
        <v>0</v>
      </c>
      <c r="T613" s="133">
        <f t="shared" si="312"/>
        <v>0</v>
      </c>
      <c r="U613" s="134">
        <f t="shared" si="296"/>
        <v>0</v>
      </c>
      <c r="V613" s="135"/>
      <c r="W613" s="136"/>
      <c r="X613" s="2"/>
      <c r="Y613" s="111"/>
      <c r="Z613" s="3"/>
    </row>
    <row r="614" ht="14.25" hidden="1" customHeight="1" outlineLevel="2">
      <c r="A614" s="124"/>
      <c r="B614" s="125" t="s">
        <v>1261</v>
      </c>
      <c r="C614" s="126" t="s">
        <v>1262</v>
      </c>
      <c r="D614" s="127" t="s">
        <v>142</v>
      </c>
      <c r="E614" s="35"/>
      <c r="F614" s="128"/>
      <c r="G614" s="128"/>
      <c r="H614" s="128"/>
      <c r="I614" s="127">
        <f t="shared" si="305"/>
        <v>0</v>
      </c>
      <c r="J614" s="88"/>
      <c r="K614" s="129">
        <f t="shared" si="306"/>
        <v>30.223152</v>
      </c>
      <c r="L614" s="130">
        <v>0.6</v>
      </c>
      <c r="M614" s="129">
        <f t="shared" si="307"/>
        <v>20.148768</v>
      </c>
      <c r="N614" s="130">
        <f t="shared" si="308"/>
        <v>0.4</v>
      </c>
      <c r="O614" s="131">
        <f t="array" ref="O614">INDEX('LPU Regionalizada'!$B$3:$N$785,MATCH($B614,'LPU Regionalizada'!$B$3:$B$785,0),MATCH(INDEX(CTRL!$F$3:$F$29,CTRL!$E$1),'LPU Regionalizada'!$B$3:$N$3,0))</f>
        <v>50.37192</v>
      </c>
      <c r="P614" s="88"/>
      <c r="Q614" s="132">
        <f t="shared" si="309"/>
        <v>0</v>
      </c>
      <c r="R614" s="132">
        <f t="shared" si="310"/>
        <v>0</v>
      </c>
      <c r="S614" s="132">
        <f t="shared" si="311"/>
        <v>0</v>
      </c>
      <c r="T614" s="133">
        <f t="shared" si="312"/>
        <v>0</v>
      </c>
      <c r="U614" s="134">
        <f t="shared" si="296"/>
        <v>0</v>
      </c>
      <c r="V614" s="135"/>
      <c r="W614" s="136"/>
      <c r="X614" s="2"/>
      <c r="Y614" s="111"/>
      <c r="Z614" s="3"/>
    </row>
    <row r="615" ht="14.25" hidden="1" customHeight="1" outlineLevel="2">
      <c r="A615" s="124"/>
      <c r="B615" s="125" t="s">
        <v>1263</v>
      </c>
      <c r="C615" s="126" t="s">
        <v>1264</v>
      </c>
      <c r="D615" s="127" t="s">
        <v>142</v>
      </c>
      <c r="E615" s="35"/>
      <c r="F615" s="128"/>
      <c r="G615" s="128"/>
      <c r="H615" s="128"/>
      <c r="I615" s="127">
        <f t="shared" si="305"/>
        <v>0</v>
      </c>
      <c r="J615" s="88"/>
      <c r="K615" s="129">
        <f t="shared" si="306"/>
        <v>39.393504</v>
      </c>
      <c r="L615" s="130">
        <v>0.6</v>
      </c>
      <c r="M615" s="129">
        <f t="shared" si="307"/>
        <v>26.262336</v>
      </c>
      <c r="N615" s="130">
        <f t="shared" si="308"/>
        <v>0.4</v>
      </c>
      <c r="O615" s="131">
        <f t="array" ref="O615">INDEX('LPU Regionalizada'!$B$3:$N$785,MATCH($B615,'LPU Regionalizada'!$B$3:$B$785,0),MATCH(INDEX(CTRL!$F$3:$F$29,CTRL!$E$1),'LPU Regionalizada'!$B$3:$N$3,0))</f>
        <v>65.65584</v>
      </c>
      <c r="P615" s="88"/>
      <c r="Q615" s="132">
        <f t="shared" si="309"/>
        <v>0</v>
      </c>
      <c r="R615" s="132">
        <f t="shared" si="310"/>
        <v>0</v>
      </c>
      <c r="S615" s="132">
        <f t="shared" si="311"/>
        <v>0</v>
      </c>
      <c r="T615" s="133">
        <f t="shared" si="312"/>
        <v>0</v>
      </c>
      <c r="U615" s="134">
        <f t="shared" si="296"/>
        <v>0</v>
      </c>
      <c r="V615" s="135"/>
      <c r="W615" s="136"/>
      <c r="X615" s="2"/>
      <c r="Y615" s="111"/>
      <c r="Z615" s="3"/>
    </row>
    <row r="616" ht="14.25" hidden="1" customHeight="1" outlineLevel="2">
      <c r="A616" s="124"/>
      <c r="B616" s="125" t="s">
        <v>1265</v>
      </c>
      <c r="C616" s="126" t="s">
        <v>1266</v>
      </c>
      <c r="D616" s="127" t="s">
        <v>142</v>
      </c>
      <c r="E616" s="35"/>
      <c r="F616" s="128"/>
      <c r="G616" s="128"/>
      <c r="H616" s="128"/>
      <c r="I616" s="127">
        <f t="shared" si="305"/>
        <v>0</v>
      </c>
      <c r="J616" s="88"/>
      <c r="K616" s="129">
        <f t="shared" si="306"/>
        <v>43.87032</v>
      </c>
      <c r="L616" s="130">
        <v>0.6</v>
      </c>
      <c r="M616" s="129">
        <f t="shared" si="307"/>
        <v>29.24688</v>
      </c>
      <c r="N616" s="130">
        <f t="shared" si="308"/>
        <v>0.4</v>
      </c>
      <c r="O616" s="131">
        <f t="array" ref="O616">INDEX('LPU Regionalizada'!$B$3:$N$785,MATCH($B616,'LPU Regionalizada'!$B$3:$B$785,0),MATCH(INDEX(CTRL!$F$3:$F$29,CTRL!$E$1),'LPU Regionalizada'!$B$3:$N$3,0))</f>
        <v>73.1172</v>
      </c>
      <c r="P616" s="88"/>
      <c r="Q616" s="132">
        <f t="shared" si="309"/>
        <v>0</v>
      </c>
      <c r="R616" s="132">
        <f t="shared" si="310"/>
        <v>0</v>
      </c>
      <c r="S616" s="132">
        <f t="shared" si="311"/>
        <v>0</v>
      </c>
      <c r="T616" s="133">
        <f t="shared" si="312"/>
        <v>0</v>
      </c>
      <c r="U616" s="134">
        <f t="shared" si="296"/>
        <v>0</v>
      </c>
      <c r="V616" s="135"/>
      <c r="W616" s="136"/>
      <c r="X616" s="2"/>
      <c r="Y616" s="111"/>
      <c r="Z616" s="3"/>
    </row>
    <row r="617" ht="14.25" hidden="1" customHeight="1" outlineLevel="2">
      <c r="A617" s="124"/>
      <c r="B617" s="125" t="s">
        <v>1267</v>
      </c>
      <c r="C617" s="126" t="s">
        <v>1268</v>
      </c>
      <c r="D617" s="127" t="s">
        <v>142</v>
      </c>
      <c r="E617" s="35"/>
      <c r="F617" s="128"/>
      <c r="G617" s="128"/>
      <c r="H617" s="128"/>
      <c r="I617" s="127">
        <f t="shared" si="305"/>
        <v>0</v>
      </c>
      <c r="J617" s="88"/>
      <c r="K617" s="129">
        <f t="shared" si="306"/>
        <v>66.53036129</v>
      </c>
      <c r="L617" s="130">
        <v>0.6</v>
      </c>
      <c r="M617" s="129">
        <f t="shared" si="307"/>
        <v>44.35357419</v>
      </c>
      <c r="N617" s="130">
        <f t="shared" si="308"/>
        <v>0.4</v>
      </c>
      <c r="O617" s="131">
        <f t="array" ref="O617">INDEX('LPU Regionalizada'!$B$3:$N$785,MATCH($B617,'LPU Regionalizada'!$B$3:$B$785,0),MATCH(INDEX(CTRL!$F$3:$F$29,CTRL!$E$1),'LPU Regionalizada'!$B$3:$N$3,0))</f>
        <v>110.8839355</v>
      </c>
      <c r="P617" s="88"/>
      <c r="Q617" s="132">
        <f t="shared" si="309"/>
        <v>0</v>
      </c>
      <c r="R617" s="132">
        <f t="shared" si="310"/>
        <v>0</v>
      </c>
      <c r="S617" s="132">
        <f t="shared" si="311"/>
        <v>0</v>
      </c>
      <c r="T617" s="133">
        <f t="shared" si="312"/>
        <v>0</v>
      </c>
      <c r="U617" s="134">
        <f t="shared" si="296"/>
        <v>0</v>
      </c>
      <c r="V617" s="135"/>
      <c r="W617" s="136"/>
      <c r="X617" s="2"/>
      <c r="Y617" s="111"/>
      <c r="Z617" s="3"/>
    </row>
    <row r="618" ht="14.25" hidden="1" customHeight="1" outlineLevel="2">
      <c r="A618" s="124"/>
      <c r="B618" s="125" t="s">
        <v>1269</v>
      </c>
      <c r="C618" s="126" t="s">
        <v>1270</v>
      </c>
      <c r="D618" s="127" t="s">
        <v>142</v>
      </c>
      <c r="E618" s="35"/>
      <c r="F618" s="128"/>
      <c r="G618" s="128"/>
      <c r="H618" s="128"/>
      <c r="I618" s="127">
        <f t="shared" si="305"/>
        <v>0</v>
      </c>
      <c r="J618" s="88"/>
      <c r="K618" s="129">
        <f t="shared" si="306"/>
        <v>114.0096789</v>
      </c>
      <c r="L618" s="130">
        <v>0.6</v>
      </c>
      <c r="M618" s="129">
        <f t="shared" si="307"/>
        <v>76.00645259</v>
      </c>
      <c r="N618" s="130">
        <f t="shared" si="308"/>
        <v>0.4</v>
      </c>
      <c r="O618" s="131">
        <f t="array" ref="O618">INDEX('LPU Regionalizada'!$B$3:$N$785,MATCH($B618,'LPU Regionalizada'!$B$3:$B$785,0),MATCH(INDEX(CTRL!$F$3:$F$29,CTRL!$E$1),'LPU Regionalizada'!$B$3:$N$3,0))</f>
        <v>190.0161315</v>
      </c>
      <c r="P618" s="88"/>
      <c r="Q618" s="132">
        <f t="shared" si="309"/>
        <v>0</v>
      </c>
      <c r="R618" s="132">
        <f t="shared" si="310"/>
        <v>0</v>
      </c>
      <c r="S618" s="132">
        <f t="shared" si="311"/>
        <v>0</v>
      </c>
      <c r="T618" s="133">
        <f t="shared" si="312"/>
        <v>0</v>
      </c>
      <c r="U618" s="134">
        <f t="shared" si="296"/>
        <v>0</v>
      </c>
      <c r="V618" s="135"/>
      <c r="W618" s="136"/>
      <c r="X618" s="2"/>
      <c r="Y618" s="111"/>
      <c r="Z618" s="3"/>
    </row>
    <row r="619" ht="14.25" hidden="1" customHeight="1" outlineLevel="2">
      <c r="A619" s="124"/>
      <c r="B619" s="125" t="s">
        <v>1271</v>
      </c>
      <c r="C619" s="126" t="s">
        <v>1272</v>
      </c>
      <c r="D619" s="127" t="s">
        <v>142</v>
      </c>
      <c r="E619" s="35"/>
      <c r="F619" s="128"/>
      <c r="G619" s="128"/>
      <c r="H619" s="128"/>
      <c r="I619" s="127">
        <f t="shared" si="305"/>
        <v>0</v>
      </c>
      <c r="J619" s="88"/>
      <c r="K619" s="129">
        <f t="shared" si="306"/>
        <v>193.056</v>
      </c>
      <c r="L619" s="130">
        <v>0.6</v>
      </c>
      <c r="M619" s="129">
        <f t="shared" si="307"/>
        <v>128.704</v>
      </c>
      <c r="N619" s="130">
        <f t="shared" si="308"/>
        <v>0.4</v>
      </c>
      <c r="O619" s="131">
        <f t="array" ref="O619">INDEX('LPU Regionalizada'!$B$3:$N$785,MATCH($B619,'LPU Regionalizada'!$B$3:$B$785,0),MATCH(INDEX(CTRL!$F$3:$F$29,CTRL!$E$1),'LPU Regionalizada'!$B$3:$N$3,0))</f>
        <v>321.76</v>
      </c>
      <c r="P619" s="88"/>
      <c r="Q619" s="132">
        <f t="shared" si="309"/>
        <v>0</v>
      </c>
      <c r="R619" s="132">
        <f t="shared" si="310"/>
        <v>0</v>
      </c>
      <c r="S619" s="132">
        <f t="shared" si="311"/>
        <v>0</v>
      </c>
      <c r="T619" s="133">
        <f t="shared" si="312"/>
        <v>0</v>
      </c>
      <c r="U619" s="134">
        <f t="shared" si="296"/>
        <v>0</v>
      </c>
      <c r="V619" s="135"/>
      <c r="W619" s="136"/>
      <c r="X619" s="2"/>
      <c r="Y619" s="111"/>
      <c r="Z619" s="3"/>
    </row>
    <row r="620" ht="14.25" hidden="1" customHeight="1" outlineLevel="2">
      <c r="A620" s="124"/>
      <c r="B620" s="125" t="s">
        <v>1273</v>
      </c>
      <c r="C620" s="126" t="s">
        <v>1274</v>
      </c>
      <c r="D620" s="127" t="s">
        <v>142</v>
      </c>
      <c r="E620" s="35"/>
      <c r="F620" s="128"/>
      <c r="G620" s="128"/>
      <c r="H620" s="128"/>
      <c r="I620" s="127">
        <f t="shared" si="305"/>
        <v>0</v>
      </c>
      <c r="J620" s="88"/>
      <c r="K620" s="129">
        <f t="shared" si="306"/>
        <v>362.069697</v>
      </c>
      <c r="L620" s="130">
        <v>0.6</v>
      </c>
      <c r="M620" s="129">
        <f t="shared" si="307"/>
        <v>241.379798</v>
      </c>
      <c r="N620" s="130">
        <f t="shared" si="308"/>
        <v>0.4</v>
      </c>
      <c r="O620" s="131">
        <f t="array" ref="O620">INDEX('LPU Regionalizada'!$B$3:$N$785,MATCH($B620,'LPU Regionalizada'!$B$3:$B$785,0),MATCH(INDEX(CTRL!$F$3:$F$29,CTRL!$E$1),'LPU Regionalizada'!$B$3:$N$3,0))</f>
        <v>603.449495</v>
      </c>
      <c r="P620" s="88"/>
      <c r="Q620" s="132">
        <f t="shared" si="309"/>
        <v>0</v>
      </c>
      <c r="R620" s="132">
        <f t="shared" si="310"/>
        <v>0</v>
      </c>
      <c r="S620" s="132">
        <f t="shared" si="311"/>
        <v>0</v>
      </c>
      <c r="T620" s="133">
        <f t="shared" si="312"/>
        <v>0</v>
      </c>
      <c r="U620" s="134">
        <f t="shared" si="296"/>
        <v>0</v>
      </c>
      <c r="V620" s="135"/>
      <c r="W620" s="136"/>
      <c r="X620" s="2"/>
      <c r="Y620" s="111"/>
      <c r="Z620" s="3"/>
    </row>
    <row r="621" ht="14.25" hidden="1" customHeight="1" outlineLevel="2">
      <c r="A621" s="124"/>
      <c r="B621" s="125" t="s">
        <v>1275</v>
      </c>
      <c r="C621" s="126" t="s">
        <v>1276</v>
      </c>
      <c r="D621" s="127" t="s">
        <v>142</v>
      </c>
      <c r="E621" s="35"/>
      <c r="F621" s="128"/>
      <c r="G621" s="128"/>
      <c r="H621" s="128"/>
      <c r="I621" s="127">
        <f t="shared" si="305"/>
        <v>0</v>
      </c>
      <c r="J621" s="88"/>
      <c r="K621" s="129">
        <f t="shared" si="306"/>
        <v>38.56638316</v>
      </c>
      <c r="L621" s="130">
        <v>0.6</v>
      </c>
      <c r="M621" s="129">
        <f t="shared" si="307"/>
        <v>25.71092211</v>
      </c>
      <c r="N621" s="130">
        <f t="shared" si="308"/>
        <v>0.4</v>
      </c>
      <c r="O621" s="131">
        <f t="array" ref="O621">INDEX('LPU Regionalizada'!$B$3:$N$785,MATCH($B621,'LPU Regionalizada'!$B$3:$B$785,0),MATCH(INDEX(CTRL!$F$3:$F$29,CTRL!$E$1),'LPU Regionalizada'!$B$3:$N$3,0))</f>
        <v>64.27730526</v>
      </c>
      <c r="P621" s="88"/>
      <c r="Q621" s="132">
        <f t="shared" si="309"/>
        <v>0</v>
      </c>
      <c r="R621" s="132">
        <f t="shared" si="310"/>
        <v>0</v>
      </c>
      <c r="S621" s="132">
        <f t="shared" si="311"/>
        <v>0</v>
      </c>
      <c r="T621" s="133">
        <f t="shared" si="312"/>
        <v>0</v>
      </c>
      <c r="U621" s="134">
        <f t="shared" si="296"/>
        <v>0</v>
      </c>
      <c r="V621" s="135"/>
      <c r="W621" s="136"/>
      <c r="X621" s="2"/>
      <c r="Y621" s="111"/>
      <c r="Z621" s="3"/>
    </row>
    <row r="622" ht="14.25" hidden="1" customHeight="1" outlineLevel="2">
      <c r="A622" s="124"/>
      <c r="B622" s="125" t="s">
        <v>1277</v>
      </c>
      <c r="C622" s="126" t="s">
        <v>1278</v>
      </c>
      <c r="D622" s="127" t="s">
        <v>142</v>
      </c>
      <c r="E622" s="35"/>
      <c r="F622" s="128"/>
      <c r="G622" s="128"/>
      <c r="H622" s="128"/>
      <c r="I622" s="127">
        <f t="shared" si="305"/>
        <v>0</v>
      </c>
      <c r="J622" s="88"/>
      <c r="K622" s="129">
        <f t="shared" si="306"/>
        <v>49.08207519</v>
      </c>
      <c r="L622" s="130">
        <v>0.6</v>
      </c>
      <c r="M622" s="129">
        <f t="shared" si="307"/>
        <v>32.72138346</v>
      </c>
      <c r="N622" s="130">
        <f t="shared" si="308"/>
        <v>0.4</v>
      </c>
      <c r="O622" s="131">
        <f t="array" ref="O622">INDEX('LPU Regionalizada'!$B$3:$N$785,MATCH($B622,'LPU Regionalizada'!$B$3:$B$785,0),MATCH(INDEX(CTRL!$F$3:$F$29,CTRL!$E$1),'LPU Regionalizada'!$B$3:$N$3,0))</f>
        <v>81.80345865</v>
      </c>
      <c r="P622" s="88"/>
      <c r="Q622" s="132">
        <f t="shared" si="309"/>
        <v>0</v>
      </c>
      <c r="R622" s="132">
        <f t="shared" si="310"/>
        <v>0</v>
      </c>
      <c r="S622" s="132">
        <f t="shared" si="311"/>
        <v>0</v>
      </c>
      <c r="T622" s="133">
        <f t="shared" si="312"/>
        <v>0</v>
      </c>
      <c r="U622" s="134">
        <f t="shared" si="296"/>
        <v>0</v>
      </c>
      <c r="V622" s="135"/>
      <c r="W622" s="136"/>
      <c r="X622" s="2"/>
      <c r="Y622" s="111"/>
      <c r="Z622" s="3"/>
    </row>
    <row r="623" ht="14.25" hidden="1" customHeight="1" outlineLevel="2">
      <c r="A623" s="124"/>
      <c r="B623" s="125" t="s">
        <v>1279</v>
      </c>
      <c r="C623" s="126" t="s">
        <v>1280</v>
      </c>
      <c r="D623" s="127" t="s">
        <v>142</v>
      </c>
      <c r="E623" s="35"/>
      <c r="F623" s="128"/>
      <c r="G623" s="128"/>
      <c r="H623" s="128"/>
      <c r="I623" s="127">
        <f t="shared" si="305"/>
        <v>0</v>
      </c>
      <c r="J623" s="88"/>
      <c r="K623" s="129">
        <f t="shared" si="306"/>
        <v>63.42425712</v>
      </c>
      <c r="L623" s="130">
        <v>0.6</v>
      </c>
      <c r="M623" s="129">
        <f t="shared" si="307"/>
        <v>42.28283808</v>
      </c>
      <c r="N623" s="130">
        <f t="shared" si="308"/>
        <v>0.4</v>
      </c>
      <c r="O623" s="131">
        <f t="array" ref="O623">INDEX('LPU Regionalizada'!$B$3:$N$785,MATCH($B623,'LPU Regionalizada'!$B$3:$B$785,0),MATCH(INDEX(CTRL!$F$3:$F$29,CTRL!$E$1),'LPU Regionalizada'!$B$3:$N$3,0))</f>
        <v>105.7070952</v>
      </c>
      <c r="P623" s="88"/>
      <c r="Q623" s="132">
        <f t="shared" si="309"/>
        <v>0</v>
      </c>
      <c r="R623" s="132">
        <f t="shared" si="310"/>
        <v>0</v>
      </c>
      <c r="S623" s="132">
        <f t="shared" si="311"/>
        <v>0</v>
      </c>
      <c r="T623" s="133">
        <f t="shared" si="312"/>
        <v>0</v>
      </c>
      <c r="U623" s="134">
        <f t="shared" si="296"/>
        <v>0</v>
      </c>
      <c r="V623" s="135"/>
      <c r="W623" s="136"/>
      <c r="X623" s="2"/>
      <c r="Y623" s="111"/>
      <c r="Z623" s="3"/>
    </row>
    <row r="624" ht="14.25" hidden="1" customHeight="1" outlineLevel="2">
      <c r="A624" s="124"/>
      <c r="B624" s="125" t="s">
        <v>1281</v>
      </c>
      <c r="C624" s="126" t="s">
        <v>1282</v>
      </c>
      <c r="D624" s="127" t="s">
        <v>142</v>
      </c>
      <c r="E624" s="35"/>
      <c r="F624" s="128"/>
      <c r="G624" s="128"/>
      <c r="H624" s="128"/>
      <c r="I624" s="127">
        <f t="shared" si="305"/>
        <v>0</v>
      </c>
      <c r="J624" s="88"/>
      <c r="K624" s="129">
        <f t="shared" si="306"/>
        <v>56.0376</v>
      </c>
      <c r="L624" s="130">
        <v>0.6</v>
      </c>
      <c r="M624" s="129">
        <f t="shared" si="307"/>
        <v>37.3584</v>
      </c>
      <c r="N624" s="130">
        <f t="shared" si="308"/>
        <v>0.4</v>
      </c>
      <c r="O624" s="131">
        <f t="array" ref="O624">INDEX('LPU Regionalizada'!$B$3:$N$785,MATCH($B624,'LPU Regionalizada'!$B$3:$B$785,0),MATCH(INDEX(CTRL!$F$3:$F$29,CTRL!$E$1),'LPU Regionalizada'!$B$3:$N$3,0))</f>
        <v>93.396</v>
      </c>
      <c r="P624" s="88"/>
      <c r="Q624" s="132">
        <f t="shared" si="309"/>
        <v>0</v>
      </c>
      <c r="R624" s="132">
        <f t="shared" si="310"/>
        <v>0</v>
      </c>
      <c r="S624" s="132">
        <f t="shared" si="311"/>
        <v>0</v>
      </c>
      <c r="T624" s="133">
        <f t="shared" si="312"/>
        <v>0</v>
      </c>
      <c r="U624" s="134">
        <f t="shared" si="296"/>
        <v>0</v>
      </c>
      <c r="V624" s="135"/>
      <c r="W624" s="136"/>
      <c r="X624" s="2"/>
      <c r="Y624" s="111"/>
      <c r="Z624" s="3"/>
    </row>
    <row r="625" ht="14.25" hidden="1" customHeight="1" outlineLevel="2">
      <c r="A625" s="124"/>
      <c r="B625" s="125" t="s">
        <v>1283</v>
      </c>
      <c r="C625" s="126" t="s">
        <v>1284</v>
      </c>
      <c r="D625" s="127" t="s">
        <v>142</v>
      </c>
      <c r="E625" s="35"/>
      <c r="F625" s="128"/>
      <c r="G625" s="128"/>
      <c r="H625" s="128"/>
      <c r="I625" s="127">
        <f t="shared" si="305"/>
        <v>0</v>
      </c>
      <c r="J625" s="88"/>
      <c r="K625" s="129">
        <f t="shared" si="306"/>
        <v>54.0140565</v>
      </c>
      <c r="L625" s="130">
        <v>0.6</v>
      </c>
      <c r="M625" s="129">
        <f t="shared" si="307"/>
        <v>36.009371</v>
      </c>
      <c r="N625" s="130">
        <f t="shared" si="308"/>
        <v>0.4</v>
      </c>
      <c r="O625" s="131">
        <f t="array" ref="O625">INDEX('LPU Regionalizada'!$B$3:$N$785,MATCH($B625,'LPU Regionalizada'!$B$3:$B$785,0),MATCH(INDEX(CTRL!$F$3:$F$29,CTRL!$E$1),'LPU Regionalizada'!$B$3:$N$3,0))</f>
        <v>90.0234275</v>
      </c>
      <c r="P625" s="88"/>
      <c r="Q625" s="132">
        <f t="shared" si="309"/>
        <v>0</v>
      </c>
      <c r="R625" s="132">
        <f t="shared" si="310"/>
        <v>0</v>
      </c>
      <c r="S625" s="132">
        <f t="shared" si="311"/>
        <v>0</v>
      </c>
      <c r="T625" s="133">
        <f t="shared" si="312"/>
        <v>0</v>
      </c>
      <c r="U625" s="134">
        <f t="shared" si="296"/>
        <v>0</v>
      </c>
      <c r="V625" s="135"/>
      <c r="W625" s="136"/>
      <c r="X625" s="2"/>
      <c r="Y625" s="111"/>
      <c r="Z625" s="3"/>
    </row>
    <row r="626" ht="14.25" hidden="1" customHeight="1" outlineLevel="2">
      <c r="A626" s="124"/>
      <c r="B626" s="125" t="s">
        <v>1285</v>
      </c>
      <c r="C626" s="126" t="s">
        <v>1286</v>
      </c>
      <c r="D626" s="127" t="s">
        <v>142</v>
      </c>
      <c r="E626" s="35"/>
      <c r="F626" s="128"/>
      <c r="G626" s="128"/>
      <c r="H626" s="128"/>
      <c r="I626" s="127">
        <f t="shared" si="305"/>
        <v>0</v>
      </c>
      <c r="J626" s="88"/>
      <c r="K626" s="129">
        <f t="shared" si="306"/>
        <v>38.489472</v>
      </c>
      <c r="L626" s="130">
        <v>0.6</v>
      </c>
      <c r="M626" s="129">
        <f t="shared" si="307"/>
        <v>25.659648</v>
      </c>
      <c r="N626" s="130">
        <f t="shared" si="308"/>
        <v>0.4</v>
      </c>
      <c r="O626" s="131">
        <f t="array" ref="O626">INDEX('LPU Regionalizada'!$B$3:$N$785,MATCH($B626,'LPU Regionalizada'!$B$3:$B$785,0),MATCH(INDEX(CTRL!$F$3:$F$29,CTRL!$E$1),'LPU Regionalizada'!$B$3:$N$3,0))</f>
        <v>64.14912</v>
      </c>
      <c r="P626" s="88"/>
      <c r="Q626" s="132">
        <f t="shared" si="309"/>
        <v>0</v>
      </c>
      <c r="R626" s="132">
        <f t="shared" si="310"/>
        <v>0</v>
      </c>
      <c r="S626" s="132">
        <f t="shared" si="311"/>
        <v>0</v>
      </c>
      <c r="T626" s="133">
        <f t="shared" si="312"/>
        <v>0</v>
      </c>
      <c r="U626" s="134">
        <f t="shared" si="296"/>
        <v>0</v>
      </c>
      <c r="V626" s="135"/>
      <c r="W626" s="136"/>
      <c r="X626" s="2"/>
      <c r="Y626" s="111"/>
      <c r="Z626" s="3"/>
    </row>
    <row r="627" ht="14.25" hidden="1" customHeight="1" outlineLevel="2">
      <c r="A627" s="124"/>
      <c r="B627" s="125" t="s">
        <v>1287</v>
      </c>
      <c r="C627" s="126" t="s">
        <v>1288</v>
      </c>
      <c r="D627" s="127" t="s">
        <v>142</v>
      </c>
      <c r="E627" s="35"/>
      <c r="F627" s="128"/>
      <c r="G627" s="128"/>
      <c r="H627" s="128"/>
      <c r="I627" s="127">
        <f t="shared" si="305"/>
        <v>0</v>
      </c>
      <c r="J627" s="88"/>
      <c r="K627" s="129">
        <f t="shared" si="306"/>
        <v>38.489472</v>
      </c>
      <c r="L627" s="130">
        <v>0.6</v>
      </c>
      <c r="M627" s="129">
        <f t="shared" si="307"/>
        <v>25.659648</v>
      </c>
      <c r="N627" s="130">
        <f t="shared" si="308"/>
        <v>0.4</v>
      </c>
      <c r="O627" s="131">
        <f t="array" ref="O627">INDEX('LPU Regionalizada'!$B$3:$N$785,MATCH($B627,'LPU Regionalizada'!$B$3:$B$785,0),MATCH(INDEX(CTRL!$F$3:$F$29,CTRL!$E$1),'LPU Regionalizada'!$B$3:$N$3,0))</f>
        <v>64.14912</v>
      </c>
      <c r="P627" s="88"/>
      <c r="Q627" s="132">
        <f t="shared" si="309"/>
        <v>0</v>
      </c>
      <c r="R627" s="132">
        <f t="shared" si="310"/>
        <v>0</v>
      </c>
      <c r="S627" s="132">
        <f t="shared" si="311"/>
        <v>0</v>
      </c>
      <c r="T627" s="133">
        <f t="shared" si="312"/>
        <v>0</v>
      </c>
      <c r="U627" s="134">
        <f t="shared" si="296"/>
        <v>0</v>
      </c>
      <c r="V627" s="135"/>
      <c r="W627" s="136"/>
      <c r="X627" s="2"/>
      <c r="Y627" s="111"/>
      <c r="Z627" s="3"/>
    </row>
    <row r="628" ht="14.25" hidden="1" customHeight="1" outlineLevel="2">
      <c r="A628" s="124"/>
      <c r="B628" s="125" t="s">
        <v>1289</v>
      </c>
      <c r="C628" s="126" t="s">
        <v>1290</v>
      </c>
      <c r="D628" s="127" t="s">
        <v>142</v>
      </c>
      <c r="E628" s="35"/>
      <c r="F628" s="128"/>
      <c r="G628" s="128"/>
      <c r="H628" s="128"/>
      <c r="I628" s="127">
        <f t="shared" si="305"/>
        <v>0</v>
      </c>
      <c r="J628" s="88"/>
      <c r="K628" s="129">
        <f t="shared" si="306"/>
        <v>40.15362154</v>
      </c>
      <c r="L628" s="130">
        <v>0.6</v>
      </c>
      <c r="M628" s="129">
        <f t="shared" si="307"/>
        <v>26.76908102</v>
      </c>
      <c r="N628" s="130">
        <f t="shared" si="308"/>
        <v>0.4</v>
      </c>
      <c r="O628" s="131">
        <f t="array" ref="O628">INDEX('LPU Regionalizada'!$B$3:$N$785,MATCH($B628,'LPU Regionalizada'!$B$3:$B$785,0),MATCH(INDEX(CTRL!$F$3:$F$29,CTRL!$E$1),'LPU Regionalizada'!$B$3:$N$3,0))</f>
        <v>66.92270256</v>
      </c>
      <c r="P628" s="88"/>
      <c r="Q628" s="132">
        <f t="shared" si="309"/>
        <v>0</v>
      </c>
      <c r="R628" s="132">
        <f t="shared" si="310"/>
        <v>0</v>
      </c>
      <c r="S628" s="132">
        <f t="shared" si="311"/>
        <v>0</v>
      </c>
      <c r="T628" s="133">
        <f t="shared" si="312"/>
        <v>0</v>
      </c>
      <c r="U628" s="134">
        <f t="shared" si="296"/>
        <v>0</v>
      </c>
      <c r="V628" s="135"/>
      <c r="W628" s="136"/>
      <c r="X628" s="2"/>
      <c r="Y628" s="111"/>
      <c r="Z628" s="3"/>
    </row>
    <row r="629" ht="14.25" hidden="1" customHeight="1" outlineLevel="2">
      <c r="A629" s="124"/>
      <c r="B629" s="125" t="s">
        <v>1291</v>
      </c>
      <c r="C629" s="126" t="s">
        <v>1292</v>
      </c>
      <c r="D629" s="127" t="s">
        <v>142</v>
      </c>
      <c r="E629" s="35"/>
      <c r="F629" s="128"/>
      <c r="G629" s="128"/>
      <c r="H629" s="128"/>
      <c r="I629" s="127">
        <f t="shared" si="305"/>
        <v>0</v>
      </c>
      <c r="J629" s="88"/>
      <c r="K629" s="129">
        <f t="shared" si="306"/>
        <v>28.631808</v>
      </c>
      <c r="L629" s="130">
        <v>0.6</v>
      </c>
      <c r="M629" s="129">
        <f t="shared" si="307"/>
        <v>19.087872</v>
      </c>
      <c r="N629" s="130">
        <f t="shared" si="308"/>
        <v>0.4</v>
      </c>
      <c r="O629" s="131">
        <f t="array" ref="O629">INDEX('LPU Regionalizada'!$B$3:$N$785,MATCH($B629,'LPU Regionalizada'!$B$3:$B$785,0),MATCH(INDEX(CTRL!$F$3:$F$29,CTRL!$E$1),'LPU Regionalizada'!$B$3:$N$3,0))</f>
        <v>47.71968</v>
      </c>
      <c r="P629" s="88"/>
      <c r="Q629" s="132">
        <f t="shared" si="309"/>
        <v>0</v>
      </c>
      <c r="R629" s="132">
        <f t="shared" si="310"/>
        <v>0</v>
      </c>
      <c r="S629" s="132">
        <f t="shared" si="311"/>
        <v>0</v>
      </c>
      <c r="T629" s="133">
        <f t="shared" si="312"/>
        <v>0</v>
      </c>
      <c r="U629" s="134">
        <f t="shared" si="296"/>
        <v>0</v>
      </c>
      <c r="V629" s="135"/>
      <c r="W629" s="136"/>
      <c r="X629" s="2"/>
      <c r="Y629" s="111"/>
      <c r="Z629" s="3"/>
    </row>
    <row r="630" ht="14.25" hidden="1" customHeight="1" outlineLevel="2">
      <c r="A630" s="124"/>
      <c r="B630" s="125" t="s">
        <v>1293</v>
      </c>
      <c r="C630" s="126" t="s">
        <v>1294</v>
      </c>
      <c r="D630" s="127" t="s">
        <v>142</v>
      </c>
      <c r="E630" s="35"/>
      <c r="F630" s="128"/>
      <c r="G630" s="128"/>
      <c r="H630" s="128"/>
      <c r="I630" s="127">
        <f t="shared" si="305"/>
        <v>0</v>
      </c>
      <c r="J630" s="88"/>
      <c r="K630" s="129">
        <f t="shared" si="306"/>
        <v>32.619456</v>
      </c>
      <c r="L630" s="130">
        <v>0.6</v>
      </c>
      <c r="M630" s="129">
        <f t="shared" si="307"/>
        <v>21.746304</v>
      </c>
      <c r="N630" s="130">
        <f t="shared" si="308"/>
        <v>0.4</v>
      </c>
      <c r="O630" s="131">
        <f t="array" ref="O630">INDEX('LPU Regionalizada'!$B$3:$N$785,MATCH($B630,'LPU Regionalizada'!$B$3:$B$785,0),MATCH(INDEX(CTRL!$F$3:$F$29,CTRL!$E$1),'LPU Regionalizada'!$B$3:$N$3,0))</f>
        <v>54.36576</v>
      </c>
      <c r="P630" s="88"/>
      <c r="Q630" s="132">
        <f t="shared" si="309"/>
        <v>0</v>
      </c>
      <c r="R630" s="132">
        <f t="shared" si="310"/>
        <v>0</v>
      </c>
      <c r="S630" s="132">
        <f t="shared" si="311"/>
        <v>0</v>
      </c>
      <c r="T630" s="133">
        <f t="shared" si="312"/>
        <v>0</v>
      </c>
      <c r="U630" s="134">
        <f t="shared" si="296"/>
        <v>0</v>
      </c>
      <c r="V630" s="135"/>
      <c r="W630" s="136"/>
      <c r="X630" s="2"/>
      <c r="Y630" s="111"/>
      <c r="Z630" s="3"/>
    </row>
    <row r="631" ht="14.25" hidden="1" customHeight="1" outlineLevel="2">
      <c r="A631" s="124"/>
      <c r="B631" s="125" t="s">
        <v>1295</v>
      </c>
      <c r="C631" s="126" t="s">
        <v>1296</v>
      </c>
      <c r="D631" s="127" t="s">
        <v>142</v>
      </c>
      <c r="E631" s="35"/>
      <c r="F631" s="128"/>
      <c r="G631" s="128"/>
      <c r="H631" s="128"/>
      <c r="I631" s="127">
        <f t="shared" si="305"/>
        <v>0</v>
      </c>
      <c r="J631" s="88"/>
      <c r="K631" s="129">
        <f t="shared" si="306"/>
        <v>40.27896</v>
      </c>
      <c r="L631" s="130">
        <v>0.6</v>
      </c>
      <c r="M631" s="129">
        <f t="shared" si="307"/>
        <v>26.85264</v>
      </c>
      <c r="N631" s="130">
        <f t="shared" si="308"/>
        <v>0.4</v>
      </c>
      <c r="O631" s="131">
        <f t="array" ref="O631">INDEX('LPU Regionalizada'!$B$3:$N$785,MATCH($B631,'LPU Regionalizada'!$B$3:$B$785,0),MATCH(INDEX(CTRL!$F$3:$F$29,CTRL!$E$1),'LPU Regionalizada'!$B$3:$N$3,0))</f>
        <v>67.1316</v>
      </c>
      <c r="P631" s="88"/>
      <c r="Q631" s="132">
        <f t="shared" si="309"/>
        <v>0</v>
      </c>
      <c r="R631" s="132">
        <f t="shared" si="310"/>
        <v>0</v>
      </c>
      <c r="S631" s="132">
        <f t="shared" si="311"/>
        <v>0</v>
      </c>
      <c r="T631" s="133">
        <f t="shared" si="312"/>
        <v>0</v>
      </c>
      <c r="U631" s="134">
        <f t="shared" si="296"/>
        <v>0</v>
      </c>
      <c r="V631" s="135"/>
      <c r="W631" s="136"/>
      <c r="X631" s="2"/>
      <c r="Y631" s="111"/>
      <c r="Z631" s="3"/>
    </row>
    <row r="632" ht="14.25" hidden="1" customHeight="1" outlineLevel="2">
      <c r="A632" s="124"/>
      <c r="B632" s="125" t="s">
        <v>1297</v>
      </c>
      <c r="C632" s="126" t="s">
        <v>1298</v>
      </c>
      <c r="D632" s="127" t="s">
        <v>142</v>
      </c>
      <c r="E632" s="35"/>
      <c r="F632" s="128"/>
      <c r="G632" s="128"/>
      <c r="H632" s="128"/>
      <c r="I632" s="127">
        <f t="shared" si="305"/>
        <v>0</v>
      </c>
      <c r="J632" s="88"/>
      <c r="K632" s="129">
        <f t="shared" si="306"/>
        <v>49.9025664</v>
      </c>
      <c r="L632" s="130">
        <v>0.6</v>
      </c>
      <c r="M632" s="129">
        <f t="shared" si="307"/>
        <v>33.2683776</v>
      </c>
      <c r="N632" s="130">
        <f t="shared" si="308"/>
        <v>0.4</v>
      </c>
      <c r="O632" s="131">
        <f t="array" ref="O632">INDEX('LPU Regionalizada'!$B$3:$N$785,MATCH($B632,'LPU Regionalizada'!$B$3:$B$785,0),MATCH(INDEX(CTRL!$F$3:$F$29,CTRL!$E$1),'LPU Regionalizada'!$B$3:$N$3,0))</f>
        <v>83.170944</v>
      </c>
      <c r="P632" s="88"/>
      <c r="Q632" s="132">
        <f t="shared" si="309"/>
        <v>0</v>
      </c>
      <c r="R632" s="132">
        <f t="shared" si="310"/>
        <v>0</v>
      </c>
      <c r="S632" s="132">
        <f t="shared" si="311"/>
        <v>0</v>
      </c>
      <c r="T632" s="133">
        <f t="shared" si="312"/>
        <v>0</v>
      </c>
      <c r="U632" s="134">
        <f t="shared" si="296"/>
        <v>0</v>
      </c>
      <c r="V632" s="135"/>
      <c r="W632" s="136"/>
      <c r="X632" s="2"/>
      <c r="Y632" s="111"/>
      <c r="Z632" s="3"/>
    </row>
    <row r="633" ht="14.25" hidden="1" customHeight="1" outlineLevel="2">
      <c r="A633" s="124"/>
      <c r="B633" s="125" t="s">
        <v>1299</v>
      </c>
      <c r="C633" s="126" t="s">
        <v>1300</v>
      </c>
      <c r="D633" s="127" t="s">
        <v>142</v>
      </c>
      <c r="E633" s="35"/>
      <c r="F633" s="128"/>
      <c r="G633" s="128"/>
      <c r="H633" s="128"/>
      <c r="I633" s="127">
        <f t="shared" si="305"/>
        <v>0</v>
      </c>
      <c r="J633" s="88"/>
      <c r="K633" s="129">
        <f t="shared" si="306"/>
        <v>60.724944</v>
      </c>
      <c r="L633" s="130">
        <v>0.6</v>
      </c>
      <c r="M633" s="129">
        <f t="shared" si="307"/>
        <v>40.483296</v>
      </c>
      <c r="N633" s="130">
        <f t="shared" si="308"/>
        <v>0.4</v>
      </c>
      <c r="O633" s="131">
        <f t="array" ref="O633">INDEX('LPU Regionalizada'!$B$3:$N$785,MATCH($B633,'LPU Regionalizada'!$B$3:$B$785,0),MATCH(INDEX(CTRL!$F$3:$F$29,CTRL!$E$1),'LPU Regionalizada'!$B$3:$N$3,0))</f>
        <v>101.20824</v>
      </c>
      <c r="P633" s="88"/>
      <c r="Q633" s="132">
        <f t="shared" si="309"/>
        <v>0</v>
      </c>
      <c r="R633" s="132">
        <f t="shared" si="310"/>
        <v>0</v>
      </c>
      <c r="S633" s="132">
        <f t="shared" si="311"/>
        <v>0</v>
      </c>
      <c r="T633" s="133">
        <f t="shared" si="312"/>
        <v>0</v>
      </c>
      <c r="U633" s="134">
        <f t="shared" si="296"/>
        <v>0</v>
      </c>
      <c r="V633" s="135"/>
      <c r="W633" s="136"/>
      <c r="X633" s="2"/>
      <c r="Y633" s="111"/>
      <c r="Z633" s="3"/>
    </row>
    <row r="634" ht="14.25" hidden="1" customHeight="1" outlineLevel="2">
      <c r="A634" s="124"/>
      <c r="B634" s="125" t="s">
        <v>1301</v>
      </c>
      <c r="C634" s="126" t="s">
        <v>1302</v>
      </c>
      <c r="D634" s="127" t="s">
        <v>142</v>
      </c>
      <c r="E634" s="35"/>
      <c r="F634" s="128"/>
      <c r="G634" s="128"/>
      <c r="H634" s="128"/>
      <c r="I634" s="127">
        <f t="shared" si="305"/>
        <v>0</v>
      </c>
      <c r="J634" s="88"/>
      <c r="K634" s="129">
        <f t="shared" si="306"/>
        <v>81.045</v>
      </c>
      <c r="L634" s="130">
        <v>0.6</v>
      </c>
      <c r="M634" s="129">
        <f t="shared" si="307"/>
        <v>54.03</v>
      </c>
      <c r="N634" s="130">
        <f t="shared" si="308"/>
        <v>0.4</v>
      </c>
      <c r="O634" s="131">
        <f t="array" ref="O634">INDEX('LPU Regionalizada'!$B$3:$N$785,MATCH($B634,'LPU Regionalizada'!$B$3:$B$785,0),MATCH(INDEX(CTRL!$F$3:$F$29,CTRL!$E$1),'LPU Regionalizada'!$B$3:$N$3,0))</f>
        <v>135.075</v>
      </c>
      <c r="P634" s="88"/>
      <c r="Q634" s="132">
        <f t="shared" si="309"/>
        <v>0</v>
      </c>
      <c r="R634" s="132">
        <f t="shared" si="310"/>
        <v>0</v>
      </c>
      <c r="S634" s="132">
        <f t="shared" si="311"/>
        <v>0</v>
      </c>
      <c r="T634" s="133">
        <f t="shared" si="312"/>
        <v>0</v>
      </c>
      <c r="U634" s="134">
        <f t="shared" si="296"/>
        <v>0</v>
      </c>
      <c r="V634" s="135"/>
      <c r="W634" s="136"/>
      <c r="X634" s="2"/>
      <c r="Y634" s="111"/>
      <c r="Z634" s="3"/>
    </row>
    <row r="635" ht="14.25" hidden="1" customHeight="1" outlineLevel="2">
      <c r="A635" s="124"/>
      <c r="B635" s="125" t="s">
        <v>1303</v>
      </c>
      <c r="C635" s="126" t="s">
        <v>1304</v>
      </c>
      <c r="D635" s="127" t="s">
        <v>142</v>
      </c>
      <c r="E635" s="35"/>
      <c r="F635" s="128"/>
      <c r="G635" s="128"/>
      <c r="H635" s="128"/>
      <c r="I635" s="127">
        <f t="shared" si="305"/>
        <v>0</v>
      </c>
      <c r="J635" s="88"/>
      <c r="K635" s="129">
        <f t="shared" si="306"/>
        <v>118.849248</v>
      </c>
      <c r="L635" s="130">
        <v>0.6</v>
      </c>
      <c r="M635" s="129">
        <f t="shared" si="307"/>
        <v>79.232832</v>
      </c>
      <c r="N635" s="130">
        <f t="shared" si="308"/>
        <v>0.4</v>
      </c>
      <c r="O635" s="131">
        <f t="array" ref="O635">INDEX('LPU Regionalizada'!$B$3:$N$785,MATCH($B635,'LPU Regionalizada'!$B$3:$B$785,0),MATCH(INDEX(CTRL!$F$3:$F$29,CTRL!$E$1),'LPU Regionalizada'!$B$3:$N$3,0))</f>
        <v>198.08208</v>
      </c>
      <c r="P635" s="88"/>
      <c r="Q635" s="132">
        <f t="shared" si="309"/>
        <v>0</v>
      </c>
      <c r="R635" s="132">
        <f t="shared" si="310"/>
        <v>0</v>
      </c>
      <c r="S635" s="132">
        <f t="shared" si="311"/>
        <v>0</v>
      </c>
      <c r="T635" s="133">
        <f t="shared" si="312"/>
        <v>0</v>
      </c>
      <c r="U635" s="134">
        <f t="shared" si="296"/>
        <v>0</v>
      </c>
      <c r="V635" s="135"/>
      <c r="W635" s="136"/>
      <c r="X635" s="2"/>
      <c r="Y635" s="111"/>
      <c r="Z635" s="3"/>
    </row>
    <row r="636" ht="14.25" hidden="1" customHeight="1" outlineLevel="2">
      <c r="A636" s="124"/>
      <c r="B636" s="125" t="s">
        <v>1305</v>
      </c>
      <c r="C636" s="126" t="s">
        <v>1306</v>
      </c>
      <c r="D636" s="127" t="s">
        <v>142</v>
      </c>
      <c r="E636" s="35"/>
      <c r="F636" s="128"/>
      <c r="G636" s="128"/>
      <c r="H636" s="128"/>
      <c r="I636" s="127">
        <f t="shared" si="305"/>
        <v>0</v>
      </c>
      <c r="J636" s="88"/>
      <c r="K636" s="129">
        <f t="shared" si="306"/>
        <v>143.245728</v>
      </c>
      <c r="L636" s="130">
        <v>0.6</v>
      </c>
      <c r="M636" s="129">
        <f t="shared" si="307"/>
        <v>95.497152</v>
      </c>
      <c r="N636" s="130">
        <f t="shared" si="308"/>
        <v>0.4</v>
      </c>
      <c r="O636" s="131">
        <f t="array" ref="O636">INDEX('LPU Regionalizada'!$B$3:$N$785,MATCH($B636,'LPU Regionalizada'!$B$3:$B$785,0),MATCH(INDEX(CTRL!$F$3:$F$29,CTRL!$E$1),'LPU Regionalizada'!$B$3:$N$3,0))</f>
        <v>238.74288</v>
      </c>
      <c r="P636" s="88"/>
      <c r="Q636" s="132">
        <f t="shared" si="309"/>
        <v>0</v>
      </c>
      <c r="R636" s="132">
        <f t="shared" si="310"/>
        <v>0</v>
      </c>
      <c r="S636" s="132">
        <f t="shared" si="311"/>
        <v>0</v>
      </c>
      <c r="T636" s="133">
        <f t="shared" si="312"/>
        <v>0</v>
      </c>
      <c r="U636" s="134">
        <f t="shared" si="296"/>
        <v>0</v>
      </c>
      <c r="V636" s="135"/>
      <c r="W636" s="136"/>
      <c r="X636" s="2"/>
      <c r="Y636" s="111"/>
      <c r="Z636" s="3"/>
    </row>
    <row r="637" ht="14.25" hidden="1" customHeight="1" outlineLevel="2">
      <c r="A637" s="124"/>
      <c r="B637" s="125" t="s">
        <v>1307</v>
      </c>
      <c r="C637" s="126" t="s">
        <v>1308</v>
      </c>
      <c r="D637" s="127" t="s">
        <v>142</v>
      </c>
      <c r="E637" s="35"/>
      <c r="F637" s="128"/>
      <c r="G637" s="128"/>
      <c r="H637" s="128"/>
      <c r="I637" s="127">
        <f t="shared" si="305"/>
        <v>0</v>
      </c>
      <c r="J637" s="88"/>
      <c r="K637" s="129">
        <f t="shared" si="306"/>
        <v>62.50824</v>
      </c>
      <c r="L637" s="130">
        <v>0.6</v>
      </c>
      <c r="M637" s="129">
        <f t="shared" si="307"/>
        <v>41.67216</v>
      </c>
      <c r="N637" s="130">
        <f t="shared" si="308"/>
        <v>0.4</v>
      </c>
      <c r="O637" s="131">
        <f t="array" ref="O637">INDEX('LPU Regionalizada'!$B$3:$N$785,MATCH($B637,'LPU Regionalizada'!$B$3:$B$785,0),MATCH(INDEX(CTRL!$F$3:$F$29,CTRL!$E$1),'LPU Regionalizada'!$B$3:$N$3,0))</f>
        <v>104.1804</v>
      </c>
      <c r="P637" s="88"/>
      <c r="Q637" s="132">
        <f t="shared" si="309"/>
        <v>0</v>
      </c>
      <c r="R637" s="132">
        <f t="shared" si="310"/>
        <v>0</v>
      </c>
      <c r="S637" s="132">
        <f t="shared" si="311"/>
        <v>0</v>
      </c>
      <c r="T637" s="133">
        <f t="shared" si="312"/>
        <v>0</v>
      </c>
      <c r="U637" s="134">
        <f t="shared" si="296"/>
        <v>0</v>
      </c>
      <c r="V637" s="135"/>
      <c r="W637" s="136"/>
      <c r="X637" s="2"/>
      <c r="Y637" s="111"/>
      <c r="Z637" s="3"/>
    </row>
    <row r="638" ht="14.25" hidden="1" customHeight="1" outlineLevel="1">
      <c r="A638" s="112"/>
      <c r="B638" s="113" t="s">
        <v>1309</v>
      </c>
      <c r="C638" s="114" t="s">
        <v>1310</v>
      </c>
      <c r="D638" s="115"/>
      <c r="E638" s="35"/>
      <c r="F638" s="113"/>
      <c r="G638" s="116"/>
      <c r="H638" s="116"/>
      <c r="I638" s="115"/>
      <c r="J638" s="88"/>
      <c r="K638" s="117"/>
      <c r="L638" s="118"/>
      <c r="M638" s="118"/>
      <c r="N638" s="118"/>
      <c r="O638" s="119"/>
      <c r="P638" s="88"/>
      <c r="Q638" s="120"/>
      <c r="R638" s="120"/>
      <c r="S638" s="120"/>
      <c r="T638" s="120">
        <f>SUM(T639:T664)</f>
        <v>0</v>
      </c>
      <c r="U638" s="121">
        <f t="shared" si="296"/>
        <v>0</v>
      </c>
      <c r="V638" s="122"/>
      <c r="W638" s="123"/>
      <c r="X638" s="2"/>
      <c r="Y638" s="111"/>
      <c r="Z638" s="3"/>
    </row>
    <row r="639" ht="14.25" hidden="1" customHeight="1" outlineLevel="2">
      <c r="A639" s="124"/>
      <c r="B639" s="125" t="s">
        <v>1311</v>
      </c>
      <c r="C639" s="126" t="s">
        <v>1312</v>
      </c>
      <c r="D639" s="127" t="s">
        <v>142</v>
      </c>
      <c r="E639" s="35"/>
      <c r="F639" s="128"/>
      <c r="G639" s="128"/>
      <c r="H639" s="128"/>
      <c r="I639" s="127">
        <f t="shared" ref="I639:I664" si="313">F639+G639+H639</f>
        <v>0</v>
      </c>
      <c r="J639" s="88"/>
      <c r="K639" s="129">
        <f t="shared" ref="K639:K664" si="314">L639*O639</f>
        <v>43.074</v>
      </c>
      <c r="L639" s="130">
        <v>0.6</v>
      </c>
      <c r="M639" s="129">
        <f t="shared" ref="M639:M664" si="315">N639*O639</f>
        <v>28.716</v>
      </c>
      <c r="N639" s="130">
        <f t="shared" ref="N639:N664" si="316">100%-L639</f>
        <v>0.4</v>
      </c>
      <c r="O639" s="131">
        <f t="array" ref="O639">INDEX('LPU Regionalizada'!$B$3:$N$785,MATCH($B639,'LPU Regionalizada'!$B$3:$B$785,0),MATCH(INDEX(CTRL!$F$3:$F$29,CTRL!$E$1),'LPU Regionalizada'!$B$3:$N$3,0))</f>
        <v>71.79</v>
      </c>
      <c r="P639" s="88"/>
      <c r="Q639" s="132">
        <f t="shared" ref="Q639:Q664" si="317">F639*O639</f>
        <v>0</v>
      </c>
      <c r="R639" s="132">
        <f t="shared" ref="R639:R664" si="318">G639*O639</f>
        <v>0</v>
      </c>
      <c r="S639" s="132">
        <f t="shared" ref="S639:S664" si="319">H639*O639</f>
        <v>0</v>
      </c>
      <c r="T639" s="133">
        <f t="shared" ref="T639:T664" si="320">SUM(Q639:S639)</f>
        <v>0</v>
      </c>
      <c r="U639" s="134">
        <f t="shared" si="296"/>
        <v>0</v>
      </c>
      <c r="V639" s="135"/>
      <c r="W639" s="136"/>
      <c r="X639" s="2"/>
      <c r="Y639" s="111"/>
      <c r="Z639" s="3"/>
    </row>
    <row r="640" ht="14.25" hidden="1" customHeight="1" outlineLevel="2">
      <c r="A640" s="124"/>
      <c r="B640" s="125" t="s">
        <v>1313</v>
      </c>
      <c r="C640" s="126" t="s">
        <v>1314</v>
      </c>
      <c r="D640" s="127" t="s">
        <v>142</v>
      </c>
      <c r="E640" s="35"/>
      <c r="F640" s="128"/>
      <c r="G640" s="128"/>
      <c r="H640" s="128"/>
      <c r="I640" s="127">
        <f t="shared" si="313"/>
        <v>0</v>
      </c>
      <c r="J640" s="88"/>
      <c r="K640" s="129">
        <f t="shared" si="314"/>
        <v>51.786</v>
      </c>
      <c r="L640" s="130">
        <v>0.6</v>
      </c>
      <c r="M640" s="129">
        <f t="shared" si="315"/>
        <v>34.524</v>
      </c>
      <c r="N640" s="130">
        <f t="shared" si="316"/>
        <v>0.4</v>
      </c>
      <c r="O640" s="131">
        <f t="array" ref="O640">INDEX('LPU Regionalizada'!$B$3:$N$785,MATCH($B640,'LPU Regionalizada'!$B$3:$B$785,0),MATCH(INDEX(CTRL!$F$3:$F$29,CTRL!$E$1),'LPU Regionalizada'!$B$3:$N$3,0))</f>
        <v>86.31</v>
      </c>
      <c r="P640" s="88"/>
      <c r="Q640" s="132">
        <f t="shared" si="317"/>
        <v>0</v>
      </c>
      <c r="R640" s="132">
        <f t="shared" si="318"/>
        <v>0</v>
      </c>
      <c r="S640" s="132">
        <f t="shared" si="319"/>
        <v>0</v>
      </c>
      <c r="T640" s="133">
        <f t="shared" si="320"/>
        <v>0</v>
      </c>
      <c r="U640" s="134">
        <f t="shared" si="296"/>
        <v>0</v>
      </c>
      <c r="V640" s="135"/>
      <c r="W640" s="136"/>
      <c r="X640" s="2"/>
      <c r="Y640" s="111"/>
      <c r="Z640" s="3"/>
    </row>
    <row r="641" ht="14.25" hidden="1" customHeight="1" outlineLevel="2">
      <c r="A641" s="124"/>
      <c r="B641" s="125" t="s">
        <v>1315</v>
      </c>
      <c r="C641" s="126" t="s">
        <v>1316</v>
      </c>
      <c r="D641" s="127" t="s">
        <v>180</v>
      </c>
      <c r="E641" s="35"/>
      <c r="F641" s="128"/>
      <c r="G641" s="128"/>
      <c r="H641" s="128"/>
      <c r="I641" s="127">
        <f t="shared" si="313"/>
        <v>0</v>
      </c>
      <c r="J641" s="88"/>
      <c r="K641" s="129">
        <f t="shared" si="314"/>
        <v>32.04266083</v>
      </c>
      <c r="L641" s="130">
        <v>0.6</v>
      </c>
      <c r="M641" s="129">
        <f t="shared" si="315"/>
        <v>21.36177389</v>
      </c>
      <c r="N641" s="130">
        <f t="shared" si="316"/>
        <v>0.4</v>
      </c>
      <c r="O641" s="131">
        <f t="array" ref="O641">INDEX('LPU Regionalizada'!$B$3:$N$785,MATCH($B641,'LPU Regionalizada'!$B$3:$B$785,0),MATCH(INDEX(CTRL!$F$3:$F$29,CTRL!$E$1),'LPU Regionalizada'!$B$3:$N$3,0))</f>
        <v>53.40443472</v>
      </c>
      <c r="P641" s="88"/>
      <c r="Q641" s="132">
        <f t="shared" si="317"/>
        <v>0</v>
      </c>
      <c r="R641" s="132">
        <f t="shared" si="318"/>
        <v>0</v>
      </c>
      <c r="S641" s="132">
        <f t="shared" si="319"/>
        <v>0</v>
      </c>
      <c r="T641" s="133">
        <f t="shared" si="320"/>
        <v>0</v>
      </c>
      <c r="U641" s="134">
        <f t="shared" si="296"/>
        <v>0</v>
      </c>
      <c r="V641" s="135"/>
      <c r="W641" s="136"/>
      <c r="X641" s="2"/>
      <c r="Y641" s="111"/>
      <c r="Z641" s="3"/>
    </row>
    <row r="642" ht="14.25" hidden="1" customHeight="1" outlineLevel="2">
      <c r="A642" s="124"/>
      <c r="B642" s="125" t="s">
        <v>1317</v>
      </c>
      <c r="C642" s="126" t="s">
        <v>1318</v>
      </c>
      <c r="D642" s="127" t="s">
        <v>180</v>
      </c>
      <c r="E642" s="35"/>
      <c r="F642" s="128"/>
      <c r="G642" s="128"/>
      <c r="H642" s="128"/>
      <c r="I642" s="127">
        <f t="shared" si="313"/>
        <v>0</v>
      </c>
      <c r="J642" s="88"/>
      <c r="K642" s="129">
        <f t="shared" si="314"/>
        <v>53.72562686</v>
      </c>
      <c r="L642" s="130">
        <v>0.6</v>
      </c>
      <c r="M642" s="129">
        <f t="shared" si="315"/>
        <v>35.81708458</v>
      </c>
      <c r="N642" s="130">
        <f t="shared" si="316"/>
        <v>0.4</v>
      </c>
      <c r="O642" s="131">
        <f t="array" ref="O642">INDEX('LPU Regionalizada'!$B$3:$N$785,MATCH($B642,'LPU Regionalizada'!$B$3:$B$785,0),MATCH(INDEX(CTRL!$F$3:$F$29,CTRL!$E$1),'LPU Regionalizada'!$B$3:$N$3,0))</f>
        <v>89.54271144</v>
      </c>
      <c r="P642" s="88"/>
      <c r="Q642" s="132">
        <f t="shared" si="317"/>
        <v>0</v>
      </c>
      <c r="R642" s="132">
        <f t="shared" si="318"/>
        <v>0</v>
      </c>
      <c r="S642" s="132">
        <f t="shared" si="319"/>
        <v>0</v>
      </c>
      <c r="T642" s="133">
        <f t="shared" si="320"/>
        <v>0</v>
      </c>
      <c r="U642" s="134">
        <f t="shared" si="296"/>
        <v>0</v>
      </c>
      <c r="V642" s="135"/>
      <c r="W642" s="136"/>
      <c r="X642" s="2"/>
      <c r="Y642" s="111"/>
      <c r="Z642" s="3"/>
    </row>
    <row r="643" ht="14.25" hidden="1" customHeight="1" outlineLevel="2">
      <c r="A643" s="124"/>
      <c r="B643" s="125" t="s">
        <v>1319</v>
      </c>
      <c r="C643" s="126" t="s">
        <v>1320</v>
      </c>
      <c r="D643" s="127" t="s">
        <v>180</v>
      </c>
      <c r="E643" s="35"/>
      <c r="F643" s="128"/>
      <c r="G643" s="128"/>
      <c r="H643" s="128"/>
      <c r="I643" s="127">
        <f t="shared" si="313"/>
        <v>0</v>
      </c>
      <c r="J643" s="88"/>
      <c r="K643" s="129">
        <f t="shared" si="314"/>
        <v>71.67499498</v>
      </c>
      <c r="L643" s="130">
        <v>0.6</v>
      </c>
      <c r="M643" s="129">
        <f t="shared" si="315"/>
        <v>47.78332998</v>
      </c>
      <c r="N643" s="130">
        <f t="shared" si="316"/>
        <v>0.4</v>
      </c>
      <c r="O643" s="131">
        <f t="array" ref="O643">INDEX('LPU Regionalizada'!$B$3:$N$785,MATCH($B643,'LPU Regionalizada'!$B$3:$B$785,0),MATCH(INDEX(CTRL!$F$3:$F$29,CTRL!$E$1),'LPU Regionalizada'!$B$3:$N$3,0))</f>
        <v>119.458325</v>
      </c>
      <c r="P643" s="88"/>
      <c r="Q643" s="132">
        <f t="shared" si="317"/>
        <v>0</v>
      </c>
      <c r="R643" s="132">
        <f t="shared" si="318"/>
        <v>0</v>
      </c>
      <c r="S643" s="132">
        <f t="shared" si="319"/>
        <v>0</v>
      </c>
      <c r="T643" s="133">
        <f t="shared" si="320"/>
        <v>0</v>
      </c>
      <c r="U643" s="134">
        <f t="shared" si="296"/>
        <v>0</v>
      </c>
      <c r="V643" s="135"/>
      <c r="W643" s="136"/>
      <c r="X643" s="2"/>
      <c r="Y643" s="111"/>
      <c r="Z643" s="3"/>
    </row>
    <row r="644" ht="14.25" hidden="1" customHeight="1" outlineLevel="2">
      <c r="A644" s="124"/>
      <c r="B644" s="125" t="s">
        <v>1321</v>
      </c>
      <c r="C644" s="126" t="s">
        <v>1322</v>
      </c>
      <c r="D644" s="127" t="s">
        <v>180</v>
      </c>
      <c r="E644" s="35"/>
      <c r="F644" s="128"/>
      <c r="G644" s="128"/>
      <c r="H644" s="128"/>
      <c r="I644" s="127">
        <f t="shared" si="313"/>
        <v>0</v>
      </c>
      <c r="J644" s="88"/>
      <c r="K644" s="129">
        <f t="shared" si="314"/>
        <v>99.80585404</v>
      </c>
      <c r="L644" s="130">
        <v>0.6</v>
      </c>
      <c r="M644" s="129">
        <f t="shared" si="315"/>
        <v>66.53723603</v>
      </c>
      <c r="N644" s="130">
        <f t="shared" si="316"/>
        <v>0.4</v>
      </c>
      <c r="O644" s="131">
        <f t="array" ref="O644">INDEX('LPU Regionalizada'!$B$3:$N$785,MATCH($B644,'LPU Regionalizada'!$B$3:$B$785,0),MATCH(INDEX(CTRL!$F$3:$F$29,CTRL!$E$1),'LPU Regionalizada'!$B$3:$N$3,0))</f>
        <v>166.3430901</v>
      </c>
      <c r="P644" s="88"/>
      <c r="Q644" s="132">
        <f t="shared" si="317"/>
        <v>0</v>
      </c>
      <c r="R644" s="132">
        <f t="shared" si="318"/>
        <v>0</v>
      </c>
      <c r="S644" s="132">
        <f t="shared" si="319"/>
        <v>0</v>
      </c>
      <c r="T644" s="133">
        <f t="shared" si="320"/>
        <v>0</v>
      </c>
      <c r="U644" s="134">
        <f t="shared" si="296"/>
        <v>0</v>
      </c>
      <c r="V644" s="135"/>
      <c r="W644" s="136"/>
      <c r="X644" s="2"/>
      <c r="Y644" s="111"/>
      <c r="Z644" s="3"/>
    </row>
    <row r="645" ht="14.25" hidden="1" customHeight="1" outlineLevel="2">
      <c r="A645" s="124"/>
      <c r="B645" s="125" t="s">
        <v>1323</v>
      </c>
      <c r="C645" s="126" t="s">
        <v>1324</v>
      </c>
      <c r="D645" s="127" t="s">
        <v>180</v>
      </c>
      <c r="E645" s="35"/>
      <c r="F645" s="128"/>
      <c r="G645" s="128"/>
      <c r="H645" s="128"/>
      <c r="I645" s="127">
        <f t="shared" si="313"/>
        <v>0</v>
      </c>
      <c r="J645" s="88"/>
      <c r="K645" s="129">
        <f t="shared" si="314"/>
        <v>125.9917737</v>
      </c>
      <c r="L645" s="130">
        <v>0.6</v>
      </c>
      <c r="M645" s="129">
        <f t="shared" si="315"/>
        <v>83.99451582</v>
      </c>
      <c r="N645" s="130">
        <f t="shared" si="316"/>
        <v>0.4</v>
      </c>
      <c r="O645" s="131">
        <f t="array" ref="O645">INDEX('LPU Regionalizada'!$B$3:$N$785,MATCH($B645,'LPU Regionalizada'!$B$3:$B$785,0),MATCH(INDEX(CTRL!$F$3:$F$29,CTRL!$E$1),'LPU Regionalizada'!$B$3:$N$3,0))</f>
        <v>209.9862896</v>
      </c>
      <c r="P645" s="88"/>
      <c r="Q645" s="132">
        <f t="shared" si="317"/>
        <v>0</v>
      </c>
      <c r="R645" s="132">
        <f t="shared" si="318"/>
        <v>0</v>
      </c>
      <c r="S645" s="132">
        <f t="shared" si="319"/>
        <v>0</v>
      </c>
      <c r="T645" s="133">
        <f t="shared" si="320"/>
        <v>0</v>
      </c>
      <c r="U645" s="134">
        <f t="shared" si="296"/>
        <v>0</v>
      </c>
      <c r="V645" s="135"/>
      <c r="W645" s="136"/>
      <c r="X645" s="2"/>
      <c r="Y645" s="111"/>
      <c r="Z645" s="3"/>
    </row>
    <row r="646" ht="14.25" hidden="1" customHeight="1" outlineLevel="2">
      <c r="A646" s="124"/>
      <c r="B646" s="125" t="s">
        <v>1325</v>
      </c>
      <c r="C646" s="126" t="s">
        <v>1326</v>
      </c>
      <c r="D646" s="127" t="s">
        <v>180</v>
      </c>
      <c r="E646" s="35"/>
      <c r="F646" s="128"/>
      <c r="G646" s="128"/>
      <c r="H646" s="128"/>
      <c r="I646" s="127">
        <f t="shared" si="313"/>
        <v>0</v>
      </c>
      <c r="J646" s="88"/>
      <c r="K646" s="129">
        <f t="shared" si="314"/>
        <v>169.8688055</v>
      </c>
      <c r="L646" s="130">
        <v>0.6</v>
      </c>
      <c r="M646" s="129">
        <f t="shared" si="315"/>
        <v>113.2458704</v>
      </c>
      <c r="N646" s="130">
        <f t="shared" si="316"/>
        <v>0.4</v>
      </c>
      <c r="O646" s="131">
        <f t="array" ref="O646">INDEX('LPU Regionalizada'!$B$3:$N$785,MATCH($B646,'LPU Regionalizada'!$B$3:$B$785,0),MATCH(INDEX(CTRL!$F$3:$F$29,CTRL!$E$1),'LPU Regionalizada'!$B$3:$N$3,0))</f>
        <v>283.1146759</v>
      </c>
      <c r="P646" s="88"/>
      <c r="Q646" s="132">
        <f t="shared" si="317"/>
        <v>0</v>
      </c>
      <c r="R646" s="132">
        <f t="shared" si="318"/>
        <v>0</v>
      </c>
      <c r="S646" s="132">
        <f t="shared" si="319"/>
        <v>0</v>
      </c>
      <c r="T646" s="133">
        <f t="shared" si="320"/>
        <v>0</v>
      </c>
      <c r="U646" s="134">
        <f t="shared" si="296"/>
        <v>0</v>
      </c>
      <c r="V646" s="135"/>
      <c r="W646" s="136"/>
      <c r="X646" s="2"/>
      <c r="Y646" s="111"/>
      <c r="Z646" s="3"/>
    </row>
    <row r="647" ht="14.25" hidden="1" customHeight="1" outlineLevel="2">
      <c r="A647" s="124"/>
      <c r="B647" s="125" t="s">
        <v>1327</v>
      </c>
      <c r="C647" s="126" t="s">
        <v>1328</v>
      </c>
      <c r="D647" s="127" t="s">
        <v>180</v>
      </c>
      <c r="E647" s="35"/>
      <c r="F647" s="128"/>
      <c r="G647" s="128"/>
      <c r="H647" s="128"/>
      <c r="I647" s="127">
        <f t="shared" si="313"/>
        <v>0</v>
      </c>
      <c r="J647" s="88"/>
      <c r="K647" s="129">
        <f t="shared" si="314"/>
        <v>1.58496</v>
      </c>
      <c r="L647" s="130">
        <v>0.6</v>
      </c>
      <c r="M647" s="129">
        <f t="shared" si="315"/>
        <v>1.05664</v>
      </c>
      <c r="N647" s="130">
        <f t="shared" si="316"/>
        <v>0.4</v>
      </c>
      <c r="O647" s="131">
        <f t="array" ref="O647">INDEX('LPU Regionalizada'!$B$3:$N$785,MATCH($B647,'LPU Regionalizada'!$B$3:$B$785,0),MATCH(INDEX(CTRL!$F$3:$F$29,CTRL!$E$1),'LPU Regionalizada'!$B$3:$N$3,0))</f>
        <v>2.6416</v>
      </c>
      <c r="P647" s="88"/>
      <c r="Q647" s="132">
        <f t="shared" si="317"/>
        <v>0</v>
      </c>
      <c r="R647" s="132">
        <f t="shared" si="318"/>
        <v>0</v>
      </c>
      <c r="S647" s="132">
        <f t="shared" si="319"/>
        <v>0</v>
      </c>
      <c r="T647" s="133">
        <f t="shared" si="320"/>
        <v>0</v>
      </c>
      <c r="U647" s="134">
        <f t="shared" si="296"/>
        <v>0</v>
      </c>
      <c r="V647" s="135"/>
      <c r="W647" s="136"/>
      <c r="X647" s="2"/>
      <c r="Y647" s="111"/>
      <c r="Z647" s="3"/>
    </row>
    <row r="648" ht="14.25" hidden="1" customHeight="1" outlineLevel="2">
      <c r="A648" s="124"/>
      <c r="B648" s="125" t="s">
        <v>1329</v>
      </c>
      <c r="C648" s="126" t="s">
        <v>1330</v>
      </c>
      <c r="D648" s="127" t="s">
        <v>180</v>
      </c>
      <c r="E648" s="35"/>
      <c r="F648" s="128"/>
      <c r="G648" s="128"/>
      <c r="H648" s="128"/>
      <c r="I648" s="127">
        <f t="shared" si="313"/>
        <v>0</v>
      </c>
      <c r="J648" s="88"/>
      <c r="K648" s="129">
        <f t="shared" si="314"/>
        <v>2.195232</v>
      </c>
      <c r="L648" s="130">
        <v>0.6</v>
      </c>
      <c r="M648" s="129">
        <f t="shared" si="315"/>
        <v>1.463488</v>
      </c>
      <c r="N648" s="130">
        <f t="shared" si="316"/>
        <v>0.4</v>
      </c>
      <c r="O648" s="131">
        <f t="array" ref="O648">INDEX('LPU Regionalizada'!$B$3:$N$785,MATCH($B648,'LPU Regionalizada'!$B$3:$B$785,0),MATCH(INDEX(CTRL!$F$3:$F$29,CTRL!$E$1),'LPU Regionalizada'!$B$3:$N$3,0))</f>
        <v>3.65872</v>
      </c>
      <c r="P648" s="88"/>
      <c r="Q648" s="132">
        <f t="shared" si="317"/>
        <v>0</v>
      </c>
      <c r="R648" s="132">
        <f t="shared" si="318"/>
        <v>0</v>
      </c>
      <c r="S648" s="132">
        <f t="shared" si="319"/>
        <v>0</v>
      </c>
      <c r="T648" s="133">
        <f t="shared" si="320"/>
        <v>0</v>
      </c>
      <c r="U648" s="134">
        <f t="shared" si="296"/>
        <v>0</v>
      </c>
      <c r="V648" s="135"/>
      <c r="W648" s="136"/>
      <c r="X648" s="2"/>
      <c r="Y648" s="111"/>
      <c r="Z648" s="3"/>
    </row>
    <row r="649" ht="14.25" hidden="1" customHeight="1" outlineLevel="2">
      <c r="A649" s="124"/>
      <c r="B649" s="125" t="s">
        <v>1331</v>
      </c>
      <c r="C649" s="126" t="s">
        <v>1332</v>
      </c>
      <c r="D649" s="127" t="s">
        <v>180</v>
      </c>
      <c r="E649" s="35"/>
      <c r="F649" s="128"/>
      <c r="G649" s="128"/>
      <c r="H649" s="128"/>
      <c r="I649" s="127">
        <f t="shared" si="313"/>
        <v>0</v>
      </c>
      <c r="J649" s="88"/>
      <c r="K649" s="129">
        <f t="shared" si="314"/>
        <v>3.256032</v>
      </c>
      <c r="L649" s="130">
        <v>0.6</v>
      </c>
      <c r="M649" s="129">
        <f t="shared" si="315"/>
        <v>2.170688</v>
      </c>
      <c r="N649" s="130">
        <f t="shared" si="316"/>
        <v>0.4</v>
      </c>
      <c r="O649" s="131">
        <f t="array" ref="O649">INDEX('LPU Regionalizada'!$B$3:$N$785,MATCH($B649,'LPU Regionalizada'!$B$3:$B$785,0),MATCH(INDEX(CTRL!$F$3:$F$29,CTRL!$E$1),'LPU Regionalizada'!$B$3:$N$3,0))</f>
        <v>5.42672</v>
      </c>
      <c r="P649" s="88"/>
      <c r="Q649" s="132">
        <f t="shared" si="317"/>
        <v>0</v>
      </c>
      <c r="R649" s="132">
        <f t="shared" si="318"/>
        <v>0</v>
      </c>
      <c r="S649" s="132">
        <f t="shared" si="319"/>
        <v>0</v>
      </c>
      <c r="T649" s="133">
        <f t="shared" si="320"/>
        <v>0</v>
      </c>
      <c r="U649" s="134">
        <f t="shared" si="296"/>
        <v>0</v>
      </c>
      <c r="V649" s="135"/>
      <c r="W649" s="136"/>
      <c r="X649" s="2"/>
      <c r="Y649" s="111"/>
      <c r="Z649" s="3"/>
    </row>
    <row r="650" ht="14.25" hidden="1" customHeight="1" outlineLevel="2">
      <c r="A650" s="124"/>
      <c r="B650" s="125" t="s">
        <v>1333</v>
      </c>
      <c r="C650" s="126" t="s">
        <v>1334</v>
      </c>
      <c r="D650" s="127" t="s">
        <v>180</v>
      </c>
      <c r="E650" s="35"/>
      <c r="F650" s="128"/>
      <c r="G650" s="128"/>
      <c r="H650" s="128"/>
      <c r="I650" s="127">
        <f t="shared" si="313"/>
        <v>0</v>
      </c>
      <c r="J650" s="88"/>
      <c r="K650" s="129">
        <f t="shared" si="314"/>
        <v>9.553864078</v>
      </c>
      <c r="L650" s="130">
        <v>0.6</v>
      </c>
      <c r="M650" s="129">
        <f t="shared" si="315"/>
        <v>6.369242718</v>
      </c>
      <c r="N650" s="130">
        <f t="shared" si="316"/>
        <v>0.4</v>
      </c>
      <c r="O650" s="131">
        <f t="array" ref="O650">INDEX('LPU Regionalizada'!$B$3:$N$785,MATCH($B650,'LPU Regionalizada'!$B$3:$B$785,0),MATCH(INDEX(CTRL!$F$3:$F$29,CTRL!$E$1),'LPU Regionalizada'!$B$3:$N$3,0))</f>
        <v>15.9231068</v>
      </c>
      <c r="P650" s="88"/>
      <c r="Q650" s="132">
        <f t="shared" si="317"/>
        <v>0</v>
      </c>
      <c r="R650" s="132">
        <f t="shared" si="318"/>
        <v>0</v>
      </c>
      <c r="S650" s="132">
        <f t="shared" si="319"/>
        <v>0</v>
      </c>
      <c r="T650" s="133">
        <f t="shared" si="320"/>
        <v>0</v>
      </c>
      <c r="U650" s="134">
        <f t="shared" si="296"/>
        <v>0</v>
      </c>
      <c r="V650" s="135"/>
      <c r="W650" s="136"/>
      <c r="X650" s="2"/>
      <c r="Y650" s="111"/>
      <c r="Z650" s="3"/>
    </row>
    <row r="651" ht="14.25" hidden="1" customHeight="1" outlineLevel="2">
      <c r="A651" s="124"/>
      <c r="B651" s="125" t="s">
        <v>1335</v>
      </c>
      <c r="C651" s="126" t="s">
        <v>1336</v>
      </c>
      <c r="D651" s="127" t="s">
        <v>180</v>
      </c>
      <c r="E651" s="35"/>
      <c r="F651" s="128"/>
      <c r="G651" s="128"/>
      <c r="H651" s="128"/>
      <c r="I651" s="127">
        <f t="shared" si="313"/>
        <v>0</v>
      </c>
      <c r="J651" s="88"/>
      <c r="K651" s="129">
        <f t="shared" si="314"/>
        <v>11.43883301</v>
      </c>
      <c r="L651" s="130">
        <v>0.6</v>
      </c>
      <c r="M651" s="129">
        <f t="shared" si="315"/>
        <v>7.625888674</v>
      </c>
      <c r="N651" s="130">
        <f t="shared" si="316"/>
        <v>0.4</v>
      </c>
      <c r="O651" s="131">
        <f t="array" ref="O651">INDEX('LPU Regionalizada'!$B$3:$N$785,MATCH($B651,'LPU Regionalizada'!$B$3:$B$785,0),MATCH(INDEX(CTRL!$F$3:$F$29,CTRL!$E$1),'LPU Regionalizada'!$B$3:$N$3,0))</f>
        <v>19.06472168</v>
      </c>
      <c r="P651" s="88"/>
      <c r="Q651" s="132">
        <f t="shared" si="317"/>
        <v>0</v>
      </c>
      <c r="R651" s="132">
        <f t="shared" si="318"/>
        <v>0</v>
      </c>
      <c r="S651" s="132">
        <f t="shared" si="319"/>
        <v>0</v>
      </c>
      <c r="T651" s="133">
        <f t="shared" si="320"/>
        <v>0</v>
      </c>
      <c r="U651" s="134">
        <f t="shared" si="296"/>
        <v>0</v>
      </c>
      <c r="V651" s="135"/>
      <c r="W651" s="136"/>
      <c r="X651" s="2"/>
      <c r="Y651" s="111"/>
      <c r="Z651" s="3"/>
    </row>
    <row r="652" ht="14.25" hidden="1" customHeight="1" outlineLevel="2">
      <c r="A652" s="124"/>
      <c r="B652" s="125" t="s">
        <v>1337</v>
      </c>
      <c r="C652" s="126" t="s">
        <v>1338</v>
      </c>
      <c r="D652" s="127" t="s">
        <v>180</v>
      </c>
      <c r="E652" s="35"/>
      <c r="F652" s="128"/>
      <c r="G652" s="128"/>
      <c r="H652" s="128"/>
      <c r="I652" s="127">
        <f t="shared" si="313"/>
        <v>0</v>
      </c>
      <c r="J652" s="88"/>
      <c r="K652" s="129">
        <f t="shared" si="314"/>
        <v>16.33008</v>
      </c>
      <c r="L652" s="130">
        <v>0.6</v>
      </c>
      <c r="M652" s="129">
        <f t="shared" si="315"/>
        <v>10.88672</v>
      </c>
      <c r="N652" s="130">
        <f t="shared" si="316"/>
        <v>0.4</v>
      </c>
      <c r="O652" s="131">
        <f t="array" ref="O652">INDEX('LPU Regionalizada'!$B$3:$N$785,MATCH($B652,'LPU Regionalizada'!$B$3:$B$785,0),MATCH(INDEX(CTRL!$F$3:$F$29,CTRL!$E$1),'LPU Regionalizada'!$B$3:$N$3,0))</f>
        <v>27.2168</v>
      </c>
      <c r="P652" s="88"/>
      <c r="Q652" s="132">
        <f t="shared" si="317"/>
        <v>0</v>
      </c>
      <c r="R652" s="132">
        <f t="shared" si="318"/>
        <v>0</v>
      </c>
      <c r="S652" s="132">
        <f t="shared" si="319"/>
        <v>0</v>
      </c>
      <c r="T652" s="133">
        <f t="shared" si="320"/>
        <v>0</v>
      </c>
      <c r="U652" s="134">
        <f t="shared" si="296"/>
        <v>0</v>
      </c>
      <c r="V652" s="135"/>
      <c r="W652" s="136"/>
      <c r="X652" s="2"/>
      <c r="Y652" s="111"/>
      <c r="Z652" s="3"/>
    </row>
    <row r="653" ht="14.25" hidden="1" customHeight="1" outlineLevel="2">
      <c r="A653" s="124"/>
      <c r="B653" s="125" t="s">
        <v>1339</v>
      </c>
      <c r="C653" s="126" t="s">
        <v>1340</v>
      </c>
      <c r="D653" s="127" t="s">
        <v>180</v>
      </c>
      <c r="E653" s="35"/>
      <c r="F653" s="128"/>
      <c r="G653" s="128"/>
      <c r="H653" s="128"/>
      <c r="I653" s="127">
        <f t="shared" si="313"/>
        <v>0</v>
      </c>
      <c r="J653" s="88"/>
      <c r="K653" s="129">
        <f t="shared" si="314"/>
        <v>18.46416</v>
      </c>
      <c r="L653" s="130">
        <v>0.6</v>
      </c>
      <c r="M653" s="129">
        <f t="shared" si="315"/>
        <v>12.30944</v>
      </c>
      <c r="N653" s="130">
        <f t="shared" si="316"/>
        <v>0.4</v>
      </c>
      <c r="O653" s="131">
        <f t="array" ref="O653">INDEX('LPU Regionalizada'!$B$3:$N$785,MATCH($B653,'LPU Regionalizada'!$B$3:$B$785,0),MATCH(INDEX(CTRL!$F$3:$F$29,CTRL!$E$1),'LPU Regionalizada'!$B$3:$N$3,0))</f>
        <v>30.7736</v>
      </c>
      <c r="P653" s="88"/>
      <c r="Q653" s="132">
        <f t="shared" si="317"/>
        <v>0</v>
      </c>
      <c r="R653" s="132">
        <f t="shared" si="318"/>
        <v>0</v>
      </c>
      <c r="S653" s="132">
        <f t="shared" si="319"/>
        <v>0</v>
      </c>
      <c r="T653" s="133">
        <f t="shared" si="320"/>
        <v>0</v>
      </c>
      <c r="U653" s="134">
        <f t="shared" si="296"/>
        <v>0</v>
      </c>
      <c r="V653" s="135"/>
      <c r="W653" s="136"/>
      <c r="X653" s="2"/>
      <c r="Y653" s="111"/>
      <c r="Z653" s="3"/>
    </row>
    <row r="654" ht="14.25" hidden="1" customHeight="1" outlineLevel="2">
      <c r="A654" s="124"/>
      <c r="B654" s="125" t="s">
        <v>1341</v>
      </c>
      <c r="C654" s="126" t="s">
        <v>1342</v>
      </c>
      <c r="D654" s="127" t="s">
        <v>180</v>
      </c>
      <c r="E654" s="35"/>
      <c r="F654" s="128"/>
      <c r="G654" s="128"/>
      <c r="H654" s="128"/>
      <c r="I654" s="127">
        <f t="shared" si="313"/>
        <v>0</v>
      </c>
      <c r="J654" s="88"/>
      <c r="K654" s="129">
        <f t="shared" si="314"/>
        <v>23.49951158</v>
      </c>
      <c r="L654" s="130">
        <v>0.6</v>
      </c>
      <c r="M654" s="129">
        <f t="shared" si="315"/>
        <v>15.66634105</v>
      </c>
      <c r="N654" s="130">
        <f t="shared" si="316"/>
        <v>0.4</v>
      </c>
      <c r="O654" s="131">
        <f t="array" ref="O654">INDEX('LPU Regionalizada'!$B$3:$N$785,MATCH($B654,'LPU Regionalizada'!$B$3:$B$785,0),MATCH(INDEX(CTRL!$F$3:$F$29,CTRL!$E$1),'LPU Regionalizada'!$B$3:$N$3,0))</f>
        <v>39.16585263</v>
      </c>
      <c r="P654" s="88"/>
      <c r="Q654" s="132">
        <f t="shared" si="317"/>
        <v>0</v>
      </c>
      <c r="R654" s="132">
        <f t="shared" si="318"/>
        <v>0</v>
      </c>
      <c r="S654" s="132">
        <f t="shared" si="319"/>
        <v>0</v>
      </c>
      <c r="T654" s="133">
        <f t="shared" si="320"/>
        <v>0</v>
      </c>
      <c r="U654" s="134">
        <f t="shared" si="296"/>
        <v>0</v>
      </c>
      <c r="V654" s="135"/>
      <c r="W654" s="136"/>
      <c r="X654" s="2"/>
      <c r="Y654" s="111"/>
      <c r="Z654" s="3"/>
    </row>
    <row r="655" ht="14.25" hidden="1" customHeight="1" outlineLevel="2">
      <c r="A655" s="124"/>
      <c r="B655" s="125" t="s">
        <v>1343</v>
      </c>
      <c r="C655" s="126" t="s">
        <v>1344</v>
      </c>
      <c r="D655" s="127" t="s">
        <v>180</v>
      </c>
      <c r="E655" s="35"/>
      <c r="F655" s="128"/>
      <c r="G655" s="128"/>
      <c r="H655" s="128"/>
      <c r="I655" s="127">
        <f t="shared" si="313"/>
        <v>0</v>
      </c>
      <c r="J655" s="88"/>
      <c r="K655" s="129">
        <f t="shared" si="314"/>
        <v>50.58144</v>
      </c>
      <c r="L655" s="130">
        <v>0.6</v>
      </c>
      <c r="M655" s="129">
        <f t="shared" si="315"/>
        <v>33.72096</v>
      </c>
      <c r="N655" s="130">
        <f t="shared" si="316"/>
        <v>0.4</v>
      </c>
      <c r="O655" s="131">
        <f t="array" ref="O655">INDEX('LPU Regionalizada'!$B$3:$N$785,MATCH($B655,'LPU Regionalizada'!$B$3:$B$785,0),MATCH(INDEX(CTRL!$F$3:$F$29,CTRL!$E$1),'LPU Regionalizada'!$B$3:$N$3,0))</f>
        <v>84.3024</v>
      </c>
      <c r="P655" s="88"/>
      <c r="Q655" s="132">
        <f t="shared" si="317"/>
        <v>0</v>
      </c>
      <c r="R655" s="132">
        <f t="shared" si="318"/>
        <v>0</v>
      </c>
      <c r="S655" s="132">
        <f t="shared" si="319"/>
        <v>0</v>
      </c>
      <c r="T655" s="133">
        <f t="shared" si="320"/>
        <v>0</v>
      </c>
      <c r="U655" s="134">
        <f t="shared" si="296"/>
        <v>0</v>
      </c>
      <c r="V655" s="135"/>
      <c r="W655" s="136"/>
      <c r="X655" s="2"/>
      <c r="Y655" s="111"/>
      <c r="Z655" s="3"/>
    </row>
    <row r="656" ht="14.25" hidden="1" customHeight="1" outlineLevel="2">
      <c r="A656" s="124"/>
      <c r="B656" s="125" t="s">
        <v>1345</v>
      </c>
      <c r="C656" s="126" t="s">
        <v>1346</v>
      </c>
      <c r="D656" s="127" t="s">
        <v>180</v>
      </c>
      <c r="E656" s="35"/>
      <c r="F656" s="128"/>
      <c r="G656" s="128"/>
      <c r="H656" s="128"/>
      <c r="I656" s="127">
        <f t="shared" si="313"/>
        <v>0</v>
      </c>
      <c r="J656" s="88"/>
      <c r="K656" s="129">
        <f t="shared" si="314"/>
        <v>5.532696</v>
      </c>
      <c r="L656" s="130">
        <v>0.6</v>
      </c>
      <c r="M656" s="129">
        <f t="shared" si="315"/>
        <v>3.688464</v>
      </c>
      <c r="N656" s="130">
        <f t="shared" si="316"/>
        <v>0.4</v>
      </c>
      <c r="O656" s="131">
        <f t="array" ref="O656">INDEX('LPU Regionalizada'!$B$3:$N$785,MATCH($B656,'LPU Regionalizada'!$B$3:$B$785,0),MATCH(INDEX(CTRL!$F$3:$F$29,CTRL!$E$1),'LPU Regionalizada'!$B$3:$N$3,0))</f>
        <v>9.22116</v>
      </c>
      <c r="P656" s="88"/>
      <c r="Q656" s="132">
        <f t="shared" si="317"/>
        <v>0</v>
      </c>
      <c r="R656" s="132">
        <f t="shared" si="318"/>
        <v>0</v>
      </c>
      <c r="S656" s="132">
        <f t="shared" si="319"/>
        <v>0</v>
      </c>
      <c r="T656" s="133">
        <f t="shared" si="320"/>
        <v>0</v>
      </c>
      <c r="U656" s="134">
        <f t="shared" si="296"/>
        <v>0</v>
      </c>
      <c r="V656" s="135"/>
      <c r="W656" s="136"/>
      <c r="X656" s="2"/>
      <c r="Y656" s="111"/>
      <c r="Z656" s="3"/>
    </row>
    <row r="657" ht="14.25" hidden="1" customHeight="1" outlineLevel="2">
      <c r="A657" s="124"/>
      <c r="B657" s="125" t="s">
        <v>1347</v>
      </c>
      <c r="C657" s="126" t="s">
        <v>1348</v>
      </c>
      <c r="D657" s="127" t="s">
        <v>180</v>
      </c>
      <c r="E657" s="35"/>
      <c r="F657" s="128"/>
      <c r="G657" s="128"/>
      <c r="H657" s="128"/>
      <c r="I657" s="127">
        <f t="shared" si="313"/>
        <v>0</v>
      </c>
      <c r="J657" s="88"/>
      <c r="K657" s="129">
        <f t="shared" si="314"/>
        <v>5.106034511</v>
      </c>
      <c r="L657" s="130">
        <v>0.6</v>
      </c>
      <c r="M657" s="129">
        <f t="shared" si="315"/>
        <v>3.404023007</v>
      </c>
      <c r="N657" s="130">
        <f t="shared" si="316"/>
        <v>0.4</v>
      </c>
      <c r="O657" s="131">
        <f t="array" ref="O657">INDEX('LPU Regionalizada'!$B$3:$N$785,MATCH($B657,'LPU Regionalizada'!$B$3:$B$785,0),MATCH(INDEX(CTRL!$F$3:$F$29,CTRL!$E$1),'LPU Regionalizada'!$B$3:$N$3,0))</f>
        <v>8.510057518</v>
      </c>
      <c r="P657" s="88"/>
      <c r="Q657" s="132">
        <f t="shared" si="317"/>
        <v>0</v>
      </c>
      <c r="R657" s="132">
        <f t="shared" si="318"/>
        <v>0</v>
      </c>
      <c r="S657" s="132">
        <f t="shared" si="319"/>
        <v>0</v>
      </c>
      <c r="T657" s="133">
        <f t="shared" si="320"/>
        <v>0</v>
      </c>
      <c r="U657" s="134">
        <f t="shared" si="296"/>
        <v>0</v>
      </c>
      <c r="V657" s="135"/>
      <c r="W657" s="136"/>
      <c r="X657" s="2"/>
      <c r="Y657" s="111"/>
      <c r="Z657" s="3"/>
    </row>
    <row r="658" ht="14.25" hidden="1" customHeight="1" outlineLevel="2">
      <c r="A658" s="124"/>
      <c r="B658" s="125" t="s">
        <v>1349</v>
      </c>
      <c r="C658" s="126" t="s">
        <v>1350</v>
      </c>
      <c r="D658" s="127" t="s">
        <v>180</v>
      </c>
      <c r="E658" s="35"/>
      <c r="F658" s="128"/>
      <c r="G658" s="128"/>
      <c r="H658" s="128"/>
      <c r="I658" s="127">
        <f t="shared" si="313"/>
        <v>0</v>
      </c>
      <c r="J658" s="88"/>
      <c r="K658" s="129">
        <f t="shared" si="314"/>
        <v>11.47353136</v>
      </c>
      <c r="L658" s="130">
        <v>0.6</v>
      </c>
      <c r="M658" s="129">
        <f t="shared" si="315"/>
        <v>7.649020909</v>
      </c>
      <c r="N658" s="130">
        <f t="shared" si="316"/>
        <v>0.4</v>
      </c>
      <c r="O658" s="131">
        <f t="array" ref="O658">INDEX('LPU Regionalizada'!$B$3:$N$785,MATCH($B658,'LPU Regionalizada'!$B$3:$B$785,0),MATCH(INDEX(CTRL!$F$3:$F$29,CTRL!$E$1),'LPU Regionalizada'!$B$3:$N$3,0))</f>
        <v>19.12255227</v>
      </c>
      <c r="P658" s="88"/>
      <c r="Q658" s="132">
        <f t="shared" si="317"/>
        <v>0</v>
      </c>
      <c r="R658" s="132">
        <f t="shared" si="318"/>
        <v>0</v>
      </c>
      <c r="S658" s="132">
        <f t="shared" si="319"/>
        <v>0</v>
      </c>
      <c r="T658" s="133">
        <f t="shared" si="320"/>
        <v>0</v>
      </c>
      <c r="U658" s="134">
        <f t="shared" si="296"/>
        <v>0</v>
      </c>
      <c r="V658" s="135"/>
      <c r="W658" s="136"/>
      <c r="X658" s="2"/>
      <c r="Y658" s="111"/>
      <c r="Z658" s="3"/>
    </row>
    <row r="659" ht="14.25" hidden="1" customHeight="1" outlineLevel="2">
      <c r="A659" s="124"/>
      <c r="B659" s="125" t="s">
        <v>1351</v>
      </c>
      <c r="C659" s="126" t="s">
        <v>1352</v>
      </c>
      <c r="D659" s="127" t="s">
        <v>180</v>
      </c>
      <c r="E659" s="35"/>
      <c r="F659" s="128"/>
      <c r="G659" s="128"/>
      <c r="H659" s="128"/>
      <c r="I659" s="127">
        <f t="shared" si="313"/>
        <v>0</v>
      </c>
      <c r="J659" s="88"/>
      <c r="K659" s="129">
        <f t="shared" si="314"/>
        <v>12.078768</v>
      </c>
      <c r="L659" s="130">
        <v>0.6</v>
      </c>
      <c r="M659" s="129">
        <f t="shared" si="315"/>
        <v>8.052512</v>
      </c>
      <c r="N659" s="130">
        <f t="shared" si="316"/>
        <v>0.4</v>
      </c>
      <c r="O659" s="131">
        <f t="array" ref="O659">INDEX('LPU Regionalizada'!$B$3:$N$785,MATCH($B659,'LPU Regionalizada'!$B$3:$B$785,0),MATCH(INDEX(CTRL!$F$3:$F$29,CTRL!$E$1),'LPU Regionalizada'!$B$3:$N$3,0))</f>
        <v>20.13128</v>
      </c>
      <c r="P659" s="88"/>
      <c r="Q659" s="132">
        <f t="shared" si="317"/>
        <v>0</v>
      </c>
      <c r="R659" s="132">
        <f t="shared" si="318"/>
        <v>0</v>
      </c>
      <c r="S659" s="132">
        <f t="shared" si="319"/>
        <v>0</v>
      </c>
      <c r="T659" s="133">
        <f t="shared" si="320"/>
        <v>0</v>
      </c>
      <c r="U659" s="134">
        <f t="shared" si="296"/>
        <v>0</v>
      </c>
      <c r="V659" s="135"/>
      <c r="W659" s="136"/>
      <c r="X659" s="2"/>
      <c r="Y659" s="111"/>
      <c r="Z659" s="3"/>
    </row>
    <row r="660" ht="14.25" hidden="1" customHeight="1" outlineLevel="2">
      <c r="A660" s="124"/>
      <c r="B660" s="125" t="s">
        <v>1353</v>
      </c>
      <c r="C660" s="126" t="s">
        <v>1354</v>
      </c>
      <c r="D660" s="127" t="s">
        <v>180</v>
      </c>
      <c r="E660" s="35"/>
      <c r="F660" s="128"/>
      <c r="G660" s="128"/>
      <c r="H660" s="128"/>
      <c r="I660" s="127">
        <f t="shared" si="313"/>
        <v>0</v>
      </c>
      <c r="J660" s="88"/>
      <c r="K660" s="129">
        <f t="shared" si="314"/>
        <v>14.29584</v>
      </c>
      <c r="L660" s="130">
        <v>0.6</v>
      </c>
      <c r="M660" s="129">
        <f t="shared" si="315"/>
        <v>9.53056</v>
      </c>
      <c r="N660" s="130">
        <f t="shared" si="316"/>
        <v>0.4</v>
      </c>
      <c r="O660" s="131">
        <f t="array" ref="O660">INDEX('LPU Regionalizada'!$B$3:$N$785,MATCH($B660,'LPU Regionalizada'!$B$3:$B$785,0),MATCH(INDEX(CTRL!$F$3:$F$29,CTRL!$E$1),'LPU Regionalizada'!$B$3:$N$3,0))</f>
        <v>23.8264</v>
      </c>
      <c r="P660" s="88"/>
      <c r="Q660" s="132">
        <f t="shared" si="317"/>
        <v>0</v>
      </c>
      <c r="R660" s="132">
        <f t="shared" si="318"/>
        <v>0</v>
      </c>
      <c r="S660" s="132">
        <f t="shared" si="319"/>
        <v>0</v>
      </c>
      <c r="T660" s="133">
        <f t="shared" si="320"/>
        <v>0</v>
      </c>
      <c r="U660" s="134">
        <f t="shared" si="296"/>
        <v>0</v>
      </c>
      <c r="V660" s="135"/>
      <c r="W660" s="136"/>
      <c r="X660" s="2"/>
      <c r="Y660" s="111"/>
      <c r="Z660" s="3"/>
    </row>
    <row r="661" ht="14.25" hidden="1" customHeight="1" outlineLevel="2">
      <c r="A661" s="124"/>
      <c r="B661" s="125" t="s">
        <v>1355</v>
      </c>
      <c r="C661" s="126" t="s">
        <v>1356</v>
      </c>
      <c r="D661" s="127" t="s">
        <v>180</v>
      </c>
      <c r="E661" s="35"/>
      <c r="F661" s="128"/>
      <c r="G661" s="128"/>
      <c r="H661" s="128"/>
      <c r="I661" s="127">
        <f t="shared" si="313"/>
        <v>0</v>
      </c>
      <c r="J661" s="88"/>
      <c r="K661" s="129">
        <f t="shared" si="314"/>
        <v>17.38984</v>
      </c>
      <c r="L661" s="130">
        <v>0.6</v>
      </c>
      <c r="M661" s="129">
        <f t="shared" si="315"/>
        <v>11.59322667</v>
      </c>
      <c r="N661" s="130">
        <f t="shared" si="316"/>
        <v>0.4</v>
      </c>
      <c r="O661" s="131">
        <f t="array" ref="O661">INDEX('LPU Regionalizada'!$B$3:$N$785,MATCH($B661,'LPU Regionalizada'!$B$3:$B$785,0),MATCH(INDEX(CTRL!$F$3:$F$29,CTRL!$E$1),'LPU Regionalizada'!$B$3:$N$3,0))</f>
        <v>28.98306667</v>
      </c>
      <c r="P661" s="88"/>
      <c r="Q661" s="132">
        <f t="shared" si="317"/>
        <v>0</v>
      </c>
      <c r="R661" s="132">
        <f t="shared" si="318"/>
        <v>0</v>
      </c>
      <c r="S661" s="132">
        <f t="shared" si="319"/>
        <v>0</v>
      </c>
      <c r="T661" s="133">
        <f t="shared" si="320"/>
        <v>0</v>
      </c>
      <c r="U661" s="134">
        <f t="shared" si="296"/>
        <v>0</v>
      </c>
      <c r="V661" s="135"/>
      <c r="W661" s="136"/>
      <c r="X661" s="2"/>
      <c r="Y661" s="111"/>
      <c r="Z661" s="3"/>
    </row>
    <row r="662" ht="14.25" hidden="1" customHeight="1" outlineLevel="2">
      <c r="A662" s="124"/>
      <c r="B662" s="125" t="s">
        <v>1357</v>
      </c>
      <c r="C662" s="126" t="s">
        <v>1358</v>
      </c>
      <c r="D662" s="127" t="s">
        <v>180</v>
      </c>
      <c r="E662" s="35"/>
      <c r="F662" s="128"/>
      <c r="G662" s="128"/>
      <c r="H662" s="128"/>
      <c r="I662" s="127">
        <f t="shared" si="313"/>
        <v>0</v>
      </c>
      <c r="J662" s="88"/>
      <c r="K662" s="129">
        <f t="shared" si="314"/>
        <v>24.5544</v>
      </c>
      <c r="L662" s="130">
        <v>0.6</v>
      </c>
      <c r="M662" s="129">
        <f t="shared" si="315"/>
        <v>16.3696</v>
      </c>
      <c r="N662" s="130">
        <f t="shared" si="316"/>
        <v>0.4</v>
      </c>
      <c r="O662" s="131">
        <f t="array" ref="O662">INDEX('LPU Regionalizada'!$B$3:$N$785,MATCH($B662,'LPU Regionalizada'!$B$3:$B$785,0),MATCH(INDEX(CTRL!$F$3:$F$29,CTRL!$E$1),'LPU Regionalizada'!$B$3:$N$3,0))</f>
        <v>40.924</v>
      </c>
      <c r="P662" s="88"/>
      <c r="Q662" s="132">
        <f t="shared" si="317"/>
        <v>0</v>
      </c>
      <c r="R662" s="132">
        <f t="shared" si="318"/>
        <v>0</v>
      </c>
      <c r="S662" s="132">
        <f t="shared" si="319"/>
        <v>0</v>
      </c>
      <c r="T662" s="133">
        <f t="shared" si="320"/>
        <v>0</v>
      </c>
      <c r="U662" s="134">
        <f t="shared" si="296"/>
        <v>0</v>
      </c>
      <c r="V662" s="135"/>
      <c r="W662" s="136"/>
      <c r="X662" s="2"/>
      <c r="Y662" s="111"/>
      <c r="Z662" s="3"/>
    </row>
    <row r="663" ht="14.25" hidden="1" customHeight="1" outlineLevel="2">
      <c r="A663" s="124"/>
      <c r="B663" s="125" t="s">
        <v>1359</v>
      </c>
      <c r="C663" s="126" t="s">
        <v>1360</v>
      </c>
      <c r="D663" s="127" t="s">
        <v>180</v>
      </c>
      <c r="E663" s="35"/>
      <c r="F663" s="128"/>
      <c r="G663" s="128"/>
      <c r="H663" s="128"/>
      <c r="I663" s="127">
        <f t="shared" si="313"/>
        <v>0</v>
      </c>
      <c r="J663" s="88"/>
      <c r="K663" s="129">
        <f t="shared" si="314"/>
        <v>32.8848</v>
      </c>
      <c r="L663" s="130">
        <v>0.6</v>
      </c>
      <c r="M663" s="129">
        <f t="shared" si="315"/>
        <v>21.9232</v>
      </c>
      <c r="N663" s="130">
        <f t="shared" si="316"/>
        <v>0.4</v>
      </c>
      <c r="O663" s="131">
        <f t="array" ref="O663">INDEX('LPU Regionalizada'!$B$3:$N$785,MATCH($B663,'LPU Regionalizada'!$B$3:$B$785,0),MATCH(INDEX(CTRL!$F$3:$F$29,CTRL!$E$1),'LPU Regionalizada'!$B$3:$N$3,0))</f>
        <v>54.808</v>
      </c>
      <c r="P663" s="88"/>
      <c r="Q663" s="132">
        <f t="shared" si="317"/>
        <v>0</v>
      </c>
      <c r="R663" s="132">
        <f t="shared" si="318"/>
        <v>0</v>
      </c>
      <c r="S663" s="132">
        <f t="shared" si="319"/>
        <v>0</v>
      </c>
      <c r="T663" s="133">
        <f t="shared" si="320"/>
        <v>0</v>
      </c>
      <c r="U663" s="134">
        <f t="shared" si="296"/>
        <v>0</v>
      </c>
      <c r="V663" s="135"/>
      <c r="W663" s="136"/>
      <c r="X663" s="2"/>
      <c r="Y663" s="111"/>
      <c r="Z663" s="3"/>
    </row>
    <row r="664" ht="14.25" hidden="1" customHeight="1" outlineLevel="2">
      <c r="A664" s="124"/>
      <c r="B664" s="125" t="s">
        <v>1361</v>
      </c>
      <c r="C664" s="126" t="s">
        <v>1362</v>
      </c>
      <c r="D664" s="127" t="s">
        <v>180</v>
      </c>
      <c r="E664" s="35"/>
      <c r="F664" s="128"/>
      <c r="G664" s="128"/>
      <c r="H664" s="128"/>
      <c r="I664" s="127">
        <f t="shared" si="313"/>
        <v>0</v>
      </c>
      <c r="J664" s="88"/>
      <c r="K664" s="129">
        <f t="shared" si="314"/>
        <v>47.136</v>
      </c>
      <c r="L664" s="130">
        <v>0.6</v>
      </c>
      <c r="M664" s="129">
        <f t="shared" si="315"/>
        <v>31.424</v>
      </c>
      <c r="N664" s="130">
        <f t="shared" si="316"/>
        <v>0.4</v>
      </c>
      <c r="O664" s="131">
        <f t="array" ref="O664">INDEX('LPU Regionalizada'!$B$3:$N$785,MATCH($B664,'LPU Regionalizada'!$B$3:$B$785,0),MATCH(INDEX(CTRL!$F$3:$F$29,CTRL!$E$1),'LPU Regionalizada'!$B$3:$N$3,0))</f>
        <v>78.56</v>
      </c>
      <c r="P664" s="88"/>
      <c r="Q664" s="132">
        <f t="shared" si="317"/>
        <v>0</v>
      </c>
      <c r="R664" s="132">
        <f t="shared" si="318"/>
        <v>0</v>
      </c>
      <c r="S664" s="132">
        <f t="shared" si="319"/>
        <v>0</v>
      </c>
      <c r="T664" s="133">
        <f t="shared" si="320"/>
        <v>0</v>
      </c>
      <c r="U664" s="134">
        <f t="shared" si="296"/>
        <v>0</v>
      </c>
      <c r="V664" s="135"/>
      <c r="W664" s="136"/>
      <c r="X664" s="2"/>
      <c r="Y664" s="111"/>
      <c r="Z664" s="3"/>
    </row>
    <row r="665" ht="14.25" hidden="1" customHeight="1" outlineLevel="1">
      <c r="A665" s="112"/>
      <c r="B665" s="113" t="s">
        <v>1363</v>
      </c>
      <c r="C665" s="114" t="s">
        <v>1364</v>
      </c>
      <c r="D665" s="115"/>
      <c r="E665" s="35"/>
      <c r="F665" s="113"/>
      <c r="G665" s="116"/>
      <c r="H665" s="116"/>
      <c r="I665" s="115"/>
      <c r="J665" s="88"/>
      <c r="K665" s="117"/>
      <c r="L665" s="118"/>
      <c r="M665" s="118"/>
      <c r="N665" s="118"/>
      <c r="O665" s="119"/>
      <c r="P665" s="88"/>
      <c r="Q665" s="120"/>
      <c r="R665" s="120"/>
      <c r="S665" s="120"/>
      <c r="T665" s="120">
        <f>SUM(T666:T669)</f>
        <v>0</v>
      </c>
      <c r="U665" s="121">
        <f t="shared" si="296"/>
        <v>0</v>
      </c>
      <c r="V665" s="122"/>
      <c r="W665" s="123"/>
      <c r="X665" s="2"/>
      <c r="Y665" s="111"/>
      <c r="Z665" s="3"/>
    </row>
    <row r="666" ht="14.25" hidden="1" customHeight="1" outlineLevel="2">
      <c r="A666" s="124"/>
      <c r="B666" s="125" t="s">
        <v>1365</v>
      </c>
      <c r="C666" s="126" t="s">
        <v>1366</v>
      </c>
      <c r="D666" s="127" t="s">
        <v>180</v>
      </c>
      <c r="E666" s="35"/>
      <c r="F666" s="128"/>
      <c r="G666" s="128"/>
      <c r="H666" s="128"/>
      <c r="I666" s="127">
        <f t="shared" ref="I666:I669" si="321">F666+G666+H666</f>
        <v>0</v>
      </c>
      <c r="J666" s="88"/>
      <c r="K666" s="129">
        <f t="shared" ref="K666:K669" si="322">L666*O666</f>
        <v>10.36616704</v>
      </c>
      <c r="L666" s="130">
        <v>0.6</v>
      </c>
      <c r="M666" s="129">
        <f t="shared" ref="M666:M669" si="323">N666*O666</f>
        <v>6.910778029</v>
      </c>
      <c r="N666" s="130">
        <f t="shared" ref="N666:N669" si="324">100%-L666</f>
        <v>0.4</v>
      </c>
      <c r="O666" s="131">
        <f t="array" ref="O666">INDEX('LPU Regionalizada'!$B$3:$N$785,MATCH($B666,'LPU Regionalizada'!$B$3:$B$785,0),MATCH(INDEX(CTRL!$F$3:$F$29,CTRL!$E$1),'LPU Regionalizada'!$B$3:$N$3,0))</f>
        <v>17.27694507</v>
      </c>
      <c r="P666" s="88"/>
      <c r="Q666" s="132">
        <f t="shared" ref="Q666:Q669" si="325">F666*O666</f>
        <v>0</v>
      </c>
      <c r="R666" s="132">
        <f t="shared" ref="R666:R669" si="326">G666*O666</f>
        <v>0</v>
      </c>
      <c r="S666" s="132">
        <f t="shared" ref="S666:S669" si="327">H666*O666</f>
        <v>0</v>
      </c>
      <c r="T666" s="133">
        <f t="shared" ref="T666:T669" si="328">SUM(Q666:S666)</f>
        <v>0</v>
      </c>
      <c r="U666" s="134">
        <f t="shared" si="296"/>
        <v>0</v>
      </c>
      <c r="V666" s="135"/>
      <c r="W666" s="136"/>
      <c r="X666" s="2"/>
      <c r="Y666" s="111"/>
      <c r="Z666" s="3"/>
    </row>
    <row r="667" ht="14.25" hidden="1" customHeight="1" outlineLevel="2">
      <c r="A667" s="124"/>
      <c r="B667" s="125" t="s">
        <v>1367</v>
      </c>
      <c r="C667" s="126" t="s">
        <v>1368</v>
      </c>
      <c r="D667" s="127" t="s">
        <v>180</v>
      </c>
      <c r="E667" s="35"/>
      <c r="F667" s="128"/>
      <c r="G667" s="128"/>
      <c r="H667" s="128"/>
      <c r="I667" s="127">
        <f t="shared" si="321"/>
        <v>0</v>
      </c>
      <c r="J667" s="88"/>
      <c r="K667" s="129">
        <f t="shared" si="322"/>
        <v>16.49454545</v>
      </c>
      <c r="L667" s="130">
        <v>0.6</v>
      </c>
      <c r="M667" s="129">
        <f t="shared" si="323"/>
        <v>10.99636364</v>
      </c>
      <c r="N667" s="130">
        <f t="shared" si="324"/>
        <v>0.4</v>
      </c>
      <c r="O667" s="131">
        <f t="array" ref="O667">INDEX('LPU Regionalizada'!$B$3:$N$785,MATCH($B667,'LPU Regionalizada'!$B$3:$B$785,0),MATCH(INDEX(CTRL!$F$3:$F$29,CTRL!$E$1),'LPU Regionalizada'!$B$3:$N$3,0))</f>
        <v>27.49090909</v>
      </c>
      <c r="P667" s="88"/>
      <c r="Q667" s="132">
        <f t="shared" si="325"/>
        <v>0</v>
      </c>
      <c r="R667" s="132">
        <f t="shared" si="326"/>
        <v>0</v>
      </c>
      <c r="S667" s="132">
        <f t="shared" si="327"/>
        <v>0</v>
      </c>
      <c r="T667" s="133">
        <f t="shared" si="328"/>
        <v>0</v>
      </c>
      <c r="U667" s="134">
        <f t="shared" si="296"/>
        <v>0</v>
      </c>
      <c r="V667" s="135"/>
      <c r="W667" s="136"/>
      <c r="X667" s="2"/>
      <c r="Y667" s="111"/>
      <c r="Z667" s="3"/>
    </row>
    <row r="668" ht="14.25" hidden="1" customHeight="1" outlineLevel="2">
      <c r="A668" s="124"/>
      <c r="B668" s="125" t="s">
        <v>1369</v>
      </c>
      <c r="C668" s="126" t="s">
        <v>1370</v>
      </c>
      <c r="D668" s="127" t="s">
        <v>180</v>
      </c>
      <c r="E668" s="35"/>
      <c r="F668" s="128"/>
      <c r="G668" s="128"/>
      <c r="H668" s="128"/>
      <c r="I668" s="127">
        <f t="shared" si="321"/>
        <v>0</v>
      </c>
      <c r="J668" s="88"/>
      <c r="K668" s="129">
        <f t="shared" si="322"/>
        <v>31.563</v>
      </c>
      <c r="L668" s="130">
        <v>0.6</v>
      </c>
      <c r="M668" s="129">
        <f t="shared" si="323"/>
        <v>21.042</v>
      </c>
      <c r="N668" s="130">
        <f t="shared" si="324"/>
        <v>0.4</v>
      </c>
      <c r="O668" s="131">
        <f t="array" ref="O668">INDEX('LPU Regionalizada'!$B$3:$N$785,MATCH($B668,'LPU Regionalizada'!$B$3:$B$785,0),MATCH(INDEX(CTRL!$F$3:$F$29,CTRL!$E$1),'LPU Regionalizada'!$B$3:$N$3,0))</f>
        <v>52.605</v>
      </c>
      <c r="P668" s="88"/>
      <c r="Q668" s="132">
        <f t="shared" si="325"/>
        <v>0</v>
      </c>
      <c r="R668" s="132">
        <f t="shared" si="326"/>
        <v>0</v>
      </c>
      <c r="S668" s="132">
        <f t="shared" si="327"/>
        <v>0</v>
      </c>
      <c r="T668" s="133">
        <f t="shared" si="328"/>
        <v>0</v>
      </c>
      <c r="U668" s="134">
        <f t="shared" si="296"/>
        <v>0</v>
      </c>
      <c r="V668" s="135"/>
      <c r="W668" s="136"/>
      <c r="X668" s="2"/>
      <c r="Y668" s="111"/>
      <c r="Z668" s="3"/>
    </row>
    <row r="669" ht="14.25" hidden="1" customHeight="1" outlineLevel="2">
      <c r="A669" s="124"/>
      <c r="B669" s="125" t="s">
        <v>1371</v>
      </c>
      <c r="C669" s="126" t="s">
        <v>1372</v>
      </c>
      <c r="D669" s="127" t="s">
        <v>142</v>
      </c>
      <c r="E669" s="35"/>
      <c r="F669" s="128"/>
      <c r="G669" s="128"/>
      <c r="H669" s="128"/>
      <c r="I669" s="127">
        <f t="shared" si="321"/>
        <v>0</v>
      </c>
      <c r="J669" s="88"/>
      <c r="K669" s="129">
        <f t="shared" si="322"/>
        <v>228.2845926</v>
      </c>
      <c r="L669" s="130">
        <v>0.6</v>
      </c>
      <c r="M669" s="129">
        <f t="shared" si="323"/>
        <v>152.1897284</v>
      </c>
      <c r="N669" s="130">
        <f t="shared" si="324"/>
        <v>0.4</v>
      </c>
      <c r="O669" s="131">
        <f t="array" ref="O669">INDEX('LPU Regionalizada'!$B$3:$N$785,MATCH($B669,'LPU Regionalizada'!$B$3:$B$785,0),MATCH(INDEX(CTRL!$F$3:$F$29,CTRL!$E$1),'LPU Regionalizada'!$B$3:$N$3,0))</f>
        <v>380.474321</v>
      </c>
      <c r="P669" s="88"/>
      <c r="Q669" s="132">
        <f t="shared" si="325"/>
        <v>0</v>
      </c>
      <c r="R669" s="132">
        <f t="shared" si="326"/>
        <v>0</v>
      </c>
      <c r="S669" s="132">
        <f t="shared" si="327"/>
        <v>0</v>
      </c>
      <c r="T669" s="133">
        <f t="shared" si="328"/>
        <v>0</v>
      </c>
      <c r="U669" s="134">
        <f t="shared" si="296"/>
        <v>0</v>
      </c>
      <c r="V669" s="135"/>
      <c r="W669" s="136"/>
      <c r="X669" s="2"/>
      <c r="Y669" s="111"/>
      <c r="Z669" s="3"/>
    </row>
    <row r="670" ht="14.25" hidden="1" customHeight="1" outlineLevel="1">
      <c r="A670" s="112"/>
      <c r="B670" s="113" t="s">
        <v>1373</v>
      </c>
      <c r="C670" s="114" t="s">
        <v>1374</v>
      </c>
      <c r="D670" s="115"/>
      <c r="E670" s="35"/>
      <c r="F670" s="113"/>
      <c r="G670" s="116"/>
      <c r="H670" s="116"/>
      <c r="I670" s="115"/>
      <c r="J670" s="88"/>
      <c r="K670" s="117"/>
      <c r="L670" s="118"/>
      <c r="M670" s="118"/>
      <c r="N670" s="118"/>
      <c r="O670" s="119"/>
      <c r="P670" s="88"/>
      <c r="Q670" s="120"/>
      <c r="R670" s="120"/>
      <c r="S670" s="120"/>
      <c r="T670" s="120">
        <f>SUM(T671:T675)</f>
        <v>0</v>
      </c>
      <c r="U670" s="121">
        <f t="shared" si="296"/>
        <v>0</v>
      </c>
      <c r="V670" s="122"/>
      <c r="W670" s="123"/>
      <c r="X670" s="2"/>
      <c r="Y670" s="111"/>
      <c r="Z670" s="3"/>
    </row>
    <row r="671" ht="14.25" hidden="1" customHeight="1" outlineLevel="2">
      <c r="A671" s="124"/>
      <c r="B671" s="125" t="s">
        <v>1375</v>
      </c>
      <c r="C671" s="126" t="s">
        <v>1376</v>
      </c>
      <c r="D671" s="127" t="s">
        <v>180</v>
      </c>
      <c r="E671" s="35"/>
      <c r="F671" s="128"/>
      <c r="G671" s="128"/>
      <c r="H671" s="128"/>
      <c r="I671" s="127">
        <f t="shared" ref="I671:I675" si="329">F671+G671+H671</f>
        <v>0</v>
      </c>
      <c r="J671" s="88"/>
      <c r="K671" s="129">
        <f t="shared" ref="K671:K675" si="330">L671*O671</f>
        <v>7.643899368</v>
      </c>
      <c r="L671" s="130">
        <v>0.6</v>
      </c>
      <c r="M671" s="129">
        <f t="shared" ref="M671:M675" si="331">N671*O671</f>
        <v>5.095932912</v>
      </c>
      <c r="N671" s="130">
        <f t="shared" ref="N671:N675" si="332">100%-L671</f>
        <v>0.4</v>
      </c>
      <c r="O671" s="131">
        <f t="array" ref="O671">INDEX('LPU Regionalizada'!$B$3:$N$785,MATCH($B671,'LPU Regionalizada'!$B$3:$B$785,0),MATCH(INDEX(CTRL!$F$3:$F$29,CTRL!$E$1),'LPU Regionalizada'!$B$3:$N$3,0))</f>
        <v>12.73983228</v>
      </c>
      <c r="P671" s="88"/>
      <c r="Q671" s="132">
        <f t="shared" ref="Q671:Q675" si="333">F671*O671</f>
        <v>0</v>
      </c>
      <c r="R671" s="132">
        <f t="shared" ref="R671:R675" si="334">G671*O671</f>
        <v>0</v>
      </c>
      <c r="S671" s="132">
        <f t="shared" ref="S671:S675" si="335">H671*O671</f>
        <v>0</v>
      </c>
      <c r="T671" s="133">
        <f t="shared" ref="T671:T675" si="336">SUM(Q671:S671)</f>
        <v>0</v>
      </c>
      <c r="U671" s="134">
        <f t="shared" si="296"/>
        <v>0</v>
      </c>
      <c r="V671" s="135"/>
      <c r="W671" s="136"/>
      <c r="X671" s="2"/>
      <c r="Y671" s="111"/>
      <c r="Z671" s="3"/>
    </row>
    <row r="672" ht="14.25" hidden="1" customHeight="1" outlineLevel="2">
      <c r="A672" s="124"/>
      <c r="B672" s="125" t="s">
        <v>1377</v>
      </c>
      <c r="C672" s="126" t="s">
        <v>1378</v>
      </c>
      <c r="D672" s="127" t="s">
        <v>180</v>
      </c>
      <c r="E672" s="35"/>
      <c r="F672" s="128"/>
      <c r="G672" s="128"/>
      <c r="H672" s="128"/>
      <c r="I672" s="127">
        <f t="shared" si="329"/>
        <v>0</v>
      </c>
      <c r="J672" s="88"/>
      <c r="K672" s="129">
        <f t="shared" si="330"/>
        <v>11.04</v>
      </c>
      <c r="L672" s="130">
        <v>0.6</v>
      </c>
      <c r="M672" s="129">
        <f t="shared" si="331"/>
        <v>7.36</v>
      </c>
      <c r="N672" s="130">
        <f t="shared" si="332"/>
        <v>0.4</v>
      </c>
      <c r="O672" s="131">
        <f t="array" ref="O672">INDEX('LPU Regionalizada'!$B$3:$N$785,MATCH($B672,'LPU Regionalizada'!$B$3:$B$785,0),MATCH(INDEX(CTRL!$F$3:$F$29,CTRL!$E$1),'LPU Regionalizada'!$B$3:$N$3,0))</f>
        <v>18.4</v>
      </c>
      <c r="P672" s="88"/>
      <c r="Q672" s="132">
        <f t="shared" si="333"/>
        <v>0</v>
      </c>
      <c r="R672" s="132">
        <f t="shared" si="334"/>
        <v>0</v>
      </c>
      <c r="S672" s="132">
        <f t="shared" si="335"/>
        <v>0</v>
      </c>
      <c r="T672" s="133">
        <f t="shared" si="336"/>
        <v>0</v>
      </c>
      <c r="U672" s="134">
        <f t="shared" si="296"/>
        <v>0</v>
      </c>
      <c r="V672" s="135"/>
      <c r="W672" s="136"/>
      <c r="X672" s="2"/>
      <c r="Y672" s="111"/>
      <c r="Z672" s="3"/>
    </row>
    <row r="673" ht="14.25" hidden="1" customHeight="1" outlineLevel="2">
      <c r="A673" s="124"/>
      <c r="B673" s="125" t="s">
        <v>1379</v>
      </c>
      <c r="C673" s="126" t="s">
        <v>1380</v>
      </c>
      <c r="D673" s="127" t="s">
        <v>180</v>
      </c>
      <c r="E673" s="35"/>
      <c r="F673" s="128"/>
      <c r="G673" s="128"/>
      <c r="H673" s="128"/>
      <c r="I673" s="127">
        <f t="shared" si="329"/>
        <v>0</v>
      </c>
      <c r="J673" s="88"/>
      <c r="K673" s="129">
        <f t="shared" si="330"/>
        <v>15</v>
      </c>
      <c r="L673" s="130">
        <v>0.6</v>
      </c>
      <c r="M673" s="129">
        <f t="shared" si="331"/>
        <v>10</v>
      </c>
      <c r="N673" s="130">
        <f t="shared" si="332"/>
        <v>0.4</v>
      </c>
      <c r="O673" s="131">
        <f t="array" ref="O673">INDEX('LPU Regionalizada'!$B$3:$N$785,MATCH($B673,'LPU Regionalizada'!$B$3:$B$785,0),MATCH(INDEX(CTRL!$F$3:$F$29,CTRL!$E$1),'LPU Regionalizada'!$B$3:$N$3,0))</f>
        <v>25</v>
      </c>
      <c r="P673" s="88"/>
      <c r="Q673" s="132">
        <f t="shared" si="333"/>
        <v>0</v>
      </c>
      <c r="R673" s="132">
        <f t="shared" si="334"/>
        <v>0</v>
      </c>
      <c r="S673" s="132">
        <f t="shared" si="335"/>
        <v>0</v>
      </c>
      <c r="T673" s="133">
        <f t="shared" si="336"/>
        <v>0</v>
      </c>
      <c r="U673" s="134">
        <f t="shared" si="296"/>
        <v>0</v>
      </c>
      <c r="V673" s="135"/>
      <c r="W673" s="136"/>
      <c r="X673" s="2"/>
      <c r="Y673" s="111"/>
      <c r="Z673" s="3"/>
    </row>
    <row r="674" ht="14.25" hidden="1" customHeight="1" outlineLevel="2">
      <c r="A674" s="124"/>
      <c r="B674" s="125" t="s">
        <v>1381</v>
      </c>
      <c r="C674" s="126" t="s">
        <v>1382</v>
      </c>
      <c r="D674" s="127" t="s">
        <v>180</v>
      </c>
      <c r="E674" s="35"/>
      <c r="F674" s="128"/>
      <c r="G674" s="128"/>
      <c r="H674" s="128"/>
      <c r="I674" s="127">
        <f t="shared" si="329"/>
        <v>0</v>
      </c>
      <c r="J674" s="88"/>
      <c r="K674" s="129">
        <f t="shared" si="330"/>
        <v>17.28</v>
      </c>
      <c r="L674" s="130">
        <v>0.6</v>
      </c>
      <c r="M674" s="129">
        <f t="shared" si="331"/>
        <v>11.52</v>
      </c>
      <c r="N674" s="130">
        <f t="shared" si="332"/>
        <v>0.4</v>
      </c>
      <c r="O674" s="131">
        <f t="array" ref="O674">INDEX('LPU Regionalizada'!$B$3:$N$785,MATCH($B674,'LPU Regionalizada'!$B$3:$B$785,0),MATCH(INDEX(CTRL!$F$3:$F$29,CTRL!$E$1),'LPU Regionalizada'!$B$3:$N$3,0))</f>
        <v>28.8</v>
      </c>
      <c r="P674" s="88"/>
      <c r="Q674" s="132">
        <f t="shared" si="333"/>
        <v>0</v>
      </c>
      <c r="R674" s="132">
        <f t="shared" si="334"/>
        <v>0</v>
      </c>
      <c r="S674" s="132">
        <f t="shared" si="335"/>
        <v>0</v>
      </c>
      <c r="T674" s="133">
        <f t="shared" si="336"/>
        <v>0</v>
      </c>
      <c r="U674" s="134">
        <f t="shared" si="296"/>
        <v>0</v>
      </c>
      <c r="V674" s="135"/>
      <c r="W674" s="136"/>
      <c r="X674" s="2"/>
      <c r="Y674" s="111"/>
      <c r="Z674" s="3"/>
    </row>
    <row r="675" ht="14.25" hidden="1" customHeight="1" outlineLevel="2">
      <c r="A675" s="124"/>
      <c r="B675" s="125" t="s">
        <v>1383</v>
      </c>
      <c r="C675" s="126" t="s">
        <v>1384</v>
      </c>
      <c r="D675" s="127" t="s">
        <v>180</v>
      </c>
      <c r="E675" s="35"/>
      <c r="F675" s="128"/>
      <c r="G675" s="128"/>
      <c r="H675" s="128"/>
      <c r="I675" s="127">
        <f t="shared" si="329"/>
        <v>0</v>
      </c>
      <c r="J675" s="88"/>
      <c r="K675" s="129">
        <f t="shared" si="330"/>
        <v>30.933</v>
      </c>
      <c r="L675" s="130">
        <v>0.6</v>
      </c>
      <c r="M675" s="129">
        <f t="shared" si="331"/>
        <v>20.622</v>
      </c>
      <c r="N675" s="130">
        <f t="shared" si="332"/>
        <v>0.4</v>
      </c>
      <c r="O675" s="131">
        <f t="array" ref="O675">INDEX('LPU Regionalizada'!$B$3:$N$785,MATCH($B675,'LPU Regionalizada'!$B$3:$B$785,0),MATCH(INDEX(CTRL!$F$3:$F$29,CTRL!$E$1),'LPU Regionalizada'!$B$3:$N$3,0))</f>
        <v>51.555</v>
      </c>
      <c r="P675" s="88"/>
      <c r="Q675" s="132">
        <f t="shared" si="333"/>
        <v>0</v>
      </c>
      <c r="R675" s="132">
        <f t="shared" si="334"/>
        <v>0</v>
      </c>
      <c r="S675" s="132">
        <f t="shared" si="335"/>
        <v>0</v>
      </c>
      <c r="T675" s="133">
        <f t="shared" si="336"/>
        <v>0</v>
      </c>
      <c r="U675" s="134">
        <f t="shared" si="296"/>
        <v>0</v>
      </c>
      <c r="V675" s="135"/>
      <c r="W675" s="136"/>
      <c r="X675" s="2"/>
      <c r="Y675" s="111"/>
      <c r="Z675" s="3"/>
    </row>
    <row r="676" ht="14.25" hidden="1" customHeight="1" outlineLevel="1">
      <c r="A676" s="112"/>
      <c r="B676" s="113" t="s">
        <v>1385</v>
      </c>
      <c r="C676" s="114" t="s">
        <v>1386</v>
      </c>
      <c r="D676" s="115"/>
      <c r="E676" s="35"/>
      <c r="F676" s="113"/>
      <c r="G676" s="116"/>
      <c r="H676" s="116"/>
      <c r="I676" s="115"/>
      <c r="J676" s="88"/>
      <c r="K676" s="117"/>
      <c r="L676" s="118"/>
      <c r="M676" s="118"/>
      <c r="N676" s="118"/>
      <c r="O676" s="119"/>
      <c r="P676" s="88"/>
      <c r="Q676" s="120"/>
      <c r="R676" s="120"/>
      <c r="S676" s="120"/>
      <c r="T676" s="120">
        <f>SUM(T677:T695)</f>
        <v>0</v>
      </c>
      <c r="U676" s="121">
        <f t="shared" si="296"/>
        <v>0</v>
      </c>
      <c r="V676" s="122"/>
      <c r="W676" s="123"/>
      <c r="X676" s="2"/>
      <c r="Y676" s="111"/>
      <c r="Z676" s="3"/>
    </row>
    <row r="677" ht="14.25" hidden="1" customHeight="1" outlineLevel="2">
      <c r="A677" s="124"/>
      <c r="B677" s="125" t="s">
        <v>1387</v>
      </c>
      <c r="C677" s="126" t="s">
        <v>1388</v>
      </c>
      <c r="D677" s="127" t="s">
        <v>142</v>
      </c>
      <c r="E677" s="35"/>
      <c r="F677" s="128"/>
      <c r="G677" s="128"/>
      <c r="H677" s="128"/>
      <c r="I677" s="127">
        <f t="shared" ref="I677:I695" si="337">F677+G677+H677</f>
        <v>0</v>
      </c>
      <c r="J677" s="88"/>
      <c r="K677" s="129">
        <f t="shared" ref="K677:K695" si="338">L677*O677</f>
        <v>136.5510031</v>
      </c>
      <c r="L677" s="130">
        <v>0.6</v>
      </c>
      <c r="M677" s="129">
        <f t="shared" ref="M677:M695" si="339">N677*O677</f>
        <v>91.03400204</v>
      </c>
      <c r="N677" s="130">
        <f t="shared" ref="N677:N695" si="340">100%-L677</f>
        <v>0.4</v>
      </c>
      <c r="O677" s="131">
        <f t="array" ref="O677">INDEX('LPU Regionalizada'!$B$3:$N$785,MATCH($B677,'LPU Regionalizada'!$B$3:$B$785,0),MATCH(INDEX(CTRL!$F$3:$F$29,CTRL!$E$1),'LPU Regionalizada'!$B$3:$N$3,0))</f>
        <v>227.5850051</v>
      </c>
      <c r="P677" s="88"/>
      <c r="Q677" s="132">
        <f t="shared" ref="Q677:Q695" si="341">F677*O677</f>
        <v>0</v>
      </c>
      <c r="R677" s="132">
        <f t="shared" ref="R677:R695" si="342">G677*O677</f>
        <v>0</v>
      </c>
      <c r="S677" s="132">
        <f t="shared" ref="S677:S695" si="343">H677*O677</f>
        <v>0</v>
      </c>
      <c r="T677" s="133">
        <f t="shared" ref="T677:T695" si="344">SUM(Q677:S677)</f>
        <v>0</v>
      </c>
      <c r="U677" s="134">
        <f t="shared" si="296"/>
        <v>0</v>
      </c>
      <c r="V677" s="135"/>
      <c r="W677" s="136"/>
      <c r="X677" s="2"/>
      <c r="Y677" s="111"/>
      <c r="Z677" s="3"/>
    </row>
    <row r="678" ht="14.25" hidden="1" customHeight="1" outlineLevel="2">
      <c r="A678" s="124"/>
      <c r="B678" s="125" t="s">
        <v>1389</v>
      </c>
      <c r="C678" s="126" t="s">
        <v>1390</v>
      </c>
      <c r="D678" s="127" t="s">
        <v>142</v>
      </c>
      <c r="E678" s="35"/>
      <c r="F678" s="128"/>
      <c r="G678" s="128"/>
      <c r="H678" s="128"/>
      <c r="I678" s="127">
        <f t="shared" si="337"/>
        <v>0</v>
      </c>
      <c r="J678" s="88"/>
      <c r="K678" s="129">
        <f t="shared" si="338"/>
        <v>218.4</v>
      </c>
      <c r="L678" s="130">
        <v>0.6</v>
      </c>
      <c r="M678" s="129">
        <f t="shared" si="339"/>
        <v>145.6</v>
      </c>
      <c r="N678" s="130">
        <f t="shared" si="340"/>
        <v>0.4</v>
      </c>
      <c r="O678" s="131">
        <f t="array" ref="O678">INDEX('LPU Regionalizada'!$B$3:$N$785,MATCH($B678,'LPU Regionalizada'!$B$3:$B$785,0),MATCH(INDEX(CTRL!$F$3:$F$29,CTRL!$E$1),'LPU Regionalizada'!$B$3:$N$3,0))</f>
        <v>364</v>
      </c>
      <c r="P678" s="88"/>
      <c r="Q678" s="132">
        <f t="shared" si="341"/>
        <v>0</v>
      </c>
      <c r="R678" s="132">
        <f t="shared" si="342"/>
        <v>0</v>
      </c>
      <c r="S678" s="132">
        <f t="shared" si="343"/>
        <v>0</v>
      </c>
      <c r="T678" s="133">
        <f t="shared" si="344"/>
        <v>0</v>
      </c>
      <c r="U678" s="134">
        <f t="shared" si="296"/>
        <v>0</v>
      </c>
      <c r="V678" s="135"/>
      <c r="W678" s="136"/>
      <c r="X678" s="2"/>
      <c r="Y678" s="111"/>
      <c r="Z678" s="3"/>
    </row>
    <row r="679" ht="14.25" hidden="1" customHeight="1" outlineLevel="2">
      <c r="A679" s="124"/>
      <c r="B679" s="125" t="s">
        <v>1391</v>
      </c>
      <c r="C679" s="126" t="s">
        <v>1392</v>
      </c>
      <c r="D679" s="127" t="s">
        <v>142</v>
      </c>
      <c r="E679" s="35"/>
      <c r="F679" s="128"/>
      <c r="G679" s="128"/>
      <c r="H679" s="128"/>
      <c r="I679" s="127">
        <f t="shared" si="337"/>
        <v>0</v>
      </c>
      <c r="J679" s="88"/>
      <c r="K679" s="129">
        <f t="shared" si="338"/>
        <v>8.66736</v>
      </c>
      <c r="L679" s="130">
        <v>0.6</v>
      </c>
      <c r="M679" s="129">
        <f t="shared" si="339"/>
        <v>5.77824</v>
      </c>
      <c r="N679" s="130">
        <f t="shared" si="340"/>
        <v>0.4</v>
      </c>
      <c r="O679" s="131">
        <f t="array" ref="O679">INDEX('LPU Regionalizada'!$B$3:$N$785,MATCH($B679,'LPU Regionalizada'!$B$3:$B$785,0),MATCH(INDEX(CTRL!$F$3:$F$29,CTRL!$E$1),'LPU Regionalizada'!$B$3:$N$3,0))</f>
        <v>14.4456</v>
      </c>
      <c r="P679" s="88"/>
      <c r="Q679" s="132">
        <f t="shared" si="341"/>
        <v>0</v>
      </c>
      <c r="R679" s="132">
        <f t="shared" si="342"/>
        <v>0</v>
      </c>
      <c r="S679" s="132">
        <f t="shared" si="343"/>
        <v>0</v>
      </c>
      <c r="T679" s="133">
        <f t="shared" si="344"/>
        <v>0</v>
      </c>
      <c r="U679" s="134">
        <f t="shared" si="296"/>
        <v>0</v>
      </c>
      <c r="V679" s="135"/>
      <c r="W679" s="136"/>
      <c r="X679" s="2"/>
      <c r="Y679" s="111"/>
      <c r="Z679" s="3"/>
    </row>
    <row r="680" ht="14.25" hidden="1" customHeight="1" outlineLevel="2">
      <c r="A680" s="124"/>
      <c r="B680" s="125" t="s">
        <v>1393</v>
      </c>
      <c r="C680" s="126" t="s">
        <v>1394</v>
      </c>
      <c r="D680" s="127" t="s">
        <v>142</v>
      </c>
      <c r="E680" s="35"/>
      <c r="F680" s="128"/>
      <c r="G680" s="128"/>
      <c r="H680" s="128"/>
      <c r="I680" s="127">
        <f t="shared" si="337"/>
        <v>0</v>
      </c>
      <c r="J680" s="88"/>
      <c r="K680" s="129">
        <f t="shared" si="338"/>
        <v>10.085712</v>
      </c>
      <c r="L680" s="130">
        <v>0.6</v>
      </c>
      <c r="M680" s="129">
        <f t="shared" si="339"/>
        <v>6.723808</v>
      </c>
      <c r="N680" s="130">
        <f t="shared" si="340"/>
        <v>0.4</v>
      </c>
      <c r="O680" s="131">
        <f t="array" ref="O680">INDEX('LPU Regionalizada'!$B$3:$N$785,MATCH($B680,'LPU Regionalizada'!$B$3:$B$785,0),MATCH(INDEX(CTRL!$F$3:$F$29,CTRL!$E$1),'LPU Regionalizada'!$B$3:$N$3,0))</f>
        <v>16.80952</v>
      </c>
      <c r="P680" s="88"/>
      <c r="Q680" s="132">
        <f t="shared" si="341"/>
        <v>0</v>
      </c>
      <c r="R680" s="132">
        <f t="shared" si="342"/>
        <v>0</v>
      </c>
      <c r="S680" s="132">
        <f t="shared" si="343"/>
        <v>0</v>
      </c>
      <c r="T680" s="133">
        <f t="shared" si="344"/>
        <v>0</v>
      </c>
      <c r="U680" s="134">
        <f t="shared" si="296"/>
        <v>0</v>
      </c>
      <c r="V680" s="135"/>
      <c r="W680" s="136"/>
      <c r="X680" s="2"/>
      <c r="Y680" s="111"/>
      <c r="Z680" s="3"/>
    </row>
    <row r="681" ht="14.25" hidden="1" customHeight="1" outlineLevel="2">
      <c r="A681" s="124"/>
      <c r="B681" s="125" t="s">
        <v>1395</v>
      </c>
      <c r="C681" s="126" t="s">
        <v>1396</v>
      </c>
      <c r="D681" s="127" t="s">
        <v>142</v>
      </c>
      <c r="E681" s="35"/>
      <c r="F681" s="128"/>
      <c r="G681" s="128"/>
      <c r="H681" s="128"/>
      <c r="I681" s="127">
        <f t="shared" si="337"/>
        <v>0</v>
      </c>
      <c r="J681" s="88"/>
      <c r="K681" s="129">
        <f t="shared" si="338"/>
        <v>11.39424</v>
      </c>
      <c r="L681" s="130">
        <v>0.6</v>
      </c>
      <c r="M681" s="129">
        <f t="shared" si="339"/>
        <v>7.59616</v>
      </c>
      <c r="N681" s="130">
        <f t="shared" si="340"/>
        <v>0.4</v>
      </c>
      <c r="O681" s="131">
        <f t="array" ref="O681">INDEX('LPU Regionalizada'!$B$3:$N$785,MATCH($B681,'LPU Regionalizada'!$B$3:$B$785,0),MATCH(INDEX(CTRL!$F$3:$F$29,CTRL!$E$1),'LPU Regionalizada'!$B$3:$N$3,0))</f>
        <v>18.9904</v>
      </c>
      <c r="P681" s="88"/>
      <c r="Q681" s="132">
        <f t="shared" si="341"/>
        <v>0</v>
      </c>
      <c r="R681" s="132">
        <f t="shared" si="342"/>
        <v>0</v>
      </c>
      <c r="S681" s="132">
        <f t="shared" si="343"/>
        <v>0</v>
      </c>
      <c r="T681" s="133">
        <f t="shared" si="344"/>
        <v>0</v>
      </c>
      <c r="U681" s="134">
        <f t="shared" si="296"/>
        <v>0</v>
      </c>
      <c r="V681" s="135"/>
      <c r="W681" s="136"/>
      <c r="X681" s="2"/>
      <c r="Y681" s="111"/>
      <c r="Z681" s="3"/>
    </row>
    <row r="682" ht="14.25" hidden="1" customHeight="1" outlineLevel="2">
      <c r="A682" s="124"/>
      <c r="B682" s="125" t="s">
        <v>1397</v>
      </c>
      <c r="C682" s="126" t="s">
        <v>1398</v>
      </c>
      <c r="D682" s="127" t="s">
        <v>142</v>
      </c>
      <c r="E682" s="35"/>
      <c r="F682" s="128"/>
      <c r="G682" s="128"/>
      <c r="H682" s="128"/>
      <c r="I682" s="127">
        <f t="shared" si="337"/>
        <v>0</v>
      </c>
      <c r="J682" s="88"/>
      <c r="K682" s="129">
        <f t="shared" si="338"/>
        <v>15.18192</v>
      </c>
      <c r="L682" s="130">
        <v>0.6</v>
      </c>
      <c r="M682" s="129">
        <f t="shared" si="339"/>
        <v>10.12128</v>
      </c>
      <c r="N682" s="130">
        <f t="shared" si="340"/>
        <v>0.4</v>
      </c>
      <c r="O682" s="131">
        <f t="array" ref="O682">INDEX('LPU Regionalizada'!$B$3:$N$785,MATCH($B682,'LPU Regionalizada'!$B$3:$B$785,0),MATCH(INDEX(CTRL!$F$3:$F$29,CTRL!$E$1),'LPU Regionalizada'!$B$3:$N$3,0))</f>
        <v>25.3032</v>
      </c>
      <c r="P682" s="88"/>
      <c r="Q682" s="132">
        <f t="shared" si="341"/>
        <v>0</v>
      </c>
      <c r="R682" s="132">
        <f t="shared" si="342"/>
        <v>0</v>
      </c>
      <c r="S682" s="132">
        <f t="shared" si="343"/>
        <v>0</v>
      </c>
      <c r="T682" s="133">
        <f t="shared" si="344"/>
        <v>0</v>
      </c>
      <c r="U682" s="134">
        <f t="shared" si="296"/>
        <v>0</v>
      </c>
      <c r="V682" s="135"/>
      <c r="W682" s="136"/>
      <c r="X682" s="2"/>
      <c r="Y682" s="111"/>
      <c r="Z682" s="3"/>
    </row>
    <row r="683" ht="14.25" hidden="1" customHeight="1" outlineLevel="2">
      <c r="A683" s="124"/>
      <c r="B683" s="125" t="s">
        <v>1399</v>
      </c>
      <c r="C683" s="126" t="s">
        <v>1400</v>
      </c>
      <c r="D683" s="127" t="s">
        <v>142</v>
      </c>
      <c r="E683" s="35"/>
      <c r="F683" s="128"/>
      <c r="G683" s="128"/>
      <c r="H683" s="128"/>
      <c r="I683" s="127">
        <f t="shared" si="337"/>
        <v>0</v>
      </c>
      <c r="J683" s="88"/>
      <c r="K683" s="129">
        <f t="shared" si="338"/>
        <v>21.41412</v>
      </c>
      <c r="L683" s="130">
        <v>0.6</v>
      </c>
      <c r="M683" s="129">
        <f t="shared" si="339"/>
        <v>14.27608</v>
      </c>
      <c r="N683" s="130">
        <f t="shared" si="340"/>
        <v>0.4</v>
      </c>
      <c r="O683" s="131">
        <f t="array" ref="O683">INDEX('LPU Regionalizada'!$B$3:$N$785,MATCH($B683,'LPU Regionalizada'!$B$3:$B$785,0),MATCH(INDEX(CTRL!$F$3:$F$29,CTRL!$E$1),'LPU Regionalizada'!$B$3:$N$3,0))</f>
        <v>35.6902</v>
      </c>
      <c r="P683" s="88"/>
      <c r="Q683" s="132">
        <f t="shared" si="341"/>
        <v>0</v>
      </c>
      <c r="R683" s="132">
        <f t="shared" si="342"/>
        <v>0</v>
      </c>
      <c r="S683" s="132">
        <f t="shared" si="343"/>
        <v>0</v>
      </c>
      <c r="T683" s="133">
        <f t="shared" si="344"/>
        <v>0</v>
      </c>
      <c r="U683" s="134">
        <f t="shared" si="296"/>
        <v>0</v>
      </c>
      <c r="V683" s="135"/>
      <c r="W683" s="136"/>
      <c r="X683" s="2"/>
      <c r="Y683" s="111"/>
      <c r="Z683" s="3"/>
    </row>
    <row r="684" ht="14.25" hidden="1" customHeight="1" outlineLevel="2">
      <c r="A684" s="124"/>
      <c r="B684" s="125" t="s">
        <v>1401</v>
      </c>
      <c r="C684" s="126" t="s">
        <v>1402</v>
      </c>
      <c r="D684" s="127" t="s">
        <v>142</v>
      </c>
      <c r="E684" s="35"/>
      <c r="F684" s="128"/>
      <c r="G684" s="128"/>
      <c r="H684" s="128"/>
      <c r="I684" s="127">
        <f t="shared" si="337"/>
        <v>0</v>
      </c>
      <c r="J684" s="88"/>
      <c r="K684" s="129">
        <f t="shared" si="338"/>
        <v>24.43207416</v>
      </c>
      <c r="L684" s="130">
        <v>0.6</v>
      </c>
      <c r="M684" s="129">
        <f t="shared" si="339"/>
        <v>16.28804944</v>
      </c>
      <c r="N684" s="130">
        <f t="shared" si="340"/>
        <v>0.4</v>
      </c>
      <c r="O684" s="131">
        <f t="array" ref="O684">INDEX('LPU Regionalizada'!$B$3:$N$785,MATCH($B684,'LPU Regionalizada'!$B$3:$B$785,0),MATCH(INDEX(CTRL!$F$3:$F$29,CTRL!$E$1),'LPU Regionalizada'!$B$3:$N$3,0))</f>
        <v>40.7201236</v>
      </c>
      <c r="P684" s="88"/>
      <c r="Q684" s="132">
        <f t="shared" si="341"/>
        <v>0</v>
      </c>
      <c r="R684" s="132">
        <f t="shared" si="342"/>
        <v>0</v>
      </c>
      <c r="S684" s="132">
        <f t="shared" si="343"/>
        <v>0</v>
      </c>
      <c r="T684" s="133">
        <f t="shared" si="344"/>
        <v>0</v>
      </c>
      <c r="U684" s="134">
        <f t="shared" si="296"/>
        <v>0</v>
      </c>
      <c r="V684" s="135"/>
      <c r="W684" s="136"/>
      <c r="X684" s="2"/>
      <c r="Y684" s="111"/>
      <c r="Z684" s="3"/>
    </row>
    <row r="685" ht="14.25" hidden="1" customHeight="1" outlineLevel="2">
      <c r="A685" s="124"/>
      <c r="B685" s="125" t="s">
        <v>1403</v>
      </c>
      <c r="C685" s="126" t="s">
        <v>1404</v>
      </c>
      <c r="D685" s="127" t="s">
        <v>142</v>
      </c>
      <c r="E685" s="35"/>
      <c r="F685" s="128"/>
      <c r="G685" s="128"/>
      <c r="H685" s="128"/>
      <c r="I685" s="127">
        <f t="shared" si="337"/>
        <v>0</v>
      </c>
      <c r="J685" s="88"/>
      <c r="K685" s="129">
        <f t="shared" si="338"/>
        <v>31.296096</v>
      </c>
      <c r="L685" s="130">
        <v>0.6</v>
      </c>
      <c r="M685" s="129">
        <f t="shared" si="339"/>
        <v>20.864064</v>
      </c>
      <c r="N685" s="130">
        <f t="shared" si="340"/>
        <v>0.4</v>
      </c>
      <c r="O685" s="131">
        <f t="array" ref="O685">INDEX('LPU Regionalizada'!$B$3:$N$785,MATCH($B685,'LPU Regionalizada'!$B$3:$B$785,0),MATCH(INDEX(CTRL!$F$3:$F$29,CTRL!$E$1),'LPU Regionalizada'!$B$3:$N$3,0))</f>
        <v>52.16016</v>
      </c>
      <c r="P685" s="88"/>
      <c r="Q685" s="132">
        <f t="shared" si="341"/>
        <v>0</v>
      </c>
      <c r="R685" s="132">
        <f t="shared" si="342"/>
        <v>0</v>
      </c>
      <c r="S685" s="132">
        <f t="shared" si="343"/>
        <v>0</v>
      </c>
      <c r="T685" s="133">
        <f t="shared" si="344"/>
        <v>0</v>
      </c>
      <c r="U685" s="134">
        <f t="shared" si="296"/>
        <v>0</v>
      </c>
      <c r="V685" s="135"/>
      <c r="W685" s="136"/>
      <c r="X685" s="2"/>
      <c r="Y685" s="111"/>
      <c r="Z685" s="3"/>
    </row>
    <row r="686" ht="14.25" hidden="1" customHeight="1" outlineLevel="2">
      <c r="A686" s="124"/>
      <c r="B686" s="125" t="s">
        <v>1405</v>
      </c>
      <c r="C686" s="126" t="s">
        <v>1406</v>
      </c>
      <c r="D686" s="127" t="s">
        <v>142</v>
      </c>
      <c r="E686" s="35"/>
      <c r="F686" s="128"/>
      <c r="G686" s="128"/>
      <c r="H686" s="128"/>
      <c r="I686" s="127">
        <f t="shared" si="337"/>
        <v>0</v>
      </c>
      <c r="J686" s="88"/>
      <c r="K686" s="129">
        <f t="shared" si="338"/>
        <v>11.40672</v>
      </c>
      <c r="L686" s="130">
        <v>0.6</v>
      </c>
      <c r="M686" s="129">
        <f t="shared" si="339"/>
        <v>7.60448</v>
      </c>
      <c r="N686" s="130">
        <f t="shared" si="340"/>
        <v>0.4</v>
      </c>
      <c r="O686" s="131">
        <f t="array" ref="O686">INDEX('LPU Regionalizada'!$B$3:$N$785,MATCH($B686,'LPU Regionalizada'!$B$3:$B$785,0),MATCH(INDEX(CTRL!$F$3:$F$29,CTRL!$E$1),'LPU Regionalizada'!$B$3:$N$3,0))</f>
        <v>19.0112</v>
      </c>
      <c r="P686" s="88"/>
      <c r="Q686" s="132">
        <f t="shared" si="341"/>
        <v>0</v>
      </c>
      <c r="R686" s="132">
        <f t="shared" si="342"/>
        <v>0</v>
      </c>
      <c r="S686" s="132">
        <f t="shared" si="343"/>
        <v>0</v>
      </c>
      <c r="T686" s="133">
        <f t="shared" si="344"/>
        <v>0</v>
      </c>
      <c r="U686" s="134">
        <f t="shared" si="296"/>
        <v>0</v>
      </c>
      <c r="V686" s="135"/>
      <c r="W686" s="136"/>
      <c r="X686" s="2"/>
      <c r="Y686" s="111"/>
      <c r="Z686" s="3"/>
    </row>
    <row r="687" ht="14.25" hidden="1" customHeight="1" outlineLevel="2">
      <c r="A687" s="124"/>
      <c r="B687" s="125" t="s">
        <v>1407</v>
      </c>
      <c r="C687" s="126" t="s">
        <v>1408</v>
      </c>
      <c r="D687" s="127" t="s">
        <v>142</v>
      </c>
      <c r="E687" s="35"/>
      <c r="F687" s="128"/>
      <c r="G687" s="128"/>
      <c r="H687" s="128"/>
      <c r="I687" s="127">
        <f t="shared" si="337"/>
        <v>0</v>
      </c>
      <c r="J687" s="88"/>
      <c r="K687" s="129">
        <f t="shared" si="338"/>
        <v>8.48610126</v>
      </c>
      <c r="L687" s="130">
        <v>0.6</v>
      </c>
      <c r="M687" s="129">
        <f t="shared" si="339"/>
        <v>5.65740084</v>
      </c>
      <c r="N687" s="130">
        <f t="shared" si="340"/>
        <v>0.4</v>
      </c>
      <c r="O687" s="131">
        <f t="array" ref="O687">INDEX('LPU Regionalizada'!$B$3:$N$785,MATCH($B687,'LPU Regionalizada'!$B$3:$B$785,0),MATCH(INDEX(CTRL!$F$3:$F$29,CTRL!$E$1),'LPU Regionalizada'!$B$3:$N$3,0))</f>
        <v>14.1435021</v>
      </c>
      <c r="P687" s="88"/>
      <c r="Q687" s="132">
        <f t="shared" si="341"/>
        <v>0</v>
      </c>
      <c r="R687" s="132">
        <f t="shared" si="342"/>
        <v>0</v>
      </c>
      <c r="S687" s="132">
        <f t="shared" si="343"/>
        <v>0</v>
      </c>
      <c r="T687" s="133">
        <f t="shared" si="344"/>
        <v>0</v>
      </c>
      <c r="U687" s="134">
        <f t="shared" si="296"/>
        <v>0</v>
      </c>
      <c r="V687" s="135"/>
      <c r="W687" s="136"/>
      <c r="X687" s="2"/>
      <c r="Y687" s="111"/>
      <c r="Z687" s="3"/>
    </row>
    <row r="688" ht="14.25" hidden="1" customHeight="1" outlineLevel="2">
      <c r="A688" s="124"/>
      <c r="B688" s="125" t="s">
        <v>1409</v>
      </c>
      <c r="C688" s="126" t="s">
        <v>1410</v>
      </c>
      <c r="D688" s="127" t="s">
        <v>142</v>
      </c>
      <c r="E688" s="35"/>
      <c r="F688" s="128"/>
      <c r="G688" s="128"/>
      <c r="H688" s="128"/>
      <c r="I688" s="127">
        <f t="shared" si="337"/>
        <v>0</v>
      </c>
      <c r="J688" s="88"/>
      <c r="K688" s="129">
        <f t="shared" si="338"/>
        <v>29.42314502</v>
      </c>
      <c r="L688" s="130">
        <v>0.6</v>
      </c>
      <c r="M688" s="129">
        <f t="shared" si="339"/>
        <v>19.61543002</v>
      </c>
      <c r="N688" s="130">
        <f t="shared" si="340"/>
        <v>0.4</v>
      </c>
      <c r="O688" s="131">
        <f t="array" ref="O688">INDEX('LPU Regionalizada'!$B$3:$N$785,MATCH($B688,'LPU Regionalizada'!$B$3:$B$785,0),MATCH(INDEX(CTRL!$F$3:$F$29,CTRL!$E$1),'LPU Regionalizada'!$B$3:$N$3,0))</f>
        <v>49.03857504</v>
      </c>
      <c r="P688" s="88"/>
      <c r="Q688" s="132">
        <f t="shared" si="341"/>
        <v>0</v>
      </c>
      <c r="R688" s="132">
        <f t="shared" si="342"/>
        <v>0</v>
      </c>
      <c r="S688" s="132">
        <f t="shared" si="343"/>
        <v>0</v>
      </c>
      <c r="T688" s="133">
        <f t="shared" si="344"/>
        <v>0</v>
      </c>
      <c r="U688" s="134">
        <f t="shared" si="296"/>
        <v>0</v>
      </c>
      <c r="V688" s="135"/>
      <c r="W688" s="136"/>
      <c r="X688" s="2"/>
      <c r="Y688" s="111"/>
      <c r="Z688" s="3"/>
    </row>
    <row r="689" ht="14.25" hidden="1" customHeight="1" outlineLevel="2">
      <c r="A689" s="124"/>
      <c r="B689" s="125" t="s">
        <v>1411</v>
      </c>
      <c r="C689" s="126" t="s">
        <v>1412</v>
      </c>
      <c r="D689" s="127" t="s">
        <v>142</v>
      </c>
      <c r="E689" s="35"/>
      <c r="F689" s="128"/>
      <c r="G689" s="128"/>
      <c r="H689" s="128"/>
      <c r="I689" s="127">
        <f t="shared" si="337"/>
        <v>0</v>
      </c>
      <c r="J689" s="88"/>
      <c r="K689" s="129">
        <f t="shared" si="338"/>
        <v>16.81903642</v>
      </c>
      <c r="L689" s="130">
        <v>0.6</v>
      </c>
      <c r="M689" s="129">
        <f t="shared" si="339"/>
        <v>11.21269094</v>
      </c>
      <c r="N689" s="130">
        <f t="shared" si="340"/>
        <v>0.4</v>
      </c>
      <c r="O689" s="131">
        <f t="array" ref="O689">INDEX('LPU Regionalizada'!$B$3:$N$785,MATCH($B689,'LPU Regionalizada'!$B$3:$B$785,0),MATCH(INDEX(CTRL!$F$3:$F$29,CTRL!$E$1),'LPU Regionalizada'!$B$3:$N$3,0))</f>
        <v>28.03172736</v>
      </c>
      <c r="P689" s="88"/>
      <c r="Q689" s="132">
        <f t="shared" si="341"/>
        <v>0</v>
      </c>
      <c r="R689" s="132">
        <f t="shared" si="342"/>
        <v>0</v>
      </c>
      <c r="S689" s="132">
        <f t="shared" si="343"/>
        <v>0</v>
      </c>
      <c r="T689" s="133">
        <f t="shared" si="344"/>
        <v>0</v>
      </c>
      <c r="U689" s="134">
        <f t="shared" si="296"/>
        <v>0</v>
      </c>
      <c r="V689" s="135"/>
      <c r="W689" s="136"/>
      <c r="X689" s="2"/>
      <c r="Y689" s="111"/>
      <c r="Z689" s="3"/>
    </row>
    <row r="690" ht="14.25" hidden="1" customHeight="1" outlineLevel="2">
      <c r="A690" s="124"/>
      <c r="B690" s="125" t="s">
        <v>1413</v>
      </c>
      <c r="C690" s="126" t="s">
        <v>1414</v>
      </c>
      <c r="D690" s="127" t="s">
        <v>180</v>
      </c>
      <c r="E690" s="35"/>
      <c r="F690" s="128"/>
      <c r="G690" s="128"/>
      <c r="H690" s="128"/>
      <c r="I690" s="127">
        <f t="shared" si="337"/>
        <v>0</v>
      </c>
      <c r="J690" s="88"/>
      <c r="K690" s="129">
        <f t="shared" si="338"/>
        <v>38.16820725</v>
      </c>
      <c r="L690" s="130">
        <v>0.6</v>
      </c>
      <c r="M690" s="129">
        <f t="shared" si="339"/>
        <v>25.4454715</v>
      </c>
      <c r="N690" s="130">
        <f t="shared" si="340"/>
        <v>0.4</v>
      </c>
      <c r="O690" s="131">
        <f t="array" ref="O690">INDEX('LPU Regionalizada'!$B$3:$N$785,MATCH($B690,'LPU Regionalizada'!$B$3:$B$785,0),MATCH(INDEX(CTRL!$F$3:$F$29,CTRL!$E$1),'LPU Regionalizada'!$B$3:$N$3,0))</f>
        <v>63.61367875</v>
      </c>
      <c r="P690" s="88"/>
      <c r="Q690" s="132">
        <f t="shared" si="341"/>
        <v>0</v>
      </c>
      <c r="R690" s="132">
        <f t="shared" si="342"/>
        <v>0</v>
      </c>
      <c r="S690" s="132">
        <f t="shared" si="343"/>
        <v>0</v>
      </c>
      <c r="T690" s="133">
        <f t="shared" si="344"/>
        <v>0</v>
      </c>
      <c r="U690" s="134">
        <f t="shared" si="296"/>
        <v>0</v>
      </c>
      <c r="V690" s="135"/>
      <c r="W690" s="136"/>
      <c r="X690" s="2"/>
      <c r="Y690" s="111"/>
      <c r="Z690" s="3"/>
    </row>
    <row r="691" ht="14.25" hidden="1" customHeight="1" outlineLevel="2">
      <c r="A691" s="124"/>
      <c r="B691" s="125" t="s">
        <v>1415</v>
      </c>
      <c r="C691" s="126" t="s">
        <v>1416</v>
      </c>
      <c r="D691" s="127" t="s">
        <v>142</v>
      </c>
      <c r="E691" s="35"/>
      <c r="F691" s="128"/>
      <c r="G691" s="128"/>
      <c r="H691" s="128"/>
      <c r="I691" s="127">
        <f t="shared" si="337"/>
        <v>0</v>
      </c>
      <c r="J691" s="88"/>
      <c r="K691" s="129">
        <f t="shared" si="338"/>
        <v>21.858096</v>
      </c>
      <c r="L691" s="130">
        <v>0.6</v>
      </c>
      <c r="M691" s="129">
        <f t="shared" si="339"/>
        <v>14.572064</v>
      </c>
      <c r="N691" s="130">
        <f t="shared" si="340"/>
        <v>0.4</v>
      </c>
      <c r="O691" s="131">
        <f t="array" ref="O691">INDEX('LPU Regionalizada'!$B$3:$N$785,MATCH($B691,'LPU Regionalizada'!$B$3:$B$785,0),MATCH(INDEX(CTRL!$F$3:$F$29,CTRL!$E$1),'LPU Regionalizada'!$B$3:$N$3,0))</f>
        <v>36.43016</v>
      </c>
      <c r="P691" s="88"/>
      <c r="Q691" s="132">
        <f t="shared" si="341"/>
        <v>0</v>
      </c>
      <c r="R691" s="132">
        <f t="shared" si="342"/>
        <v>0</v>
      </c>
      <c r="S691" s="132">
        <f t="shared" si="343"/>
        <v>0</v>
      </c>
      <c r="T691" s="133">
        <f t="shared" si="344"/>
        <v>0</v>
      </c>
      <c r="U691" s="134">
        <f t="shared" si="296"/>
        <v>0</v>
      </c>
      <c r="V691" s="135"/>
      <c r="W691" s="136"/>
      <c r="X691" s="2"/>
      <c r="Y691" s="111"/>
      <c r="Z691" s="3"/>
    </row>
    <row r="692" ht="14.25" hidden="1" customHeight="1" outlineLevel="2">
      <c r="A692" s="124"/>
      <c r="B692" s="125" t="s">
        <v>1417</v>
      </c>
      <c r="C692" s="126" t="s">
        <v>1418</v>
      </c>
      <c r="D692" s="127" t="s">
        <v>142</v>
      </c>
      <c r="E692" s="35"/>
      <c r="F692" s="128"/>
      <c r="G692" s="128"/>
      <c r="H692" s="128"/>
      <c r="I692" s="127">
        <f t="shared" si="337"/>
        <v>0</v>
      </c>
      <c r="J692" s="88"/>
      <c r="K692" s="129">
        <f t="shared" si="338"/>
        <v>26.523744</v>
      </c>
      <c r="L692" s="130">
        <v>0.6</v>
      </c>
      <c r="M692" s="129">
        <f t="shared" si="339"/>
        <v>17.682496</v>
      </c>
      <c r="N692" s="130">
        <f t="shared" si="340"/>
        <v>0.4</v>
      </c>
      <c r="O692" s="131">
        <f t="array" ref="O692">INDEX('LPU Regionalizada'!$B$3:$N$785,MATCH($B692,'LPU Regionalizada'!$B$3:$B$785,0),MATCH(INDEX(CTRL!$F$3:$F$29,CTRL!$E$1),'LPU Regionalizada'!$B$3:$N$3,0))</f>
        <v>44.20624</v>
      </c>
      <c r="P692" s="88"/>
      <c r="Q692" s="132">
        <f t="shared" si="341"/>
        <v>0</v>
      </c>
      <c r="R692" s="132">
        <f t="shared" si="342"/>
        <v>0</v>
      </c>
      <c r="S692" s="132">
        <f t="shared" si="343"/>
        <v>0</v>
      </c>
      <c r="T692" s="133">
        <f t="shared" si="344"/>
        <v>0</v>
      </c>
      <c r="U692" s="134">
        <f t="shared" si="296"/>
        <v>0</v>
      </c>
      <c r="V692" s="135"/>
      <c r="W692" s="136"/>
      <c r="X692" s="2"/>
      <c r="Y692" s="111"/>
      <c r="Z692" s="3"/>
    </row>
    <row r="693" ht="14.25" hidden="1" customHeight="1" outlineLevel="2">
      <c r="A693" s="124"/>
      <c r="B693" s="125" t="s">
        <v>1419</v>
      </c>
      <c r="C693" s="126" t="s">
        <v>1420</v>
      </c>
      <c r="D693" s="127" t="s">
        <v>142</v>
      </c>
      <c r="E693" s="35"/>
      <c r="F693" s="128"/>
      <c r="G693" s="128"/>
      <c r="H693" s="128">
        <v>0.0</v>
      </c>
      <c r="I693" s="127">
        <f t="shared" si="337"/>
        <v>0</v>
      </c>
      <c r="J693" s="88"/>
      <c r="K693" s="129">
        <f t="shared" si="338"/>
        <v>37.98039456</v>
      </c>
      <c r="L693" s="130">
        <v>0.6</v>
      </c>
      <c r="M693" s="129">
        <f t="shared" si="339"/>
        <v>25.32026304</v>
      </c>
      <c r="N693" s="130">
        <f t="shared" si="340"/>
        <v>0.4</v>
      </c>
      <c r="O693" s="131">
        <f t="array" ref="O693">INDEX('LPU Regionalizada'!$B$3:$N$785,MATCH($B693,'LPU Regionalizada'!$B$3:$B$785,0),MATCH(INDEX(CTRL!$F$3:$F$29,CTRL!$E$1),'LPU Regionalizada'!$B$3:$N$3,0))</f>
        <v>63.30065759</v>
      </c>
      <c r="P693" s="88"/>
      <c r="Q693" s="132">
        <f t="shared" si="341"/>
        <v>0</v>
      </c>
      <c r="R693" s="132">
        <f t="shared" si="342"/>
        <v>0</v>
      </c>
      <c r="S693" s="132">
        <f t="shared" si="343"/>
        <v>0</v>
      </c>
      <c r="T693" s="133">
        <f t="shared" si="344"/>
        <v>0</v>
      </c>
      <c r="U693" s="134">
        <f t="shared" si="296"/>
        <v>0</v>
      </c>
      <c r="V693" s="135"/>
      <c r="W693" s="136"/>
      <c r="X693" s="2"/>
      <c r="Y693" s="111"/>
      <c r="Z693" s="3"/>
    </row>
    <row r="694" ht="14.25" hidden="1" customHeight="1" outlineLevel="2">
      <c r="A694" s="124"/>
      <c r="B694" s="125" t="s">
        <v>1421</v>
      </c>
      <c r="C694" s="126" t="s">
        <v>1422</v>
      </c>
      <c r="D694" s="127" t="s">
        <v>142</v>
      </c>
      <c r="E694" s="35"/>
      <c r="F694" s="128"/>
      <c r="G694" s="128"/>
      <c r="H694" s="128"/>
      <c r="I694" s="127">
        <f t="shared" si="337"/>
        <v>0</v>
      </c>
      <c r="J694" s="88"/>
      <c r="K694" s="129">
        <f t="shared" si="338"/>
        <v>17.95113337</v>
      </c>
      <c r="L694" s="130">
        <v>0.6</v>
      </c>
      <c r="M694" s="129">
        <f t="shared" si="339"/>
        <v>11.96742224</v>
      </c>
      <c r="N694" s="130">
        <f t="shared" si="340"/>
        <v>0.4</v>
      </c>
      <c r="O694" s="131">
        <f t="array" ref="O694">INDEX('LPU Regionalizada'!$B$3:$N$785,MATCH($B694,'LPU Regionalizada'!$B$3:$B$785,0),MATCH(INDEX(CTRL!$F$3:$F$29,CTRL!$E$1),'LPU Regionalizada'!$B$3:$N$3,0))</f>
        <v>29.91855561</v>
      </c>
      <c r="P694" s="88"/>
      <c r="Q694" s="132">
        <f t="shared" si="341"/>
        <v>0</v>
      </c>
      <c r="R694" s="132">
        <f t="shared" si="342"/>
        <v>0</v>
      </c>
      <c r="S694" s="132">
        <f t="shared" si="343"/>
        <v>0</v>
      </c>
      <c r="T694" s="133">
        <f t="shared" si="344"/>
        <v>0</v>
      </c>
      <c r="U694" s="134">
        <f t="shared" si="296"/>
        <v>0</v>
      </c>
      <c r="V694" s="135"/>
      <c r="W694" s="136"/>
      <c r="X694" s="2"/>
      <c r="Y694" s="111"/>
      <c r="Z694" s="3"/>
    </row>
    <row r="695" ht="14.25" hidden="1" customHeight="1" outlineLevel="2">
      <c r="A695" s="124"/>
      <c r="B695" s="125" t="s">
        <v>1423</v>
      </c>
      <c r="C695" s="126" t="s">
        <v>1424</v>
      </c>
      <c r="D695" s="127" t="s">
        <v>142</v>
      </c>
      <c r="E695" s="35"/>
      <c r="F695" s="128"/>
      <c r="G695" s="128"/>
      <c r="H695" s="128"/>
      <c r="I695" s="127">
        <f t="shared" si="337"/>
        <v>0</v>
      </c>
      <c r="J695" s="88"/>
      <c r="K695" s="129">
        <f t="shared" si="338"/>
        <v>25.44095286</v>
      </c>
      <c r="L695" s="130">
        <v>0.6</v>
      </c>
      <c r="M695" s="129">
        <f t="shared" si="339"/>
        <v>16.96063524</v>
      </c>
      <c r="N695" s="130">
        <f t="shared" si="340"/>
        <v>0.4</v>
      </c>
      <c r="O695" s="131">
        <f t="array" ref="O695">INDEX('LPU Regionalizada'!$B$3:$N$785,MATCH($B695,'LPU Regionalizada'!$B$3:$B$785,0),MATCH(INDEX(CTRL!$F$3:$F$29,CTRL!$E$1),'LPU Regionalizada'!$B$3:$N$3,0))</f>
        <v>42.4015881</v>
      </c>
      <c r="P695" s="88"/>
      <c r="Q695" s="132">
        <f t="shared" si="341"/>
        <v>0</v>
      </c>
      <c r="R695" s="132">
        <f t="shared" si="342"/>
        <v>0</v>
      </c>
      <c r="S695" s="132">
        <f t="shared" si="343"/>
        <v>0</v>
      </c>
      <c r="T695" s="133">
        <f t="shared" si="344"/>
        <v>0</v>
      </c>
      <c r="U695" s="134">
        <f t="shared" si="296"/>
        <v>0</v>
      </c>
      <c r="V695" s="135"/>
      <c r="W695" s="136"/>
      <c r="X695" s="2"/>
      <c r="Y695" s="111"/>
      <c r="Z695" s="3"/>
    </row>
    <row r="696" ht="14.25" hidden="1" customHeight="1" outlineLevel="1">
      <c r="A696" s="112"/>
      <c r="B696" s="113" t="s">
        <v>1425</v>
      </c>
      <c r="C696" s="114" t="s">
        <v>1426</v>
      </c>
      <c r="D696" s="115"/>
      <c r="E696" s="35"/>
      <c r="F696" s="113"/>
      <c r="G696" s="116"/>
      <c r="H696" s="116"/>
      <c r="I696" s="115"/>
      <c r="J696" s="88"/>
      <c r="K696" s="117"/>
      <c r="L696" s="118"/>
      <c r="M696" s="118"/>
      <c r="N696" s="118"/>
      <c r="O696" s="119"/>
      <c r="P696" s="88"/>
      <c r="Q696" s="120"/>
      <c r="R696" s="120"/>
      <c r="S696" s="120"/>
      <c r="T696" s="120">
        <f>SUM(T697:T710)</f>
        <v>0</v>
      </c>
      <c r="U696" s="121">
        <f t="shared" si="296"/>
        <v>0</v>
      </c>
      <c r="V696" s="122"/>
      <c r="W696" s="123"/>
      <c r="X696" s="2"/>
      <c r="Y696" s="111"/>
      <c r="Z696" s="3"/>
    </row>
    <row r="697" ht="14.25" hidden="1" customHeight="1" outlineLevel="2">
      <c r="A697" s="124"/>
      <c r="B697" s="125" t="s">
        <v>1427</v>
      </c>
      <c r="C697" s="126" t="s">
        <v>1428</v>
      </c>
      <c r="D697" s="127" t="s">
        <v>1429</v>
      </c>
      <c r="E697" s="35"/>
      <c r="F697" s="128"/>
      <c r="G697" s="128"/>
      <c r="H697" s="128"/>
      <c r="I697" s="127">
        <f t="shared" ref="I697:I710" si="345">F697+G697+H697</f>
        <v>0</v>
      </c>
      <c r="J697" s="88"/>
      <c r="K697" s="129">
        <f t="shared" ref="K697:K710" si="346">L697*O697</f>
        <v>42.64121755</v>
      </c>
      <c r="L697" s="130">
        <v>0.6</v>
      </c>
      <c r="M697" s="129">
        <f t="shared" ref="M697:M710" si="347">N697*O697</f>
        <v>28.42747836</v>
      </c>
      <c r="N697" s="130">
        <f t="shared" ref="N697:N710" si="348">100%-L697</f>
        <v>0.4</v>
      </c>
      <c r="O697" s="131">
        <f t="array" ref="O697">INDEX('LPU Regionalizada'!$B$3:$N$785,MATCH($B697,'LPU Regionalizada'!$B$3:$B$785,0),MATCH(INDEX(CTRL!$F$3:$F$29,CTRL!$E$1),'LPU Regionalizada'!$B$3:$N$3,0))</f>
        <v>71.06869591</v>
      </c>
      <c r="P697" s="88"/>
      <c r="Q697" s="132">
        <f t="shared" ref="Q697:Q710" si="349">F697*O697</f>
        <v>0</v>
      </c>
      <c r="R697" s="132">
        <f t="shared" ref="R697:R710" si="350">G697*O697</f>
        <v>0</v>
      </c>
      <c r="S697" s="132">
        <f t="shared" ref="S697:S710" si="351">H697*O697</f>
        <v>0</v>
      </c>
      <c r="T697" s="133">
        <f t="shared" ref="T697:T710" si="352">SUM(Q697:S697)</f>
        <v>0</v>
      </c>
      <c r="U697" s="134">
        <f t="shared" si="296"/>
        <v>0</v>
      </c>
      <c r="V697" s="135"/>
      <c r="W697" s="136"/>
      <c r="X697" s="2"/>
      <c r="Y697" s="111"/>
      <c r="Z697" s="3"/>
    </row>
    <row r="698" ht="14.25" hidden="1" customHeight="1" outlineLevel="2">
      <c r="A698" s="124"/>
      <c r="B698" s="125" t="s">
        <v>1430</v>
      </c>
      <c r="C698" s="126" t="s">
        <v>1431</v>
      </c>
      <c r="D698" s="127" t="s">
        <v>180</v>
      </c>
      <c r="E698" s="35"/>
      <c r="F698" s="128"/>
      <c r="G698" s="128"/>
      <c r="H698" s="128"/>
      <c r="I698" s="127">
        <f t="shared" si="345"/>
        <v>0</v>
      </c>
      <c r="J698" s="88"/>
      <c r="K698" s="129">
        <f t="shared" si="346"/>
        <v>22.038</v>
      </c>
      <c r="L698" s="130">
        <v>0.6</v>
      </c>
      <c r="M698" s="129">
        <f t="shared" si="347"/>
        <v>14.692</v>
      </c>
      <c r="N698" s="130">
        <f t="shared" si="348"/>
        <v>0.4</v>
      </c>
      <c r="O698" s="131">
        <f t="array" ref="O698">INDEX('LPU Regionalizada'!$B$3:$N$785,MATCH($B698,'LPU Regionalizada'!$B$3:$B$785,0),MATCH(INDEX(CTRL!$F$3:$F$29,CTRL!$E$1),'LPU Regionalizada'!$B$3:$N$3,0))</f>
        <v>36.73</v>
      </c>
      <c r="P698" s="88"/>
      <c r="Q698" s="132">
        <f t="shared" si="349"/>
        <v>0</v>
      </c>
      <c r="R698" s="132">
        <f t="shared" si="350"/>
        <v>0</v>
      </c>
      <c r="S698" s="132">
        <f t="shared" si="351"/>
        <v>0</v>
      </c>
      <c r="T698" s="133">
        <f t="shared" si="352"/>
        <v>0</v>
      </c>
      <c r="U698" s="134">
        <f t="shared" si="296"/>
        <v>0</v>
      </c>
      <c r="V698" s="135"/>
      <c r="W698" s="136"/>
      <c r="X698" s="2"/>
      <c r="Y698" s="111"/>
      <c r="Z698" s="3"/>
    </row>
    <row r="699" ht="14.25" hidden="1" customHeight="1" outlineLevel="2">
      <c r="A699" s="124"/>
      <c r="B699" s="125" t="s">
        <v>1432</v>
      </c>
      <c r="C699" s="126" t="s">
        <v>1433</v>
      </c>
      <c r="D699" s="127" t="s">
        <v>180</v>
      </c>
      <c r="E699" s="35"/>
      <c r="F699" s="128"/>
      <c r="G699" s="128"/>
      <c r="H699" s="128"/>
      <c r="I699" s="127">
        <f t="shared" si="345"/>
        <v>0</v>
      </c>
      <c r="J699" s="88"/>
      <c r="K699" s="129">
        <f t="shared" si="346"/>
        <v>43.88147368</v>
      </c>
      <c r="L699" s="130">
        <v>0.6</v>
      </c>
      <c r="M699" s="129">
        <f t="shared" si="347"/>
        <v>29.25431579</v>
      </c>
      <c r="N699" s="130">
        <f t="shared" si="348"/>
        <v>0.4</v>
      </c>
      <c r="O699" s="131">
        <f t="array" ref="O699">INDEX('LPU Regionalizada'!$B$3:$N$785,MATCH($B699,'LPU Regionalizada'!$B$3:$B$785,0),MATCH(INDEX(CTRL!$F$3:$F$29,CTRL!$E$1),'LPU Regionalizada'!$B$3:$N$3,0))</f>
        <v>73.13578947</v>
      </c>
      <c r="P699" s="88"/>
      <c r="Q699" s="132">
        <f t="shared" si="349"/>
        <v>0</v>
      </c>
      <c r="R699" s="132">
        <f t="shared" si="350"/>
        <v>0</v>
      </c>
      <c r="S699" s="132">
        <f t="shared" si="351"/>
        <v>0</v>
      </c>
      <c r="T699" s="133">
        <f t="shared" si="352"/>
        <v>0</v>
      </c>
      <c r="U699" s="134">
        <f t="shared" si="296"/>
        <v>0</v>
      </c>
      <c r="V699" s="135"/>
      <c r="W699" s="136"/>
      <c r="X699" s="2"/>
      <c r="Y699" s="111"/>
      <c r="Z699" s="3"/>
    </row>
    <row r="700" ht="14.25" hidden="1" customHeight="1" outlineLevel="2">
      <c r="A700" s="124"/>
      <c r="B700" s="125" t="s">
        <v>1434</v>
      </c>
      <c r="C700" s="126" t="s">
        <v>1435</v>
      </c>
      <c r="D700" s="127" t="s">
        <v>180</v>
      </c>
      <c r="E700" s="35"/>
      <c r="F700" s="128"/>
      <c r="G700" s="128"/>
      <c r="H700" s="128"/>
      <c r="I700" s="127">
        <f t="shared" si="345"/>
        <v>0</v>
      </c>
      <c r="J700" s="88"/>
      <c r="K700" s="129">
        <f t="shared" si="346"/>
        <v>52.98</v>
      </c>
      <c r="L700" s="130">
        <v>0.6</v>
      </c>
      <c r="M700" s="129">
        <f t="shared" si="347"/>
        <v>35.32</v>
      </c>
      <c r="N700" s="130">
        <f t="shared" si="348"/>
        <v>0.4</v>
      </c>
      <c r="O700" s="131">
        <f t="array" ref="O700">INDEX('LPU Regionalizada'!$B$3:$N$785,MATCH($B700,'LPU Regionalizada'!$B$3:$B$785,0),MATCH(INDEX(CTRL!$F$3:$F$29,CTRL!$E$1),'LPU Regionalizada'!$B$3:$N$3,0))</f>
        <v>88.3</v>
      </c>
      <c r="P700" s="88"/>
      <c r="Q700" s="132">
        <f t="shared" si="349"/>
        <v>0</v>
      </c>
      <c r="R700" s="132">
        <f t="shared" si="350"/>
        <v>0</v>
      </c>
      <c r="S700" s="132">
        <f t="shared" si="351"/>
        <v>0</v>
      </c>
      <c r="T700" s="133">
        <f t="shared" si="352"/>
        <v>0</v>
      </c>
      <c r="U700" s="134">
        <f t="shared" si="296"/>
        <v>0</v>
      </c>
      <c r="V700" s="135"/>
      <c r="W700" s="136"/>
      <c r="X700" s="2"/>
      <c r="Y700" s="111"/>
      <c r="Z700" s="3"/>
    </row>
    <row r="701" ht="14.25" hidden="1" customHeight="1" outlineLevel="2">
      <c r="A701" s="124"/>
      <c r="B701" s="125" t="s">
        <v>1436</v>
      </c>
      <c r="C701" s="126" t="s">
        <v>1437</v>
      </c>
      <c r="D701" s="127" t="s">
        <v>180</v>
      </c>
      <c r="E701" s="35"/>
      <c r="F701" s="128"/>
      <c r="G701" s="128"/>
      <c r="H701" s="128"/>
      <c r="I701" s="127">
        <f t="shared" si="345"/>
        <v>0</v>
      </c>
      <c r="J701" s="88"/>
      <c r="K701" s="129">
        <f t="shared" si="346"/>
        <v>68.028</v>
      </c>
      <c r="L701" s="130">
        <v>0.6</v>
      </c>
      <c r="M701" s="129">
        <f t="shared" si="347"/>
        <v>45.352</v>
      </c>
      <c r="N701" s="130">
        <f t="shared" si="348"/>
        <v>0.4</v>
      </c>
      <c r="O701" s="131">
        <f t="array" ref="O701">INDEX('LPU Regionalizada'!$B$3:$N$785,MATCH($B701,'LPU Regionalizada'!$B$3:$B$785,0),MATCH(INDEX(CTRL!$F$3:$F$29,CTRL!$E$1),'LPU Regionalizada'!$B$3:$N$3,0))</f>
        <v>113.38</v>
      </c>
      <c r="P701" s="88"/>
      <c r="Q701" s="132">
        <f t="shared" si="349"/>
        <v>0</v>
      </c>
      <c r="R701" s="132">
        <f t="shared" si="350"/>
        <v>0</v>
      </c>
      <c r="S701" s="132">
        <f t="shared" si="351"/>
        <v>0</v>
      </c>
      <c r="T701" s="133">
        <f t="shared" si="352"/>
        <v>0</v>
      </c>
      <c r="U701" s="134">
        <f t="shared" si="296"/>
        <v>0</v>
      </c>
      <c r="V701" s="135"/>
      <c r="W701" s="136"/>
      <c r="X701" s="2"/>
      <c r="Y701" s="111"/>
      <c r="Z701" s="3"/>
    </row>
    <row r="702" ht="14.25" hidden="1" customHeight="1" outlineLevel="2">
      <c r="A702" s="124"/>
      <c r="B702" s="125" t="s">
        <v>1438</v>
      </c>
      <c r="C702" s="126" t="s">
        <v>1439</v>
      </c>
      <c r="D702" s="127" t="s">
        <v>180</v>
      </c>
      <c r="E702" s="35"/>
      <c r="F702" s="128"/>
      <c r="G702" s="128"/>
      <c r="H702" s="128"/>
      <c r="I702" s="127">
        <f t="shared" si="345"/>
        <v>0</v>
      </c>
      <c r="J702" s="88"/>
      <c r="K702" s="129">
        <f t="shared" si="346"/>
        <v>74.1</v>
      </c>
      <c r="L702" s="130">
        <v>0.6</v>
      </c>
      <c r="M702" s="129">
        <f t="shared" si="347"/>
        <v>49.4</v>
      </c>
      <c r="N702" s="130">
        <f t="shared" si="348"/>
        <v>0.4</v>
      </c>
      <c r="O702" s="131">
        <f t="array" ref="O702">INDEX('LPU Regionalizada'!$B$3:$N$785,MATCH($B702,'LPU Regionalizada'!$B$3:$B$785,0),MATCH(INDEX(CTRL!$F$3:$F$29,CTRL!$E$1),'LPU Regionalizada'!$B$3:$N$3,0))</f>
        <v>123.5</v>
      </c>
      <c r="P702" s="88"/>
      <c r="Q702" s="132">
        <f t="shared" si="349"/>
        <v>0</v>
      </c>
      <c r="R702" s="132">
        <f t="shared" si="350"/>
        <v>0</v>
      </c>
      <c r="S702" s="132">
        <f t="shared" si="351"/>
        <v>0</v>
      </c>
      <c r="T702" s="133">
        <f t="shared" si="352"/>
        <v>0</v>
      </c>
      <c r="U702" s="134">
        <f t="shared" si="296"/>
        <v>0</v>
      </c>
      <c r="V702" s="135"/>
      <c r="W702" s="136"/>
      <c r="X702" s="2"/>
      <c r="Y702" s="111"/>
      <c r="Z702" s="3"/>
    </row>
    <row r="703" ht="14.25" hidden="1" customHeight="1" outlineLevel="2">
      <c r="A703" s="124"/>
      <c r="B703" s="125" t="s">
        <v>1440</v>
      </c>
      <c r="C703" s="126" t="s">
        <v>1441</v>
      </c>
      <c r="D703" s="127" t="s">
        <v>180</v>
      </c>
      <c r="E703" s="35"/>
      <c r="F703" s="128"/>
      <c r="G703" s="128"/>
      <c r="H703" s="128"/>
      <c r="I703" s="127">
        <f t="shared" si="345"/>
        <v>0</v>
      </c>
      <c r="J703" s="88"/>
      <c r="K703" s="129">
        <f t="shared" si="346"/>
        <v>97.152</v>
      </c>
      <c r="L703" s="130">
        <v>0.6</v>
      </c>
      <c r="M703" s="129">
        <f t="shared" si="347"/>
        <v>64.768</v>
      </c>
      <c r="N703" s="130">
        <f t="shared" si="348"/>
        <v>0.4</v>
      </c>
      <c r="O703" s="131">
        <f t="array" ref="O703">INDEX('LPU Regionalizada'!$B$3:$N$785,MATCH($B703,'LPU Regionalizada'!$B$3:$B$785,0),MATCH(INDEX(CTRL!$F$3:$F$29,CTRL!$E$1),'LPU Regionalizada'!$B$3:$N$3,0))</f>
        <v>161.92</v>
      </c>
      <c r="P703" s="88"/>
      <c r="Q703" s="132">
        <f t="shared" si="349"/>
        <v>0</v>
      </c>
      <c r="R703" s="132">
        <f t="shared" si="350"/>
        <v>0</v>
      </c>
      <c r="S703" s="132">
        <f t="shared" si="351"/>
        <v>0</v>
      </c>
      <c r="T703" s="133">
        <f t="shared" si="352"/>
        <v>0</v>
      </c>
      <c r="U703" s="134">
        <f t="shared" si="296"/>
        <v>0</v>
      </c>
      <c r="V703" s="135"/>
      <c r="W703" s="136"/>
      <c r="X703" s="2"/>
      <c r="Y703" s="111"/>
      <c r="Z703" s="3"/>
    </row>
    <row r="704" ht="14.25" hidden="1" customHeight="1" outlineLevel="2">
      <c r="A704" s="124"/>
      <c r="B704" s="125" t="s">
        <v>1442</v>
      </c>
      <c r="C704" s="126" t="s">
        <v>1443</v>
      </c>
      <c r="D704" s="127" t="s">
        <v>180</v>
      </c>
      <c r="E704" s="35"/>
      <c r="F704" s="128"/>
      <c r="G704" s="128"/>
      <c r="H704" s="128"/>
      <c r="I704" s="127">
        <f t="shared" si="345"/>
        <v>0</v>
      </c>
      <c r="J704" s="88"/>
      <c r="K704" s="129">
        <f t="shared" si="346"/>
        <v>131.82</v>
      </c>
      <c r="L704" s="130">
        <v>0.6</v>
      </c>
      <c r="M704" s="129">
        <f t="shared" si="347"/>
        <v>87.88</v>
      </c>
      <c r="N704" s="130">
        <f t="shared" si="348"/>
        <v>0.4</v>
      </c>
      <c r="O704" s="131">
        <f t="array" ref="O704">INDEX('LPU Regionalizada'!$B$3:$N$785,MATCH($B704,'LPU Regionalizada'!$B$3:$B$785,0),MATCH(INDEX(CTRL!$F$3:$F$29,CTRL!$E$1),'LPU Regionalizada'!$B$3:$N$3,0))</f>
        <v>219.7</v>
      </c>
      <c r="P704" s="88"/>
      <c r="Q704" s="132">
        <f t="shared" si="349"/>
        <v>0</v>
      </c>
      <c r="R704" s="132">
        <f t="shared" si="350"/>
        <v>0</v>
      </c>
      <c r="S704" s="132">
        <f t="shared" si="351"/>
        <v>0</v>
      </c>
      <c r="T704" s="133">
        <f t="shared" si="352"/>
        <v>0</v>
      </c>
      <c r="U704" s="134">
        <f t="shared" si="296"/>
        <v>0</v>
      </c>
      <c r="V704" s="135"/>
      <c r="W704" s="136"/>
      <c r="X704" s="2"/>
      <c r="Y704" s="111"/>
      <c r="Z704" s="3"/>
    </row>
    <row r="705" ht="14.25" hidden="1" customHeight="1" outlineLevel="2">
      <c r="A705" s="124"/>
      <c r="B705" s="125" t="s">
        <v>1444</v>
      </c>
      <c r="C705" s="126" t="s">
        <v>1445</v>
      </c>
      <c r="D705" s="127" t="s">
        <v>180</v>
      </c>
      <c r="E705" s="35"/>
      <c r="F705" s="128"/>
      <c r="G705" s="128"/>
      <c r="H705" s="128"/>
      <c r="I705" s="127">
        <f t="shared" si="345"/>
        <v>0</v>
      </c>
      <c r="J705" s="88"/>
      <c r="K705" s="129">
        <f t="shared" si="346"/>
        <v>133.86</v>
      </c>
      <c r="L705" s="130">
        <v>0.6</v>
      </c>
      <c r="M705" s="129">
        <f t="shared" si="347"/>
        <v>89.24</v>
      </c>
      <c r="N705" s="130">
        <f t="shared" si="348"/>
        <v>0.4</v>
      </c>
      <c r="O705" s="131">
        <f t="array" ref="O705">INDEX('LPU Regionalizada'!$B$3:$N$785,MATCH($B705,'LPU Regionalizada'!$B$3:$B$785,0),MATCH(INDEX(CTRL!$F$3:$F$29,CTRL!$E$1),'LPU Regionalizada'!$B$3:$N$3,0))</f>
        <v>223.1</v>
      </c>
      <c r="P705" s="88"/>
      <c r="Q705" s="132">
        <f t="shared" si="349"/>
        <v>0</v>
      </c>
      <c r="R705" s="132">
        <f t="shared" si="350"/>
        <v>0</v>
      </c>
      <c r="S705" s="132">
        <f t="shared" si="351"/>
        <v>0</v>
      </c>
      <c r="T705" s="133">
        <f t="shared" si="352"/>
        <v>0</v>
      </c>
      <c r="U705" s="134">
        <f t="shared" si="296"/>
        <v>0</v>
      </c>
      <c r="V705" s="135"/>
      <c r="W705" s="136"/>
      <c r="X705" s="2"/>
      <c r="Y705" s="111"/>
      <c r="Z705" s="3"/>
    </row>
    <row r="706" ht="14.25" hidden="1" customHeight="1" outlineLevel="2">
      <c r="A706" s="124"/>
      <c r="B706" s="125" t="s">
        <v>1446</v>
      </c>
      <c r="C706" s="126" t="s">
        <v>1447</v>
      </c>
      <c r="D706" s="127" t="s">
        <v>180</v>
      </c>
      <c r="E706" s="35"/>
      <c r="F706" s="128"/>
      <c r="G706" s="128"/>
      <c r="H706" s="128"/>
      <c r="I706" s="127">
        <f t="shared" si="345"/>
        <v>0</v>
      </c>
      <c r="J706" s="88"/>
      <c r="K706" s="129">
        <f t="shared" si="346"/>
        <v>167.8036014</v>
      </c>
      <c r="L706" s="130">
        <v>0.6</v>
      </c>
      <c r="M706" s="129">
        <f t="shared" si="347"/>
        <v>111.8690676</v>
      </c>
      <c r="N706" s="130">
        <f t="shared" si="348"/>
        <v>0.4</v>
      </c>
      <c r="O706" s="131">
        <f t="array" ref="O706">INDEX('LPU Regionalizada'!$B$3:$N$785,MATCH($B706,'LPU Regionalizada'!$B$3:$B$785,0),MATCH(INDEX(CTRL!$F$3:$F$29,CTRL!$E$1),'LPU Regionalizada'!$B$3:$N$3,0))</f>
        <v>279.672669</v>
      </c>
      <c r="P706" s="88"/>
      <c r="Q706" s="132">
        <f t="shared" si="349"/>
        <v>0</v>
      </c>
      <c r="R706" s="132">
        <f t="shared" si="350"/>
        <v>0</v>
      </c>
      <c r="S706" s="132">
        <f t="shared" si="351"/>
        <v>0</v>
      </c>
      <c r="T706" s="133">
        <f t="shared" si="352"/>
        <v>0</v>
      </c>
      <c r="U706" s="134">
        <f t="shared" si="296"/>
        <v>0</v>
      </c>
      <c r="V706" s="135"/>
      <c r="W706" s="136"/>
      <c r="X706" s="2"/>
      <c r="Y706" s="111"/>
      <c r="Z706" s="3"/>
    </row>
    <row r="707" ht="14.25" hidden="1" customHeight="1" outlineLevel="2">
      <c r="A707" s="124"/>
      <c r="B707" s="125" t="s">
        <v>1448</v>
      </c>
      <c r="C707" s="126" t="s">
        <v>1449</v>
      </c>
      <c r="D707" s="127" t="s">
        <v>180</v>
      </c>
      <c r="E707" s="35"/>
      <c r="F707" s="128"/>
      <c r="G707" s="128"/>
      <c r="H707" s="128"/>
      <c r="I707" s="127">
        <f t="shared" si="345"/>
        <v>0</v>
      </c>
      <c r="J707" s="88"/>
      <c r="K707" s="129">
        <f t="shared" si="346"/>
        <v>218.6995626</v>
      </c>
      <c r="L707" s="130">
        <v>0.6</v>
      </c>
      <c r="M707" s="129">
        <f t="shared" si="347"/>
        <v>145.7997084</v>
      </c>
      <c r="N707" s="130">
        <f t="shared" si="348"/>
        <v>0.4</v>
      </c>
      <c r="O707" s="131">
        <f t="array" ref="O707">INDEX('LPU Regionalizada'!$B$3:$N$785,MATCH($B707,'LPU Regionalizada'!$B$3:$B$785,0),MATCH(INDEX(CTRL!$F$3:$F$29,CTRL!$E$1),'LPU Regionalizada'!$B$3:$N$3,0))</f>
        <v>364.499271</v>
      </c>
      <c r="P707" s="88"/>
      <c r="Q707" s="132">
        <f t="shared" si="349"/>
        <v>0</v>
      </c>
      <c r="R707" s="132">
        <f t="shared" si="350"/>
        <v>0</v>
      </c>
      <c r="S707" s="132">
        <f t="shared" si="351"/>
        <v>0</v>
      </c>
      <c r="T707" s="133">
        <f t="shared" si="352"/>
        <v>0</v>
      </c>
      <c r="U707" s="134">
        <f t="shared" si="296"/>
        <v>0</v>
      </c>
      <c r="V707" s="135"/>
      <c r="W707" s="136"/>
      <c r="X707" s="2"/>
      <c r="Y707" s="111"/>
      <c r="Z707" s="3"/>
    </row>
    <row r="708" ht="14.25" hidden="1" customHeight="1" outlineLevel="2">
      <c r="A708" s="124"/>
      <c r="B708" s="125" t="s">
        <v>1450</v>
      </c>
      <c r="C708" s="126" t="s">
        <v>1451</v>
      </c>
      <c r="D708" s="127" t="s">
        <v>1429</v>
      </c>
      <c r="E708" s="35"/>
      <c r="F708" s="128"/>
      <c r="G708" s="128"/>
      <c r="H708" s="128"/>
      <c r="I708" s="127">
        <f t="shared" si="345"/>
        <v>0</v>
      </c>
      <c r="J708" s="88"/>
      <c r="K708" s="129">
        <f t="shared" si="346"/>
        <v>561.6</v>
      </c>
      <c r="L708" s="130">
        <v>0.6</v>
      </c>
      <c r="M708" s="129">
        <f t="shared" si="347"/>
        <v>374.4</v>
      </c>
      <c r="N708" s="130">
        <f t="shared" si="348"/>
        <v>0.4</v>
      </c>
      <c r="O708" s="131">
        <f t="array" ref="O708">INDEX('LPU Regionalizada'!$B$3:$N$785,MATCH($B708,'LPU Regionalizada'!$B$3:$B$785,0),MATCH(INDEX(CTRL!$F$3:$F$29,CTRL!$E$1),'LPU Regionalizada'!$B$3:$N$3,0))</f>
        <v>936</v>
      </c>
      <c r="P708" s="88"/>
      <c r="Q708" s="132">
        <f t="shared" si="349"/>
        <v>0</v>
      </c>
      <c r="R708" s="132">
        <f t="shared" si="350"/>
        <v>0</v>
      </c>
      <c r="S708" s="132">
        <f t="shared" si="351"/>
        <v>0</v>
      </c>
      <c r="T708" s="133">
        <f t="shared" si="352"/>
        <v>0</v>
      </c>
      <c r="U708" s="134">
        <f t="shared" si="296"/>
        <v>0</v>
      </c>
      <c r="V708" s="135"/>
      <c r="W708" s="136"/>
      <c r="X708" s="2"/>
      <c r="Y708" s="111"/>
      <c r="Z708" s="3"/>
    </row>
    <row r="709" ht="14.25" hidden="1" customHeight="1" outlineLevel="2">
      <c r="A709" s="124"/>
      <c r="B709" s="125" t="s">
        <v>1452</v>
      </c>
      <c r="C709" s="126" t="s">
        <v>1453</v>
      </c>
      <c r="D709" s="127" t="s">
        <v>1429</v>
      </c>
      <c r="E709" s="35"/>
      <c r="F709" s="128"/>
      <c r="G709" s="128"/>
      <c r="H709" s="128"/>
      <c r="I709" s="127">
        <f t="shared" si="345"/>
        <v>0</v>
      </c>
      <c r="J709" s="88"/>
      <c r="K709" s="129">
        <f t="shared" si="346"/>
        <v>223.002</v>
      </c>
      <c r="L709" s="130">
        <v>0.6</v>
      </c>
      <c r="M709" s="129">
        <f t="shared" si="347"/>
        <v>148.668</v>
      </c>
      <c r="N709" s="130">
        <f t="shared" si="348"/>
        <v>0.4</v>
      </c>
      <c r="O709" s="131">
        <f t="array" ref="O709">INDEX('LPU Regionalizada'!$B$3:$N$785,MATCH($B709,'LPU Regionalizada'!$B$3:$B$785,0),MATCH(INDEX(CTRL!$F$3:$F$29,CTRL!$E$1),'LPU Regionalizada'!$B$3:$N$3,0))</f>
        <v>371.67</v>
      </c>
      <c r="P709" s="88"/>
      <c r="Q709" s="132">
        <f t="shared" si="349"/>
        <v>0</v>
      </c>
      <c r="R709" s="132">
        <f t="shared" si="350"/>
        <v>0</v>
      </c>
      <c r="S709" s="132">
        <f t="shared" si="351"/>
        <v>0</v>
      </c>
      <c r="T709" s="133">
        <f t="shared" si="352"/>
        <v>0</v>
      </c>
      <c r="U709" s="134">
        <f t="shared" si="296"/>
        <v>0</v>
      </c>
      <c r="V709" s="135"/>
      <c r="W709" s="136"/>
      <c r="X709" s="2"/>
      <c r="Y709" s="111"/>
      <c r="Z709" s="3"/>
    </row>
    <row r="710" ht="14.25" hidden="1" customHeight="1" outlineLevel="2">
      <c r="A710" s="124"/>
      <c r="B710" s="125" t="s">
        <v>1454</v>
      </c>
      <c r="C710" s="126" t="s">
        <v>1455</v>
      </c>
      <c r="D710" s="127" t="s">
        <v>1456</v>
      </c>
      <c r="E710" s="35"/>
      <c r="F710" s="128"/>
      <c r="G710" s="128"/>
      <c r="H710" s="128"/>
      <c r="I710" s="127">
        <f t="shared" si="345"/>
        <v>0</v>
      </c>
      <c r="J710" s="88"/>
      <c r="K710" s="129">
        <f t="shared" si="346"/>
        <v>1205.697029</v>
      </c>
      <c r="L710" s="130">
        <v>0.6</v>
      </c>
      <c r="M710" s="129">
        <f t="shared" si="347"/>
        <v>803.7980193</v>
      </c>
      <c r="N710" s="130">
        <f t="shared" si="348"/>
        <v>0.4</v>
      </c>
      <c r="O710" s="131">
        <f t="array" ref="O710">INDEX('LPU Regionalizada'!$B$3:$N$785,MATCH($B710,'LPU Regionalizada'!$B$3:$B$785,0),MATCH(INDEX(CTRL!$F$3:$F$29,CTRL!$E$1),'LPU Regionalizada'!$B$3:$N$3,0))</f>
        <v>2009.495048</v>
      </c>
      <c r="P710" s="88"/>
      <c r="Q710" s="132">
        <f t="shared" si="349"/>
        <v>0</v>
      </c>
      <c r="R710" s="132">
        <f t="shared" si="350"/>
        <v>0</v>
      </c>
      <c r="S710" s="132">
        <f t="shared" si="351"/>
        <v>0</v>
      </c>
      <c r="T710" s="133">
        <f t="shared" si="352"/>
        <v>0</v>
      </c>
      <c r="U710" s="134">
        <f t="shared" si="296"/>
        <v>0</v>
      </c>
      <c r="V710" s="135"/>
      <c r="W710" s="136"/>
      <c r="X710" s="2"/>
      <c r="Y710" s="111"/>
      <c r="Z710" s="3"/>
    </row>
    <row r="711" ht="14.25" hidden="1" customHeight="1" outlineLevel="1">
      <c r="A711" s="112"/>
      <c r="B711" s="113" t="s">
        <v>1457</v>
      </c>
      <c r="C711" s="114" t="s">
        <v>1458</v>
      </c>
      <c r="D711" s="115"/>
      <c r="E711" s="35"/>
      <c r="F711" s="113"/>
      <c r="G711" s="116"/>
      <c r="H711" s="116"/>
      <c r="I711" s="115"/>
      <c r="J711" s="88"/>
      <c r="K711" s="117"/>
      <c r="L711" s="118"/>
      <c r="M711" s="118"/>
      <c r="N711" s="118"/>
      <c r="O711" s="119"/>
      <c r="P711" s="88"/>
      <c r="Q711" s="120"/>
      <c r="R711" s="120"/>
      <c r="S711" s="120"/>
      <c r="T711" s="120">
        <f>SUM(T712:T724)</f>
        <v>0</v>
      </c>
      <c r="U711" s="121">
        <f t="shared" si="296"/>
        <v>0</v>
      </c>
      <c r="V711" s="122"/>
      <c r="W711" s="123"/>
      <c r="X711" s="2"/>
      <c r="Y711" s="111"/>
      <c r="Z711" s="3"/>
    </row>
    <row r="712" ht="14.25" hidden="1" customHeight="1" outlineLevel="2">
      <c r="A712" s="124"/>
      <c r="B712" s="125" t="s">
        <v>1459</v>
      </c>
      <c r="C712" s="126" t="s">
        <v>1460</v>
      </c>
      <c r="D712" s="127" t="s">
        <v>64</v>
      </c>
      <c r="E712" s="35"/>
      <c r="F712" s="128"/>
      <c r="G712" s="128"/>
      <c r="H712" s="128"/>
      <c r="I712" s="127">
        <f t="shared" ref="I712:I724" si="353">F712+G712+H712</f>
        <v>0</v>
      </c>
      <c r="J712" s="88"/>
      <c r="K712" s="129">
        <f t="shared" ref="K712:K724" si="354">L712*O712</f>
        <v>636.6323691</v>
      </c>
      <c r="L712" s="130">
        <v>0.6</v>
      </c>
      <c r="M712" s="129">
        <f t="shared" ref="M712:M724" si="355">N712*O712</f>
        <v>424.4215794</v>
      </c>
      <c r="N712" s="130">
        <f t="shared" ref="N712:N724" si="356">100%-L712</f>
        <v>0.4</v>
      </c>
      <c r="O712" s="131">
        <f t="array" ref="O712">INDEX('LPU Regionalizada'!$B$3:$N$785,MATCH($B712,'LPU Regionalizada'!$B$3:$B$785,0),MATCH(INDEX(CTRL!$F$3:$F$29,CTRL!$E$1),'LPU Regionalizada'!$B$3:$N$3,0))</f>
        <v>1061.053949</v>
      </c>
      <c r="P712" s="88"/>
      <c r="Q712" s="132">
        <f t="shared" ref="Q712:Q724" si="357">F712*O712</f>
        <v>0</v>
      </c>
      <c r="R712" s="132">
        <f t="shared" ref="R712:R724" si="358">G712*O712</f>
        <v>0</v>
      </c>
      <c r="S712" s="132">
        <f t="shared" ref="S712:S724" si="359">H712*O712</f>
        <v>0</v>
      </c>
      <c r="T712" s="133">
        <f t="shared" ref="T712:T724" si="360">SUM(Q712:S712)</f>
        <v>0</v>
      </c>
      <c r="U712" s="134">
        <f t="shared" si="296"/>
        <v>0</v>
      </c>
      <c r="V712" s="135"/>
      <c r="W712" s="136"/>
      <c r="X712" s="2"/>
      <c r="Y712" s="111"/>
      <c r="Z712" s="3"/>
    </row>
    <row r="713" ht="14.25" hidden="1" customHeight="1" outlineLevel="2">
      <c r="A713" s="124"/>
      <c r="B713" s="125" t="s">
        <v>1461</v>
      </c>
      <c r="C713" s="126" t="s">
        <v>1462</v>
      </c>
      <c r="D713" s="127" t="s">
        <v>64</v>
      </c>
      <c r="E713" s="35"/>
      <c r="F713" s="128"/>
      <c r="G713" s="128"/>
      <c r="H713" s="128"/>
      <c r="I713" s="127">
        <f t="shared" si="353"/>
        <v>0</v>
      </c>
      <c r="J713" s="88"/>
      <c r="K713" s="129">
        <f t="shared" si="354"/>
        <v>954</v>
      </c>
      <c r="L713" s="130">
        <v>0.6</v>
      </c>
      <c r="M713" s="129">
        <f t="shared" si="355"/>
        <v>636</v>
      </c>
      <c r="N713" s="130">
        <f t="shared" si="356"/>
        <v>0.4</v>
      </c>
      <c r="O713" s="131">
        <f t="array" ref="O713">INDEX('LPU Regionalizada'!$B$3:$N$785,MATCH($B713,'LPU Regionalizada'!$B$3:$B$785,0),MATCH(INDEX(CTRL!$F$3:$F$29,CTRL!$E$1),'LPU Regionalizada'!$B$3:$N$3,0))</f>
        <v>1590</v>
      </c>
      <c r="P713" s="88"/>
      <c r="Q713" s="132">
        <f t="shared" si="357"/>
        <v>0</v>
      </c>
      <c r="R713" s="132">
        <f t="shared" si="358"/>
        <v>0</v>
      </c>
      <c r="S713" s="132">
        <f t="shared" si="359"/>
        <v>0</v>
      </c>
      <c r="T713" s="133">
        <f t="shared" si="360"/>
        <v>0</v>
      </c>
      <c r="U713" s="134">
        <f t="shared" si="296"/>
        <v>0</v>
      </c>
      <c r="V713" s="135"/>
      <c r="W713" s="136"/>
      <c r="X713" s="2"/>
      <c r="Y713" s="111"/>
      <c r="Z713" s="3"/>
    </row>
    <row r="714" ht="14.25" hidden="1" customHeight="1" outlineLevel="2">
      <c r="A714" s="124"/>
      <c r="B714" s="125" t="s">
        <v>1463</v>
      </c>
      <c r="C714" s="126" t="s">
        <v>1464</v>
      </c>
      <c r="D714" s="127" t="s">
        <v>142</v>
      </c>
      <c r="E714" s="35"/>
      <c r="F714" s="128"/>
      <c r="G714" s="128"/>
      <c r="H714" s="128"/>
      <c r="I714" s="127">
        <f t="shared" si="353"/>
        <v>0</v>
      </c>
      <c r="J714" s="88"/>
      <c r="K714" s="129">
        <f t="shared" si="354"/>
        <v>1008.975891</v>
      </c>
      <c r="L714" s="130">
        <v>0.6</v>
      </c>
      <c r="M714" s="129">
        <f t="shared" si="355"/>
        <v>672.6505943</v>
      </c>
      <c r="N714" s="130">
        <f t="shared" si="356"/>
        <v>0.4</v>
      </c>
      <c r="O714" s="131">
        <f t="array" ref="O714">INDEX('LPU Regionalizada'!$B$3:$N$785,MATCH($B714,'LPU Regionalizada'!$B$3:$B$785,0),MATCH(INDEX(CTRL!$F$3:$F$29,CTRL!$E$1),'LPU Regionalizada'!$B$3:$N$3,0))</f>
        <v>1681.626486</v>
      </c>
      <c r="P714" s="88"/>
      <c r="Q714" s="132">
        <f t="shared" si="357"/>
        <v>0</v>
      </c>
      <c r="R714" s="132">
        <f t="shared" si="358"/>
        <v>0</v>
      </c>
      <c r="S714" s="132">
        <f t="shared" si="359"/>
        <v>0</v>
      </c>
      <c r="T714" s="133">
        <f t="shared" si="360"/>
        <v>0</v>
      </c>
      <c r="U714" s="134">
        <f t="shared" si="296"/>
        <v>0</v>
      </c>
      <c r="V714" s="135"/>
      <c r="W714" s="136"/>
      <c r="X714" s="2"/>
      <c r="Y714" s="111"/>
      <c r="Z714" s="3"/>
    </row>
    <row r="715" ht="14.25" hidden="1" customHeight="1" outlineLevel="2">
      <c r="A715" s="124"/>
      <c r="B715" s="125" t="s">
        <v>1465</v>
      </c>
      <c r="C715" s="126" t="s">
        <v>1466</v>
      </c>
      <c r="D715" s="127" t="s">
        <v>142</v>
      </c>
      <c r="E715" s="35"/>
      <c r="F715" s="128"/>
      <c r="G715" s="128"/>
      <c r="H715" s="128"/>
      <c r="I715" s="127">
        <f t="shared" si="353"/>
        <v>0</v>
      </c>
      <c r="J715" s="88"/>
      <c r="K715" s="129">
        <f t="shared" si="354"/>
        <v>315.48</v>
      </c>
      <c r="L715" s="130">
        <v>0.6</v>
      </c>
      <c r="M715" s="129">
        <f t="shared" si="355"/>
        <v>210.32</v>
      </c>
      <c r="N715" s="130">
        <f t="shared" si="356"/>
        <v>0.4</v>
      </c>
      <c r="O715" s="131">
        <f t="array" ref="O715">INDEX('LPU Regionalizada'!$B$3:$N$785,MATCH($B715,'LPU Regionalizada'!$B$3:$B$785,0),MATCH(INDEX(CTRL!$F$3:$F$29,CTRL!$E$1),'LPU Regionalizada'!$B$3:$N$3,0))</f>
        <v>525.8</v>
      </c>
      <c r="P715" s="88"/>
      <c r="Q715" s="132">
        <f t="shared" si="357"/>
        <v>0</v>
      </c>
      <c r="R715" s="132">
        <f t="shared" si="358"/>
        <v>0</v>
      </c>
      <c r="S715" s="132">
        <f t="shared" si="359"/>
        <v>0</v>
      </c>
      <c r="T715" s="133">
        <f t="shared" si="360"/>
        <v>0</v>
      </c>
      <c r="U715" s="134">
        <f t="shared" si="296"/>
        <v>0</v>
      </c>
      <c r="V715" s="135"/>
      <c r="W715" s="136"/>
      <c r="X715" s="2"/>
      <c r="Y715" s="111"/>
      <c r="Z715" s="3"/>
    </row>
    <row r="716" ht="14.25" hidden="1" customHeight="1" outlineLevel="2">
      <c r="A716" s="124"/>
      <c r="B716" s="125" t="s">
        <v>1467</v>
      </c>
      <c r="C716" s="126" t="s">
        <v>1468</v>
      </c>
      <c r="D716" s="127" t="s">
        <v>180</v>
      </c>
      <c r="E716" s="35"/>
      <c r="F716" s="128"/>
      <c r="G716" s="128"/>
      <c r="H716" s="128"/>
      <c r="I716" s="127">
        <f t="shared" si="353"/>
        <v>0</v>
      </c>
      <c r="J716" s="88"/>
      <c r="K716" s="129">
        <f t="shared" si="354"/>
        <v>125.4559621</v>
      </c>
      <c r="L716" s="130">
        <v>0.6</v>
      </c>
      <c r="M716" s="129">
        <f t="shared" si="355"/>
        <v>83.63730804</v>
      </c>
      <c r="N716" s="130">
        <f t="shared" si="356"/>
        <v>0.4</v>
      </c>
      <c r="O716" s="131">
        <f t="array" ref="O716">INDEX('LPU Regionalizada'!$B$3:$N$785,MATCH($B716,'LPU Regionalizada'!$B$3:$B$785,0),MATCH(INDEX(CTRL!$F$3:$F$29,CTRL!$E$1),'LPU Regionalizada'!$B$3:$N$3,0))</f>
        <v>209.0932701</v>
      </c>
      <c r="P716" s="88"/>
      <c r="Q716" s="132">
        <f t="shared" si="357"/>
        <v>0</v>
      </c>
      <c r="R716" s="132">
        <f t="shared" si="358"/>
        <v>0</v>
      </c>
      <c r="S716" s="132">
        <f t="shared" si="359"/>
        <v>0</v>
      </c>
      <c r="T716" s="133">
        <f t="shared" si="360"/>
        <v>0</v>
      </c>
      <c r="U716" s="134">
        <f t="shared" si="296"/>
        <v>0</v>
      </c>
      <c r="V716" s="135"/>
      <c r="W716" s="136"/>
      <c r="X716" s="2"/>
      <c r="Y716" s="111"/>
      <c r="Z716" s="3"/>
    </row>
    <row r="717" ht="14.25" hidden="1" customHeight="1" outlineLevel="2">
      <c r="A717" s="124"/>
      <c r="B717" s="125" t="s">
        <v>1469</v>
      </c>
      <c r="C717" s="126" t="s">
        <v>1470</v>
      </c>
      <c r="D717" s="127" t="s">
        <v>180</v>
      </c>
      <c r="E717" s="35"/>
      <c r="F717" s="128"/>
      <c r="G717" s="128"/>
      <c r="H717" s="128"/>
      <c r="I717" s="127">
        <f t="shared" si="353"/>
        <v>0</v>
      </c>
      <c r="J717" s="88"/>
      <c r="K717" s="129">
        <f t="shared" si="354"/>
        <v>134.22</v>
      </c>
      <c r="L717" s="130">
        <v>0.6</v>
      </c>
      <c r="M717" s="129">
        <f t="shared" si="355"/>
        <v>89.48</v>
      </c>
      <c r="N717" s="130">
        <f t="shared" si="356"/>
        <v>0.4</v>
      </c>
      <c r="O717" s="131">
        <f t="array" ref="O717">INDEX('LPU Regionalizada'!$B$3:$N$785,MATCH($B717,'LPU Regionalizada'!$B$3:$B$785,0),MATCH(INDEX(CTRL!$F$3:$F$29,CTRL!$E$1),'LPU Regionalizada'!$B$3:$N$3,0))</f>
        <v>223.7</v>
      </c>
      <c r="P717" s="88"/>
      <c r="Q717" s="132">
        <f t="shared" si="357"/>
        <v>0</v>
      </c>
      <c r="R717" s="132">
        <f t="shared" si="358"/>
        <v>0</v>
      </c>
      <c r="S717" s="132">
        <f t="shared" si="359"/>
        <v>0</v>
      </c>
      <c r="T717" s="133">
        <f t="shared" si="360"/>
        <v>0</v>
      </c>
      <c r="U717" s="134">
        <f t="shared" si="296"/>
        <v>0</v>
      </c>
      <c r="V717" s="135"/>
      <c r="W717" s="136"/>
      <c r="X717" s="2"/>
      <c r="Y717" s="111"/>
      <c r="Z717" s="3"/>
    </row>
    <row r="718" ht="14.25" hidden="1" customHeight="1" outlineLevel="2">
      <c r="A718" s="124"/>
      <c r="B718" s="125" t="s">
        <v>1471</v>
      </c>
      <c r="C718" s="126" t="s">
        <v>1472</v>
      </c>
      <c r="D718" s="127" t="s">
        <v>180</v>
      </c>
      <c r="E718" s="35"/>
      <c r="F718" s="128"/>
      <c r="G718" s="128"/>
      <c r="H718" s="128"/>
      <c r="I718" s="127">
        <f t="shared" si="353"/>
        <v>0</v>
      </c>
      <c r="J718" s="88"/>
      <c r="K718" s="129">
        <f t="shared" si="354"/>
        <v>172.38</v>
      </c>
      <c r="L718" s="130">
        <v>0.6</v>
      </c>
      <c r="M718" s="129">
        <f t="shared" si="355"/>
        <v>114.92</v>
      </c>
      <c r="N718" s="130">
        <f t="shared" si="356"/>
        <v>0.4</v>
      </c>
      <c r="O718" s="131">
        <f t="array" ref="O718">INDEX('LPU Regionalizada'!$B$3:$N$785,MATCH($B718,'LPU Regionalizada'!$B$3:$B$785,0),MATCH(INDEX(CTRL!$F$3:$F$29,CTRL!$E$1),'LPU Regionalizada'!$B$3:$N$3,0))</f>
        <v>287.3</v>
      </c>
      <c r="P718" s="88"/>
      <c r="Q718" s="132">
        <f t="shared" si="357"/>
        <v>0</v>
      </c>
      <c r="R718" s="132">
        <f t="shared" si="358"/>
        <v>0</v>
      </c>
      <c r="S718" s="132">
        <f t="shared" si="359"/>
        <v>0</v>
      </c>
      <c r="T718" s="133">
        <f t="shared" si="360"/>
        <v>0</v>
      </c>
      <c r="U718" s="134">
        <f t="shared" si="296"/>
        <v>0</v>
      </c>
      <c r="V718" s="135"/>
      <c r="W718" s="136"/>
      <c r="X718" s="2"/>
      <c r="Y718" s="111"/>
      <c r="Z718" s="3"/>
    </row>
    <row r="719" ht="14.25" hidden="1" customHeight="1" outlineLevel="2">
      <c r="A719" s="124"/>
      <c r="B719" s="125" t="s">
        <v>1473</v>
      </c>
      <c r="C719" s="126" t="s">
        <v>1474</v>
      </c>
      <c r="D719" s="127" t="s">
        <v>180</v>
      </c>
      <c r="E719" s="35"/>
      <c r="F719" s="128"/>
      <c r="G719" s="128"/>
      <c r="H719" s="128"/>
      <c r="I719" s="127">
        <f t="shared" si="353"/>
        <v>0</v>
      </c>
      <c r="J719" s="88"/>
      <c r="K719" s="129">
        <f t="shared" si="354"/>
        <v>258.6</v>
      </c>
      <c r="L719" s="130">
        <v>0.6</v>
      </c>
      <c r="M719" s="129">
        <f t="shared" si="355"/>
        <v>172.4</v>
      </c>
      <c r="N719" s="130">
        <f t="shared" si="356"/>
        <v>0.4</v>
      </c>
      <c r="O719" s="131">
        <f t="array" ref="O719">INDEX('LPU Regionalizada'!$B$3:$N$785,MATCH($B719,'LPU Regionalizada'!$B$3:$B$785,0),MATCH(INDEX(CTRL!$F$3:$F$29,CTRL!$E$1),'LPU Regionalizada'!$B$3:$N$3,0))</f>
        <v>431</v>
      </c>
      <c r="P719" s="88"/>
      <c r="Q719" s="132">
        <f t="shared" si="357"/>
        <v>0</v>
      </c>
      <c r="R719" s="132">
        <f t="shared" si="358"/>
        <v>0</v>
      </c>
      <c r="S719" s="132">
        <f t="shared" si="359"/>
        <v>0</v>
      </c>
      <c r="T719" s="133">
        <f t="shared" si="360"/>
        <v>0</v>
      </c>
      <c r="U719" s="134">
        <f t="shared" si="296"/>
        <v>0</v>
      </c>
      <c r="V719" s="135"/>
      <c r="W719" s="136"/>
      <c r="X719" s="2"/>
      <c r="Y719" s="111"/>
      <c r="Z719" s="3"/>
    </row>
    <row r="720" ht="14.25" hidden="1" customHeight="1" outlineLevel="2">
      <c r="A720" s="124"/>
      <c r="B720" s="125" t="s">
        <v>1475</v>
      </c>
      <c r="C720" s="126" t="s">
        <v>1476</v>
      </c>
      <c r="D720" s="127" t="s">
        <v>142</v>
      </c>
      <c r="E720" s="35"/>
      <c r="F720" s="128"/>
      <c r="G720" s="128"/>
      <c r="H720" s="128"/>
      <c r="I720" s="127">
        <f t="shared" si="353"/>
        <v>0</v>
      </c>
      <c r="J720" s="88"/>
      <c r="K720" s="129">
        <f t="shared" si="354"/>
        <v>105.4232171</v>
      </c>
      <c r="L720" s="130">
        <v>0.6</v>
      </c>
      <c r="M720" s="129">
        <f t="shared" si="355"/>
        <v>70.28214472</v>
      </c>
      <c r="N720" s="130">
        <f t="shared" si="356"/>
        <v>0.4</v>
      </c>
      <c r="O720" s="131">
        <f t="array" ref="O720">INDEX('LPU Regionalizada'!$B$3:$N$785,MATCH($B720,'LPU Regionalizada'!$B$3:$B$785,0),MATCH(INDEX(CTRL!$F$3:$F$29,CTRL!$E$1),'LPU Regionalizada'!$B$3:$N$3,0))</f>
        <v>175.7053618</v>
      </c>
      <c r="P720" s="88"/>
      <c r="Q720" s="132">
        <f t="shared" si="357"/>
        <v>0</v>
      </c>
      <c r="R720" s="132">
        <f t="shared" si="358"/>
        <v>0</v>
      </c>
      <c r="S720" s="132">
        <f t="shared" si="359"/>
        <v>0</v>
      </c>
      <c r="T720" s="133">
        <f t="shared" si="360"/>
        <v>0</v>
      </c>
      <c r="U720" s="134">
        <f t="shared" si="296"/>
        <v>0</v>
      </c>
      <c r="V720" s="135"/>
      <c r="W720" s="136"/>
      <c r="X720" s="2"/>
      <c r="Y720" s="111"/>
      <c r="Z720" s="3"/>
    </row>
    <row r="721" ht="14.25" hidden="1" customHeight="1" outlineLevel="2">
      <c r="A721" s="124"/>
      <c r="B721" s="125" t="s">
        <v>1477</v>
      </c>
      <c r="C721" s="126" t="s">
        <v>1478</v>
      </c>
      <c r="D721" s="127" t="s">
        <v>142</v>
      </c>
      <c r="E721" s="35"/>
      <c r="F721" s="128"/>
      <c r="G721" s="128"/>
      <c r="H721" s="128"/>
      <c r="I721" s="127">
        <f t="shared" si="353"/>
        <v>0</v>
      </c>
      <c r="J721" s="88"/>
      <c r="K721" s="129">
        <f t="shared" si="354"/>
        <v>130.9019343</v>
      </c>
      <c r="L721" s="130">
        <v>0.6</v>
      </c>
      <c r="M721" s="129">
        <f t="shared" si="355"/>
        <v>87.26795619</v>
      </c>
      <c r="N721" s="130">
        <f t="shared" si="356"/>
        <v>0.4</v>
      </c>
      <c r="O721" s="131">
        <f t="array" ref="O721">INDEX('LPU Regionalizada'!$B$3:$N$785,MATCH($B721,'LPU Regionalizada'!$B$3:$B$785,0),MATCH(INDEX(CTRL!$F$3:$F$29,CTRL!$E$1),'LPU Regionalizada'!$B$3:$N$3,0))</f>
        <v>218.1698905</v>
      </c>
      <c r="P721" s="88"/>
      <c r="Q721" s="132">
        <f t="shared" si="357"/>
        <v>0</v>
      </c>
      <c r="R721" s="132">
        <f t="shared" si="358"/>
        <v>0</v>
      </c>
      <c r="S721" s="132">
        <f t="shared" si="359"/>
        <v>0</v>
      </c>
      <c r="T721" s="133">
        <f t="shared" si="360"/>
        <v>0</v>
      </c>
      <c r="U721" s="134">
        <f t="shared" si="296"/>
        <v>0</v>
      </c>
      <c r="V721" s="135"/>
      <c r="W721" s="136"/>
      <c r="X721" s="2"/>
      <c r="Y721" s="111"/>
      <c r="Z721" s="3"/>
    </row>
    <row r="722" ht="14.25" hidden="1" customHeight="1" outlineLevel="2">
      <c r="A722" s="124"/>
      <c r="B722" s="125" t="s">
        <v>1479</v>
      </c>
      <c r="C722" s="126" t="s">
        <v>1480</v>
      </c>
      <c r="D722" s="127" t="s">
        <v>142</v>
      </c>
      <c r="E722" s="35"/>
      <c r="F722" s="128"/>
      <c r="G722" s="128"/>
      <c r="H722" s="128"/>
      <c r="I722" s="127">
        <f t="shared" si="353"/>
        <v>0</v>
      </c>
      <c r="J722" s="88"/>
      <c r="K722" s="129">
        <f t="shared" si="354"/>
        <v>131.6099336</v>
      </c>
      <c r="L722" s="130">
        <v>0.6</v>
      </c>
      <c r="M722" s="129">
        <f t="shared" si="355"/>
        <v>87.73995572</v>
      </c>
      <c r="N722" s="130">
        <f t="shared" si="356"/>
        <v>0.4</v>
      </c>
      <c r="O722" s="131">
        <f t="array" ref="O722">INDEX('LPU Regionalizada'!$B$3:$N$785,MATCH($B722,'LPU Regionalizada'!$B$3:$B$785,0),MATCH(INDEX(CTRL!$F$3:$F$29,CTRL!$E$1),'LPU Regionalizada'!$B$3:$N$3,0))</f>
        <v>219.3498893</v>
      </c>
      <c r="P722" s="88"/>
      <c r="Q722" s="132">
        <f t="shared" si="357"/>
        <v>0</v>
      </c>
      <c r="R722" s="132">
        <f t="shared" si="358"/>
        <v>0</v>
      </c>
      <c r="S722" s="132">
        <f t="shared" si="359"/>
        <v>0</v>
      </c>
      <c r="T722" s="133">
        <f t="shared" si="360"/>
        <v>0</v>
      </c>
      <c r="U722" s="134">
        <f t="shared" si="296"/>
        <v>0</v>
      </c>
      <c r="V722" s="135"/>
      <c r="W722" s="136"/>
      <c r="X722" s="2"/>
      <c r="Y722" s="111"/>
      <c r="Z722" s="3"/>
    </row>
    <row r="723" ht="14.25" hidden="1" customHeight="1" outlineLevel="2">
      <c r="A723" s="124"/>
      <c r="B723" s="125" t="s">
        <v>1481</v>
      </c>
      <c r="C723" s="126" t="s">
        <v>1482</v>
      </c>
      <c r="D723" s="127" t="s">
        <v>142</v>
      </c>
      <c r="E723" s="35"/>
      <c r="F723" s="128"/>
      <c r="G723" s="128"/>
      <c r="H723" s="128"/>
      <c r="I723" s="127">
        <f t="shared" si="353"/>
        <v>0</v>
      </c>
      <c r="J723" s="88"/>
      <c r="K723" s="129">
        <f t="shared" si="354"/>
        <v>135.539932</v>
      </c>
      <c r="L723" s="130">
        <v>0.6</v>
      </c>
      <c r="M723" s="129">
        <f t="shared" si="355"/>
        <v>90.35995464</v>
      </c>
      <c r="N723" s="130">
        <f t="shared" si="356"/>
        <v>0.4</v>
      </c>
      <c r="O723" s="131">
        <f t="array" ref="O723">INDEX('LPU Regionalizada'!$B$3:$N$785,MATCH($B723,'LPU Regionalizada'!$B$3:$B$785,0),MATCH(INDEX(CTRL!$F$3:$F$29,CTRL!$E$1),'LPU Regionalizada'!$B$3:$N$3,0))</f>
        <v>225.8998866</v>
      </c>
      <c r="P723" s="88"/>
      <c r="Q723" s="132">
        <f t="shared" si="357"/>
        <v>0</v>
      </c>
      <c r="R723" s="132">
        <f t="shared" si="358"/>
        <v>0</v>
      </c>
      <c r="S723" s="132">
        <f t="shared" si="359"/>
        <v>0</v>
      </c>
      <c r="T723" s="133">
        <f t="shared" si="360"/>
        <v>0</v>
      </c>
      <c r="U723" s="134">
        <f t="shared" si="296"/>
        <v>0</v>
      </c>
      <c r="V723" s="135"/>
      <c r="W723" s="136"/>
      <c r="X723" s="2"/>
      <c r="Y723" s="111"/>
      <c r="Z723" s="3"/>
    </row>
    <row r="724" ht="14.25" hidden="1" customHeight="1" outlineLevel="2">
      <c r="A724" s="124"/>
      <c r="B724" s="125" t="s">
        <v>1483</v>
      </c>
      <c r="C724" s="126" t="s">
        <v>1484</v>
      </c>
      <c r="D724" s="127" t="s">
        <v>142</v>
      </c>
      <c r="E724" s="35"/>
      <c r="F724" s="128"/>
      <c r="G724" s="128"/>
      <c r="H724" s="128"/>
      <c r="I724" s="127">
        <f t="shared" si="353"/>
        <v>0</v>
      </c>
      <c r="J724" s="88"/>
      <c r="K724" s="129">
        <f t="shared" si="354"/>
        <v>111.1409442</v>
      </c>
      <c r="L724" s="130">
        <v>0.6</v>
      </c>
      <c r="M724" s="129">
        <f t="shared" si="355"/>
        <v>74.09396281</v>
      </c>
      <c r="N724" s="130">
        <f t="shared" si="356"/>
        <v>0.4</v>
      </c>
      <c r="O724" s="131">
        <f t="array" ref="O724">INDEX('LPU Regionalizada'!$B$3:$N$785,MATCH($B724,'LPU Regionalizada'!$B$3:$B$785,0),MATCH(INDEX(CTRL!$F$3:$F$29,CTRL!$E$1),'LPU Regionalizada'!$B$3:$N$3,0))</f>
        <v>185.234907</v>
      </c>
      <c r="P724" s="88"/>
      <c r="Q724" s="132">
        <f t="shared" si="357"/>
        <v>0</v>
      </c>
      <c r="R724" s="132">
        <f t="shared" si="358"/>
        <v>0</v>
      </c>
      <c r="S724" s="132">
        <f t="shared" si="359"/>
        <v>0</v>
      </c>
      <c r="T724" s="133">
        <f t="shared" si="360"/>
        <v>0</v>
      </c>
      <c r="U724" s="134">
        <f t="shared" si="296"/>
        <v>0</v>
      </c>
      <c r="V724" s="135"/>
      <c r="W724" s="136"/>
      <c r="X724" s="2"/>
      <c r="Y724" s="111"/>
      <c r="Z724" s="3"/>
    </row>
    <row r="725" ht="14.25" hidden="1" customHeight="1" outlineLevel="1">
      <c r="A725" s="112"/>
      <c r="B725" s="113" t="s">
        <v>1485</v>
      </c>
      <c r="C725" s="114" t="s">
        <v>1486</v>
      </c>
      <c r="D725" s="115"/>
      <c r="E725" s="35"/>
      <c r="F725" s="113"/>
      <c r="G725" s="116"/>
      <c r="H725" s="116"/>
      <c r="I725" s="115"/>
      <c r="J725" s="88"/>
      <c r="K725" s="117"/>
      <c r="L725" s="118"/>
      <c r="M725" s="118"/>
      <c r="N725" s="118"/>
      <c r="O725" s="119"/>
      <c r="P725" s="88"/>
      <c r="Q725" s="120"/>
      <c r="R725" s="120"/>
      <c r="S725" s="120"/>
      <c r="T725" s="120">
        <f>SUM(T726:T731)</f>
        <v>0</v>
      </c>
      <c r="U725" s="121">
        <f t="shared" si="296"/>
        <v>0</v>
      </c>
      <c r="V725" s="122"/>
      <c r="W725" s="123"/>
      <c r="X725" s="2"/>
      <c r="Y725" s="111"/>
      <c r="Z725" s="3"/>
    </row>
    <row r="726" ht="14.25" hidden="1" customHeight="1" outlineLevel="2">
      <c r="A726" s="124"/>
      <c r="B726" s="125" t="s">
        <v>1487</v>
      </c>
      <c r="C726" s="126" t="s">
        <v>1488</v>
      </c>
      <c r="D726" s="127" t="s">
        <v>142</v>
      </c>
      <c r="E726" s="35"/>
      <c r="F726" s="128"/>
      <c r="G726" s="128"/>
      <c r="H726" s="128"/>
      <c r="I726" s="127">
        <f t="shared" ref="I726:I731" si="361">F726+G726+H726</f>
        <v>0</v>
      </c>
      <c r="J726" s="88"/>
      <c r="K726" s="129">
        <f t="shared" ref="K726:K731" si="362">L726*O726</f>
        <v>37.31450554</v>
      </c>
      <c r="L726" s="130">
        <v>0.6</v>
      </c>
      <c r="M726" s="129">
        <f t="shared" ref="M726:M731" si="363">N726*O726</f>
        <v>24.87633703</v>
      </c>
      <c r="N726" s="130">
        <f t="shared" ref="N726:N731" si="364">100%-L726</f>
        <v>0.4</v>
      </c>
      <c r="O726" s="131">
        <f t="array" ref="O726">INDEX('LPU Regionalizada'!$B$3:$N$785,MATCH($B726,'LPU Regionalizada'!$B$3:$B$785,0),MATCH(INDEX(CTRL!$F$3:$F$29,CTRL!$E$1),'LPU Regionalizada'!$B$3:$N$3,0))</f>
        <v>62.19084257</v>
      </c>
      <c r="P726" s="88"/>
      <c r="Q726" s="132">
        <f t="shared" ref="Q726:Q731" si="365">F726*O726</f>
        <v>0</v>
      </c>
      <c r="R726" s="132">
        <f t="shared" ref="R726:R731" si="366">G726*O726</f>
        <v>0</v>
      </c>
      <c r="S726" s="132">
        <f t="shared" ref="S726:S731" si="367">H726*O726</f>
        <v>0</v>
      </c>
      <c r="T726" s="133">
        <f t="shared" ref="T726:T731" si="368">SUM(Q726:S726)</f>
        <v>0</v>
      </c>
      <c r="U726" s="134">
        <f t="shared" si="296"/>
        <v>0</v>
      </c>
      <c r="V726" s="135"/>
      <c r="W726" s="136"/>
      <c r="X726" s="2"/>
      <c r="Y726" s="111"/>
      <c r="Z726" s="3"/>
    </row>
    <row r="727" ht="14.25" hidden="1" customHeight="1" outlineLevel="2">
      <c r="A727" s="124"/>
      <c r="B727" s="125" t="s">
        <v>1489</v>
      </c>
      <c r="C727" s="126" t="s">
        <v>1490</v>
      </c>
      <c r="D727" s="127" t="s">
        <v>142</v>
      </c>
      <c r="E727" s="35"/>
      <c r="F727" s="128"/>
      <c r="G727" s="128"/>
      <c r="H727" s="128"/>
      <c r="I727" s="127">
        <f t="shared" si="361"/>
        <v>0</v>
      </c>
      <c r="J727" s="88"/>
      <c r="K727" s="129">
        <f t="shared" si="362"/>
        <v>2074.495493</v>
      </c>
      <c r="L727" s="130">
        <v>0.6</v>
      </c>
      <c r="M727" s="129">
        <f t="shared" si="363"/>
        <v>1382.996995</v>
      </c>
      <c r="N727" s="130">
        <f t="shared" si="364"/>
        <v>0.4</v>
      </c>
      <c r="O727" s="131">
        <f t="array" ref="O727">INDEX('LPU Regionalizada'!$B$3:$N$785,MATCH($B727,'LPU Regionalizada'!$B$3:$B$785,0),MATCH(INDEX(CTRL!$F$3:$F$29,CTRL!$E$1),'LPU Regionalizada'!$B$3:$N$3,0))</f>
        <v>3457.492488</v>
      </c>
      <c r="P727" s="88"/>
      <c r="Q727" s="132">
        <f t="shared" si="365"/>
        <v>0</v>
      </c>
      <c r="R727" s="132">
        <f t="shared" si="366"/>
        <v>0</v>
      </c>
      <c r="S727" s="132">
        <f t="shared" si="367"/>
        <v>0</v>
      </c>
      <c r="T727" s="133">
        <f t="shared" si="368"/>
        <v>0</v>
      </c>
      <c r="U727" s="134">
        <f t="shared" si="296"/>
        <v>0</v>
      </c>
      <c r="V727" s="135"/>
      <c r="W727" s="136"/>
      <c r="X727" s="2"/>
      <c r="Y727" s="111"/>
      <c r="Z727" s="3"/>
    </row>
    <row r="728" ht="14.25" hidden="1" customHeight="1" outlineLevel="2">
      <c r="A728" s="124"/>
      <c r="B728" s="125" t="s">
        <v>1491</v>
      </c>
      <c r="C728" s="126" t="s">
        <v>1492</v>
      </c>
      <c r="D728" s="127" t="s">
        <v>142</v>
      </c>
      <c r="E728" s="35"/>
      <c r="F728" s="128"/>
      <c r="G728" s="128"/>
      <c r="H728" s="128"/>
      <c r="I728" s="127">
        <f t="shared" si="361"/>
        <v>0</v>
      </c>
      <c r="J728" s="88"/>
      <c r="K728" s="129">
        <f t="shared" si="362"/>
        <v>2430.054777</v>
      </c>
      <c r="L728" s="130">
        <v>0.6</v>
      </c>
      <c r="M728" s="129">
        <f t="shared" si="363"/>
        <v>1620.036518</v>
      </c>
      <c r="N728" s="130">
        <f t="shared" si="364"/>
        <v>0.4</v>
      </c>
      <c r="O728" s="131">
        <f t="array" ref="O728">INDEX('LPU Regionalizada'!$B$3:$N$785,MATCH($B728,'LPU Regionalizada'!$B$3:$B$785,0),MATCH(INDEX(CTRL!$F$3:$F$29,CTRL!$E$1),'LPU Regionalizada'!$B$3:$N$3,0))</f>
        <v>4050.091296</v>
      </c>
      <c r="P728" s="88"/>
      <c r="Q728" s="132">
        <f t="shared" si="365"/>
        <v>0</v>
      </c>
      <c r="R728" s="132">
        <f t="shared" si="366"/>
        <v>0</v>
      </c>
      <c r="S728" s="132">
        <f t="shared" si="367"/>
        <v>0</v>
      </c>
      <c r="T728" s="133">
        <f t="shared" si="368"/>
        <v>0</v>
      </c>
      <c r="U728" s="134">
        <f t="shared" si="296"/>
        <v>0</v>
      </c>
      <c r="V728" s="135"/>
      <c r="W728" s="136"/>
      <c r="X728" s="2"/>
      <c r="Y728" s="111"/>
      <c r="Z728" s="3"/>
    </row>
    <row r="729" ht="14.25" hidden="1" customHeight="1" outlineLevel="2">
      <c r="A729" s="124"/>
      <c r="B729" s="125" t="s">
        <v>1493</v>
      </c>
      <c r="C729" s="126" t="s">
        <v>1494</v>
      </c>
      <c r="D729" s="127" t="s">
        <v>142</v>
      </c>
      <c r="E729" s="35"/>
      <c r="F729" s="128"/>
      <c r="G729" s="128"/>
      <c r="H729" s="128"/>
      <c r="I729" s="127">
        <f t="shared" si="361"/>
        <v>0</v>
      </c>
      <c r="J729" s="88"/>
      <c r="K729" s="129">
        <f t="shared" si="362"/>
        <v>2991.514498</v>
      </c>
      <c r="L729" s="130">
        <v>0.6</v>
      </c>
      <c r="M729" s="129">
        <f t="shared" si="363"/>
        <v>1994.342999</v>
      </c>
      <c r="N729" s="130">
        <f t="shared" si="364"/>
        <v>0.4</v>
      </c>
      <c r="O729" s="131">
        <f t="array" ref="O729">INDEX('LPU Regionalizada'!$B$3:$N$785,MATCH($B729,'LPU Regionalizada'!$B$3:$B$785,0),MATCH(INDEX(CTRL!$F$3:$F$29,CTRL!$E$1),'LPU Regionalizada'!$B$3:$N$3,0))</f>
        <v>4985.857497</v>
      </c>
      <c r="P729" s="88"/>
      <c r="Q729" s="132">
        <f t="shared" si="365"/>
        <v>0</v>
      </c>
      <c r="R729" s="132">
        <f t="shared" si="366"/>
        <v>0</v>
      </c>
      <c r="S729" s="132">
        <f t="shared" si="367"/>
        <v>0</v>
      </c>
      <c r="T729" s="133">
        <f t="shared" si="368"/>
        <v>0</v>
      </c>
      <c r="U729" s="134">
        <f t="shared" si="296"/>
        <v>0</v>
      </c>
      <c r="V729" s="135"/>
      <c r="W729" s="136"/>
      <c r="X729" s="2"/>
      <c r="Y729" s="111"/>
      <c r="Z729" s="3"/>
    </row>
    <row r="730" ht="14.25" hidden="1" customHeight="1" outlineLevel="2">
      <c r="A730" s="124"/>
      <c r="B730" s="125" t="s">
        <v>1495</v>
      </c>
      <c r="C730" s="126" t="s">
        <v>1496</v>
      </c>
      <c r="D730" s="127" t="s">
        <v>142</v>
      </c>
      <c r="E730" s="35"/>
      <c r="F730" s="128"/>
      <c r="G730" s="128"/>
      <c r="H730" s="128">
        <v>0.0</v>
      </c>
      <c r="I730" s="127">
        <f t="shared" si="361"/>
        <v>0</v>
      </c>
      <c r="J730" s="88"/>
      <c r="K730" s="129">
        <f t="shared" si="362"/>
        <v>674.2796616</v>
      </c>
      <c r="L730" s="130">
        <v>0.6</v>
      </c>
      <c r="M730" s="129">
        <f t="shared" si="363"/>
        <v>449.5197744</v>
      </c>
      <c r="N730" s="130">
        <f t="shared" si="364"/>
        <v>0.4</v>
      </c>
      <c r="O730" s="131">
        <f t="array" ref="O730">INDEX('LPU Regionalizada'!$B$3:$N$785,MATCH($B730,'LPU Regionalizada'!$B$3:$B$785,0),MATCH(INDEX(CTRL!$F$3:$F$29,CTRL!$E$1),'LPU Regionalizada'!$B$3:$N$3,0))</f>
        <v>1123.799436</v>
      </c>
      <c r="P730" s="88"/>
      <c r="Q730" s="132">
        <f t="shared" si="365"/>
        <v>0</v>
      </c>
      <c r="R730" s="132">
        <f t="shared" si="366"/>
        <v>0</v>
      </c>
      <c r="S730" s="132">
        <f t="shared" si="367"/>
        <v>0</v>
      </c>
      <c r="T730" s="133">
        <f t="shared" si="368"/>
        <v>0</v>
      </c>
      <c r="U730" s="134">
        <f t="shared" si="296"/>
        <v>0</v>
      </c>
      <c r="V730" s="135"/>
      <c r="W730" s="136"/>
      <c r="X730" s="2"/>
      <c r="Y730" s="111"/>
      <c r="Z730" s="3"/>
    </row>
    <row r="731" ht="14.25" hidden="1" customHeight="1" outlineLevel="2">
      <c r="A731" s="124"/>
      <c r="B731" s="125" t="s">
        <v>1497</v>
      </c>
      <c r="C731" s="126" t="s">
        <v>1498</v>
      </c>
      <c r="D731" s="127" t="s">
        <v>142</v>
      </c>
      <c r="E731" s="35"/>
      <c r="F731" s="128"/>
      <c r="G731" s="128"/>
      <c r="H731" s="128"/>
      <c r="I731" s="127">
        <f t="shared" si="361"/>
        <v>0</v>
      </c>
      <c r="J731" s="88"/>
      <c r="K731" s="129">
        <f t="shared" si="362"/>
        <v>1185</v>
      </c>
      <c r="L731" s="130">
        <v>0.6</v>
      </c>
      <c r="M731" s="129">
        <f t="shared" si="363"/>
        <v>790</v>
      </c>
      <c r="N731" s="130">
        <f t="shared" si="364"/>
        <v>0.4</v>
      </c>
      <c r="O731" s="131">
        <f t="array" ref="O731">INDEX('LPU Regionalizada'!$B$3:$N$785,MATCH($B731,'LPU Regionalizada'!$B$3:$B$785,0),MATCH(INDEX(CTRL!$F$3:$F$29,CTRL!$E$1),'LPU Regionalizada'!$B$3:$N$3,0))</f>
        <v>1975</v>
      </c>
      <c r="P731" s="88"/>
      <c r="Q731" s="132">
        <f t="shared" si="365"/>
        <v>0</v>
      </c>
      <c r="R731" s="132">
        <f t="shared" si="366"/>
        <v>0</v>
      </c>
      <c r="S731" s="132">
        <f t="shared" si="367"/>
        <v>0</v>
      </c>
      <c r="T731" s="133">
        <f t="shared" si="368"/>
        <v>0</v>
      </c>
      <c r="U731" s="134">
        <f t="shared" si="296"/>
        <v>0</v>
      </c>
      <c r="V731" s="135"/>
      <c r="W731" s="136"/>
      <c r="X731" s="2"/>
      <c r="Y731" s="111"/>
      <c r="Z731" s="3"/>
    </row>
    <row r="732" ht="14.25" hidden="1" customHeight="1" outlineLevel="1">
      <c r="A732" s="112"/>
      <c r="B732" s="113" t="s">
        <v>1499</v>
      </c>
      <c r="C732" s="114" t="s">
        <v>1500</v>
      </c>
      <c r="D732" s="115"/>
      <c r="E732" s="35"/>
      <c r="F732" s="113"/>
      <c r="G732" s="116"/>
      <c r="H732" s="116"/>
      <c r="I732" s="115"/>
      <c r="J732" s="88"/>
      <c r="K732" s="117"/>
      <c r="L732" s="118"/>
      <c r="M732" s="118"/>
      <c r="N732" s="118"/>
      <c r="O732" s="119"/>
      <c r="P732" s="88"/>
      <c r="Q732" s="120"/>
      <c r="R732" s="120"/>
      <c r="S732" s="120"/>
      <c r="T732" s="120">
        <f>SUM(T733:T740)</f>
        <v>0</v>
      </c>
      <c r="U732" s="121">
        <f t="shared" si="296"/>
        <v>0</v>
      </c>
      <c r="V732" s="122"/>
      <c r="W732" s="123"/>
      <c r="X732" s="2"/>
      <c r="Y732" s="111"/>
      <c r="Z732" s="3"/>
    </row>
    <row r="733" ht="14.25" hidden="1" customHeight="1" outlineLevel="2">
      <c r="A733" s="124"/>
      <c r="B733" s="125" t="s">
        <v>1501</v>
      </c>
      <c r="C733" s="126" t="s">
        <v>1502</v>
      </c>
      <c r="D733" s="127" t="s">
        <v>142</v>
      </c>
      <c r="E733" s="35"/>
      <c r="F733" s="128"/>
      <c r="G733" s="128"/>
      <c r="H733" s="128"/>
      <c r="I733" s="127">
        <f t="shared" ref="I733:I740" si="369">F733+G733+H733</f>
        <v>0</v>
      </c>
      <c r="J733" s="88"/>
      <c r="K733" s="129">
        <f t="shared" ref="K733:K740" si="370">L733*O733</f>
        <v>249.89412</v>
      </c>
      <c r="L733" s="130">
        <v>0.6</v>
      </c>
      <c r="M733" s="129">
        <f t="shared" ref="M733:M740" si="371">N733*O733</f>
        <v>166.59608</v>
      </c>
      <c r="N733" s="130">
        <f t="shared" ref="N733:N740" si="372">100%-L733</f>
        <v>0.4</v>
      </c>
      <c r="O733" s="131">
        <f t="array" ref="O733">INDEX('LPU Regionalizada'!$B$3:$N$785,MATCH($B733,'LPU Regionalizada'!$B$3:$B$785,0),MATCH(INDEX(CTRL!$F$3:$F$29,CTRL!$E$1),'LPU Regionalizada'!$B$3:$N$3,0))</f>
        <v>416.4902</v>
      </c>
      <c r="P733" s="88"/>
      <c r="Q733" s="132">
        <f t="shared" ref="Q733:Q740" si="373">F733*O733</f>
        <v>0</v>
      </c>
      <c r="R733" s="132">
        <f t="shared" ref="R733:R740" si="374">G733*O733</f>
        <v>0</v>
      </c>
      <c r="S733" s="132">
        <f t="shared" ref="S733:S740" si="375">H733*O733</f>
        <v>0</v>
      </c>
      <c r="T733" s="133">
        <f t="shared" ref="T733:T740" si="376">SUM(Q733:S733)</f>
        <v>0</v>
      </c>
      <c r="U733" s="134">
        <f t="shared" si="296"/>
        <v>0</v>
      </c>
      <c r="V733" s="135"/>
      <c r="W733" s="136"/>
      <c r="X733" s="2"/>
      <c r="Y733" s="111"/>
      <c r="Z733" s="3"/>
    </row>
    <row r="734" ht="14.25" hidden="1" customHeight="1" outlineLevel="2">
      <c r="A734" s="124"/>
      <c r="B734" s="125" t="s">
        <v>1503</v>
      </c>
      <c r="C734" s="126" t="s">
        <v>1504</v>
      </c>
      <c r="D734" s="127" t="s">
        <v>142</v>
      </c>
      <c r="E734" s="35"/>
      <c r="F734" s="128"/>
      <c r="G734" s="128"/>
      <c r="H734" s="128"/>
      <c r="I734" s="127">
        <f t="shared" si="369"/>
        <v>0</v>
      </c>
      <c r="J734" s="88"/>
      <c r="K734" s="129">
        <f t="shared" si="370"/>
        <v>362.85</v>
      </c>
      <c r="L734" s="130">
        <v>0.6</v>
      </c>
      <c r="M734" s="129">
        <f t="shared" si="371"/>
        <v>241.9</v>
      </c>
      <c r="N734" s="130">
        <f t="shared" si="372"/>
        <v>0.4</v>
      </c>
      <c r="O734" s="131">
        <f t="array" ref="O734">INDEX('LPU Regionalizada'!$B$3:$N$785,MATCH($B734,'LPU Regionalizada'!$B$3:$B$785,0),MATCH(INDEX(CTRL!$F$3:$F$29,CTRL!$E$1),'LPU Regionalizada'!$B$3:$N$3,0))</f>
        <v>604.75</v>
      </c>
      <c r="P734" s="88"/>
      <c r="Q734" s="132">
        <f t="shared" si="373"/>
        <v>0</v>
      </c>
      <c r="R734" s="132">
        <f t="shared" si="374"/>
        <v>0</v>
      </c>
      <c r="S734" s="132">
        <f t="shared" si="375"/>
        <v>0</v>
      </c>
      <c r="T734" s="133">
        <f t="shared" si="376"/>
        <v>0</v>
      </c>
      <c r="U734" s="134">
        <f t="shared" si="296"/>
        <v>0</v>
      </c>
      <c r="V734" s="135"/>
      <c r="W734" s="136"/>
      <c r="X734" s="2"/>
      <c r="Y734" s="111"/>
      <c r="Z734" s="3"/>
    </row>
    <row r="735" ht="14.25" hidden="1" customHeight="1" outlineLevel="2">
      <c r="A735" s="124"/>
      <c r="B735" s="125" t="s">
        <v>1505</v>
      </c>
      <c r="C735" s="126" t="s">
        <v>1506</v>
      </c>
      <c r="D735" s="127" t="s">
        <v>142</v>
      </c>
      <c r="E735" s="35"/>
      <c r="F735" s="128"/>
      <c r="G735" s="128"/>
      <c r="H735" s="128"/>
      <c r="I735" s="127">
        <f t="shared" si="369"/>
        <v>0</v>
      </c>
      <c r="J735" s="88"/>
      <c r="K735" s="129">
        <f t="shared" si="370"/>
        <v>619.5873227</v>
      </c>
      <c r="L735" s="130">
        <v>0.6</v>
      </c>
      <c r="M735" s="129">
        <f t="shared" si="371"/>
        <v>413.0582152</v>
      </c>
      <c r="N735" s="130">
        <f t="shared" si="372"/>
        <v>0.4</v>
      </c>
      <c r="O735" s="131">
        <f t="array" ref="O735">INDEX('LPU Regionalizada'!$B$3:$N$785,MATCH($B735,'LPU Regionalizada'!$B$3:$B$785,0),MATCH(INDEX(CTRL!$F$3:$F$29,CTRL!$E$1),'LPU Regionalizada'!$B$3:$N$3,0))</f>
        <v>1032.645538</v>
      </c>
      <c r="P735" s="88"/>
      <c r="Q735" s="132">
        <f t="shared" si="373"/>
        <v>0</v>
      </c>
      <c r="R735" s="132">
        <f t="shared" si="374"/>
        <v>0</v>
      </c>
      <c r="S735" s="132">
        <f t="shared" si="375"/>
        <v>0</v>
      </c>
      <c r="T735" s="133">
        <f t="shared" si="376"/>
        <v>0</v>
      </c>
      <c r="U735" s="134">
        <f t="shared" si="296"/>
        <v>0</v>
      </c>
      <c r="V735" s="135"/>
      <c r="W735" s="136"/>
      <c r="X735" s="2"/>
      <c r="Y735" s="111"/>
      <c r="Z735" s="3"/>
    </row>
    <row r="736" ht="14.25" hidden="1" customHeight="1" outlineLevel="2">
      <c r="A736" s="124"/>
      <c r="B736" s="125" t="s">
        <v>1507</v>
      </c>
      <c r="C736" s="126" t="s">
        <v>1508</v>
      </c>
      <c r="D736" s="127" t="s">
        <v>142</v>
      </c>
      <c r="E736" s="35"/>
      <c r="F736" s="128"/>
      <c r="G736" s="128"/>
      <c r="H736" s="128"/>
      <c r="I736" s="127">
        <f t="shared" si="369"/>
        <v>0</v>
      </c>
      <c r="J736" s="88"/>
      <c r="K736" s="129">
        <f t="shared" si="370"/>
        <v>984.86505</v>
      </c>
      <c r="L736" s="130">
        <v>0.6</v>
      </c>
      <c r="M736" s="129">
        <f t="shared" si="371"/>
        <v>656.5767</v>
      </c>
      <c r="N736" s="130">
        <f t="shared" si="372"/>
        <v>0.4</v>
      </c>
      <c r="O736" s="131">
        <f t="array" ref="O736">INDEX('LPU Regionalizada'!$B$3:$N$785,MATCH($B736,'LPU Regionalizada'!$B$3:$B$785,0),MATCH(INDEX(CTRL!$F$3:$F$29,CTRL!$E$1),'LPU Regionalizada'!$B$3:$N$3,0))</f>
        <v>1641.44175</v>
      </c>
      <c r="P736" s="88"/>
      <c r="Q736" s="132">
        <f t="shared" si="373"/>
        <v>0</v>
      </c>
      <c r="R736" s="132">
        <f t="shared" si="374"/>
        <v>0</v>
      </c>
      <c r="S736" s="132">
        <f t="shared" si="375"/>
        <v>0</v>
      </c>
      <c r="T736" s="133">
        <f t="shared" si="376"/>
        <v>0</v>
      </c>
      <c r="U736" s="134">
        <f t="shared" si="296"/>
        <v>0</v>
      </c>
      <c r="V736" s="135"/>
      <c r="W736" s="136"/>
      <c r="X736" s="2"/>
      <c r="Y736" s="111"/>
      <c r="Z736" s="3"/>
    </row>
    <row r="737" ht="14.25" hidden="1" customHeight="1" outlineLevel="2">
      <c r="A737" s="124"/>
      <c r="B737" s="125" t="s">
        <v>1509</v>
      </c>
      <c r="C737" s="126" t="s">
        <v>1510</v>
      </c>
      <c r="D737" s="127" t="s">
        <v>142</v>
      </c>
      <c r="E737" s="35"/>
      <c r="F737" s="128"/>
      <c r="G737" s="128"/>
      <c r="H737" s="128"/>
      <c r="I737" s="127">
        <f t="shared" si="369"/>
        <v>0</v>
      </c>
      <c r="J737" s="88"/>
      <c r="K737" s="129">
        <f t="shared" si="370"/>
        <v>1970.874</v>
      </c>
      <c r="L737" s="130">
        <v>0.6</v>
      </c>
      <c r="M737" s="129">
        <f t="shared" si="371"/>
        <v>1313.916</v>
      </c>
      <c r="N737" s="130">
        <f t="shared" si="372"/>
        <v>0.4</v>
      </c>
      <c r="O737" s="131">
        <f t="array" ref="O737">INDEX('LPU Regionalizada'!$B$3:$N$785,MATCH($B737,'LPU Regionalizada'!$B$3:$B$785,0),MATCH(INDEX(CTRL!$F$3:$F$29,CTRL!$E$1),'LPU Regionalizada'!$B$3:$N$3,0))</f>
        <v>3284.79</v>
      </c>
      <c r="P737" s="88"/>
      <c r="Q737" s="132">
        <f t="shared" si="373"/>
        <v>0</v>
      </c>
      <c r="R737" s="132">
        <f t="shared" si="374"/>
        <v>0</v>
      </c>
      <c r="S737" s="132">
        <f t="shared" si="375"/>
        <v>0</v>
      </c>
      <c r="T737" s="133">
        <f t="shared" si="376"/>
        <v>0</v>
      </c>
      <c r="U737" s="134">
        <f t="shared" si="296"/>
        <v>0</v>
      </c>
      <c r="V737" s="135"/>
      <c r="W737" s="136"/>
      <c r="X737" s="2"/>
      <c r="Y737" s="111"/>
      <c r="Z737" s="3"/>
    </row>
    <row r="738" ht="14.25" hidden="1" customHeight="1" outlineLevel="2">
      <c r="A738" s="124"/>
      <c r="B738" s="125" t="s">
        <v>1511</v>
      </c>
      <c r="C738" s="126" t="s">
        <v>1512</v>
      </c>
      <c r="D738" s="127" t="s">
        <v>142</v>
      </c>
      <c r="E738" s="35"/>
      <c r="F738" s="128"/>
      <c r="G738" s="128"/>
      <c r="H738" s="128"/>
      <c r="I738" s="127">
        <f t="shared" si="369"/>
        <v>0</v>
      </c>
      <c r="J738" s="88"/>
      <c r="K738" s="129">
        <f t="shared" si="370"/>
        <v>27.9864</v>
      </c>
      <c r="L738" s="130">
        <v>0.6</v>
      </c>
      <c r="M738" s="129">
        <f t="shared" si="371"/>
        <v>18.6576</v>
      </c>
      <c r="N738" s="130">
        <f t="shared" si="372"/>
        <v>0.4</v>
      </c>
      <c r="O738" s="131">
        <f t="array" ref="O738">INDEX('LPU Regionalizada'!$B$3:$N$785,MATCH($B738,'LPU Regionalizada'!$B$3:$B$785,0),MATCH(INDEX(CTRL!$F$3:$F$29,CTRL!$E$1),'LPU Regionalizada'!$B$3:$N$3,0))</f>
        <v>46.644</v>
      </c>
      <c r="P738" s="88"/>
      <c r="Q738" s="132">
        <f t="shared" si="373"/>
        <v>0</v>
      </c>
      <c r="R738" s="132">
        <f t="shared" si="374"/>
        <v>0</v>
      </c>
      <c r="S738" s="132">
        <f t="shared" si="375"/>
        <v>0</v>
      </c>
      <c r="T738" s="133">
        <f t="shared" si="376"/>
        <v>0</v>
      </c>
      <c r="U738" s="134">
        <f t="shared" si="296"/>
        <v>0</v>
      </c>
      <c r="V738" s="135"/>
      <c r="W738" s="136"/>
      <c r="X738" s="2"/>
      <c r="Y738" s="111"/>
      <c r="Z738" s="3"/>
    </row>
    <row r="739" ht="14.25" hidden="1" customHeight="1" outlineLevel="2">
      <c r="A739" s="124"/>
      <c r="B739" s="125" t="s">
        <v>1513</v>
      </c>
      <c r="C739" s="126" t="s">
        <v>1514</v>
      </c>
      <c r="D739" s="127" t="s">
        <v>142</v>
      </c>
      <c r="E739" s="35"/>
      <c r="F739" s="128"/>
      <c r="G739" s="128"/>
      <c r="H739" s="128"/>
      <c r="I739" s="127">
        <f t="shared" si="369"/>
        <v>0</v>
      </c>
      <c r="J739" s="88"/>
      <c r="K739" s="129">
        <f t="shared" si="370"/>
        <v>44.282784</v>
      </c>
      <c r="L739" s="130">
        <v>0.6</v>
      </c>
      <c r="M739" s="129">
        <f t="shared" si="371"/>
        <v>29.521856</v>
      </c>
      <c r="N739" s="130">
        <f t="shared" si="372"/>
        <v>0.4</v>
      </c>
      <c r="O739" s="131">
        <f t="array" ref="O739">INDEX('LPU Regionalizada'!$B$3:$N$785,MATCH($B739,'LPU Regionalizada'!$B$3:$B$785,0),MATCH(INDEX(CTRL!$F$3:$F$29,CTRL!$E$1),'LPU Regionalizada'!$B$3:$N$3,0))</f>
        <v>73.80464</v>
      </c>
      <c r="P739" s="88"/>
      <c r="Q739" s="132">
        <f t="shared" si="373"/>
        <v>0</v>
      </c>
      <c r="R739" s="132">
        <f t="shared" si="374"/>
        <v>0</v>
      </c>
      <c r="S739" s="132">
        <f t="shared" si="375"/>
        <v>0</v>
      </c>
      <c r="T739" s="133">
        <f t="shared" si="376"/>
        <v>0</v>
      </c>
      <c r="U739" s="134">
        <f t="shared" si="296"/>
        <v>0</v>
      </c>
      <c r="V739" s="135"/>
      <c r="W739" s="136"/>
      <c r="X739" s="2"/>
      <c r="Y739" s="111"/>
      <c r="Z739" s="3"/>
    </row>
    <row r="740" ht="14.25" hidden="1" customHeight="1" outlineLevel="2">
      <c r="A740" s="124"/>
      <c r="B740" s="125" t="s">
        <v>1515</v>
      </c>
      <c r="C740" s="126" t="s">
        <v>1516</v>
      </c>
      <c r="D740" s="127" t="s">
        <v>142</v>
      </c>
      <c r="E740" s="35"/>
      <c r="F740" s="128"/>
      <c r="G740" s="128"/>
      <c r="H740" s="128"/>
      <c r="I740" s="127">
        <f t="shared" si="369"/>
        <v>0</v>
      </c>
      <c r="J740" s="88"/>
      <c r="K740" s="129">
        <f t="shared" si="370"/>
        <v>49.48944</v>
      </c>
      <c r="L740" s="130">
        <v>0.6</v>
      </c>
      <c r="M740" s="129">
        <f t="shared" si="371"/>
        <v>32.99296</v>
      </c>
      <c r="N740" s="130">
        <f t="shared" si="372"/>
        <v>0.4</v>
      </c>
      <c r="O740" s="131">
        <f t="array" ref="O740">INDEX('LPU Regionalizada'!$B$3:$N$785,MATCH($B740,'LPU Regionalizada'!$B$3:$B$785,0),MATCH(INDEX(CTRL!$F$3:$F$29,CTRL!$E$1),'LPU Regionalizada'!$B$3:$N$3,0))</f>
        <v>82.4824</v>
      </c>
      <c r="P740" s="88"/>
      <c r="Q740" s="132">
        <f t="shared" si="373"/>
        <v>0</v>
      </c>
      <c r="R740" s="132">
        <f t="shared" si="374"/>
        <v>0</v>
      </c>
      <c r="S740" s="132">
        <f t="shared" si="375"/>
        <v>0</v>
      </c>
      <c r="T740" s="133">
        <f t="shared" si="376"/>
        <v>0</v>
      </c>
      <c r="U740" s="134">
        <f t="shared" si="296"/>
        <v>0</v>
      </c>
      <c r="V740" s="135"/>
      <c r="W740" s="136"/>
      <c r="X740" s="2"/>
      <c r="Y740" s="111"/>
      <c r="Z740" s="3"/>
    </row>
    <row r="741" ht="9.75" hidden="1" customHeight="1">
      <c r="A741" s="124"/>
      <c r="B741" s="125"/>
      <c r="C741" s="126"/>
      <c r="D741" s="127"/>
      <c r="E741" s="35"/>
      <c r="F741" s="128"/>
      <c r="G741" s="128"/>
      <c r="H741" s="128"/>
      <c r="I741" s="127"/>
      <c r="J741" s="88"/>
      <c r="K741" s="129"/>
      <c r="L741" s="130"/>
      <c r="M741" s="129"/>
      <c r="N741" s="130"/>
      <c r="O741" s="131"/>
      <c r="P741" s="88"/>
      <c r="Q741" s="132"/>
      <c r="R741" s="132"/>
      <c r="S741" s="132"/>
      <c r="T741" s="133"/>
      <c r="U741" s="134"/>
      <c r="V741" s="135"/>
      <c r="W741" s="136"/>
      <c r="X741" s="2"/>
      <c r="Y741" s="111"/>
      <c r="Z741" s="3"/>
    </row>
    <row r="742" ht="14.25" hidden="1" customHeight="1" collapsed="1">
      <c r="A742" s="100"/>
      <c r="B742" s="101" t="s">
        <v>1517</v>
      </c>
      <c r="C742" s="102" t="s">
        <v>1518</v>
      </c>
      <c r="D742" s="103"/>
      <c r="E742" s="35"/>
      <c r="F742" s="101"/>
      <c r="G742" s="104"/>
      <c r="H742" s="104"/>
      <c r="I742" s="103"/>
      <c r="J742" s="88"/>
      <c r="K742" s="105"/>
      <c r="L742" s="106"/>
      <c r="M742" s="106"/>
      <c r="N742" s="106"/>
      <c r="O742" s="107"/>
      <c r="P742" s="88"/>
      <c r="Q742" s="108"/>
      <c r="R742" s="108"/>
      <c r="S742" s="108"/>
      <c r="T742" s="108">
        <f t="shared" ref="T742:U742" si="377">T743+T751+T759+T777</f>
        <v>0</v>
      </c>
      <c r="U742" s="108">
        <f t="shared" si="377"/>
        <v>0</v>
      </c>
      <c r="V742" s="109"/>
      <c r="W742" s="110"/>
      <c r="X742" s="2"/>
      <c r="Y742" s="111"/>
      <c r="Z742" s="3"/>
    </row>
    <row r="743" ht="14.25" hidden="1" customHeight="1" outlineLevel="1">
      <c r="A743" s="112"/>
      <c r="B743" s="113" t="s">
        <v>1519</v>
      </c>
      <c r="C743" s="114" t="s">
        <v>1520</v>
      </c>
      <c r="D743" s="115"/>
      <c r="E743" s="35"/>
      <c r="F743" s="113"/>
      <c r="G743" s="116"/>
      <c r="H743" s="116"/>
      <c r="I743" s="115"/>
      <c r="J743" s="88"/>
      <c r="K743" s="117"/>
      <c r="L743" s="118"/>
      <c r="M743" s="118"/>
      <c r="N743" s="118"/>
      <c r="O743" s="119"/>
      <c r="P743" s="88"/>
      <c r="Q743" s="120"/>
      <c r="R743" s="120"/>
      <c r="S743" s="120"/>
      <c r="T743" s="120">
        <f>SUM(T744:T750)</f>
        <v>0</v>
      </c>
      <c r="U743" s="121">
        <f t="shared" ref="U743:U784" si="378">IFERROR(T743*(1-$H$12),"")</f>
        <v>0</v>
      </c>
      <c r="V743" s="122"/>
      <c r="W743" s="123"/>
      <c r="X743" s="2"/>
      <c r="Y743" s="111"/>
      <c r="Z743" s="3"/>
    </row>
    <row r="744" ht="14.25" hidden="1" customHeight="1" outlineLevel="2">
      <c r="A744" s="124"/>
      <c r="B744" s="125" t="s">
        <v>1521</v>
      </c>
      <c r="C744" s="126" t="s">
        <v>1522</v>
      </c>
      <c r="D744" s="127" t="s">
        <v>142</v>
      </c>
      <c r="E744" s="35"/>
      <c r="F744" s="128"/>
      <c r="G744" s="128"/>
      <c r="H744" s="128">
        <v>0.0</v>
      </c>
      <c r="I744" s="127">
        <f t="shared" ref="I744:I750" si="379">F744+G744+H744</f>
        <v>0</v>
      </c>
      <c r="J744" s="88"/>
      <c r="K744" s="129">
        <f t="shared" ref="K744:K750" si="380">L744*O744</f>
        <v>294.2344265</v>
      </c>
      <c r="L744" s="130">
        <v>0.6</v>
      </c>
      <c r="M744" s="129">
        <f t="shared" ref="M744:M750" si="381">N744*O744</f>
        <v>196.1562843</v>
      </c>
      <c r="N744" s="130">
        <f t="shared" ref="N744:N750" si="382">100%-L744</f>
        <v>0.4</v>
      </c>
      <c r="O744" s="131">
        <f t="array" ref="O744">INDEX('LPU Regionalizada'!$B$3:$N$785,MATCH($B744,'LPU Regionalizada'!$B$3:$B$785,0),MATCH(INDEX(CTRL!$F$3:$F$29,CTRL!$E$1),'LPU Regionalizada'!$B$3:$N$3,0))</f>
        <v>490.3907108</v>
      </c>
      <c r="P744" s="88"/>
      <c r="Q744" s="132">
        <f t="shared" ref="Q744:Q750" si="383">F744*O744</f>
        <v>0</v>
      </c>
      <c r="R744" s="132">
        <f t="shared" ref="R744:R750" si="384">G744*O744</f>
        <v>0</v>
      </c>
      <c r="S744" s="132">
        <f t="shared" ref="S744:S750" si="385">H744*O744</f>
        <v>0</v>
      </c>
      <c r="T744" s="133">
        <f t="shared" ref="T744:T750" si="386">SUM(Q744:S744)</f>
        <v>0</v>
      </c>
      <c r="U744" s="134">
        <f t="shared" si="378"/>
        <v>0</v>
      </c>
      <c r="V744" s="135"/>
      <c r="W744" s="136"/>
      <c r="X744" s="2"/>
      <c r="Y744" s="111"/>
      <c r="Z744" s="3"/>
    </row>
    <row r="745" ht="14.25" hidden="1" customHeight="1" outlineLevel="2">
      <c r="A745" s="124"/>
      <c r="B745" s="125" t="s">
        <v>1523</v>
      </c>
      <c r="C745" s="126" t="s">
        <v>1524</v>
      </c>
      <c r="D745" s="127" t="s">
        <v>142</v>
      </c>
      <c r="E745" s="35"/>
      <c r="F745" s="128"/>
      <c r="G745" s="128"/>
      <c r="H745" s="128"/>
      <c r="I745" s="127">
        <f t="shared" si="379"/>
        <v>0</v>
      </c>
      <c r="J745" s="88"/>
      <c r="K745" s="129">
        <f t="shared" si="380"/>
        <v>1311.893213</v>
      </c>
      <c r="L745" s="130">
        <v>0.6</v>
      </c>
      <c r="M745" s="129">
        <f t="shared" si="381"/>
        <v>874.5954754</v>
      </c>
      <c r="N745" s="130">
        <f t="shared" si="382"/>
        <v>0.4</v>
      </c>
      <c r="O745" s="131">
        <f t="array" ref="O745">INDEX('LPU Regionalizada'!$B$3:$N$785,MATCH($B745,'LPU Regionalizada'!$B$3:$B$785,0),MATCH(INDEX(CTRL!$F$3:$F$29,CTRL!$E$1),'LPU Regionalizada'!$B$3:$N$3,0))</f>
        <v>2186.488689</v>
      </c>
      <c r="P745" s="88"/>
      <c r="Q745" s="132">
        <f t="shared" si="383"/>
        <v>0</v>
      </c>
      <c r="R745" s="132">
        <f t="shared" si="384"/>
        <v>0</v>
      </c>
      <c r="S745" s="132">
        <f t="shared" si="385"/>
        <v>0</v>
      </c>
      <c r="T745" s="133">
        <f t="shared" si="386"/>
        <v>0</v>
      </c>
      <c r="U745" s="134">
        <f t="shared" si="378"/>
        <v>0</v>
      </c>
      <c r="V745" s="135"/>
      <c r="W745" s="136"/>
      <c r="X745" s="2"/>
      <c r="Y745" s="111"/>
      <c r="Z745" s="3"/>
    </row>
    <row r="746" ht="14.25" hidden="1" customHeight="1" outlineLevel="2">
      <c r="A746" s="124"/>
      <c r="B746" s="125" t="s">
        <v>1525</v>
      </c>
      <c r="C746" s="126" t="s">
        <v>1526</v>
      </c>
      <c r="D746" s="127" t="s">
        <v>142</v>
      </c>
      <c r="E746" s="35"/>
      <c r="F746" s="128"/>
      <c r="G746" s="128"/>
      <c r="H746" s="128"/>
      <c r="I746" s="127">
        <f t="shared" si="379"/>
        <v>0</v>
      </c>
      <c r="J746" s="88"/>
      <c r="K746" s="129">
        <f t="shared" si="380"/>
        <v>546.6927213</v>
      </c>
      <c r="L746" s="130">
        <v>0.6</v>
      </c>
      <c r="M746" s="129">
        <f t="shared" si="381"/>
        <v>364.4618142</v>
      </c>
      <c r="N746" s="130">
        <f t="shared" si="382"/>
        <v>0.4</v>
      </c>
      <c r="O746" s="131">
        <f t="array" ref="O746">INDEX('LPU Regionalizada'!$B$3:$N$785,MATCH($B746,'LPU Regionalizada'!$B$3:$B$785,0),MATCH(INDEX(CTRL!$F$3:$F$29,CTRL!$E$1),'LPU Regionalizada'!$B$3:$N$3,0))</f>
        <v>911.1545355</v>
      </c>
      <c r="P746" s="88"/>
      <c r="Q746" s="132">
        <f t="shared" si="383"/>
        <v>0</v>
      </c>
      <c r="R746" s="132">
        <f t="shared" si="384"/>
        <v>0</v>
      </c>
      <c r="S746" s="132">
        <f t="shared" si="385"/>
        <v>0</v>
      </c>
      <c r="T746" s="133">
        <f t="shared" si="386"/>
        <v>0</v>
      </c>
      <c r="U746" s="134">
        <f t="shared" si="378"/>
        <v>0</v>
      </c>
      <c r="V746" s="135"/>
      <c r="W746" s="136"/>
      <c r="X746" s="2"/>
      <c r="Y746" s="111"/>
      <c r="Z746" s="3"/>
    </row>
    <row r="747" ht="14.25" hidden="1" customHeight="1" outlineLevel="2">
      <c r="A747" s="124"/>
      <c r="B747" s="125" t="s">
        <v>1527</v>
      </c>
      <c r="C747" s="126" t="s">
        <v>1528</v>
      </c>
      <c r="D747" s="127" t="s">
        <v>142</v>
      </c>
      <c r="E747" s="35"/>
      <c r="F747" s="128"/>
      <c r="G747" s="128"/>
      <c r="H747" s="128"/>
      <c r="I747" s="127">
        <f t="shared" si="379"/>
        <v>0</v>
      </c>
      <c r="J747" s="88"/>
      <c r="K747" s="129">
        <f t="shared" si="380"/>
        <v>766.4215898</v>
      </c>
      <c r="L747" s="130">
        <v>0.6</v>
      </c>
      <c r="M747" s="129">
        <f t="shared" si="381"/>
        <v>510.9477266</v>
      </c>
      <c r="N747" s="130">
        <f t="shared" si="382"/>
        <v>0.4</v>
      </c>
      <c r="O747" s="131">
        <f t="array" ref="O747">INDEX('LPU Regionalizada'!$B$3:$N$785,MATCH($B747,'LPU Regionalizada'!$B$3:$B$785,0),MATCH(INDEX(CTRL!$F$3:$F$29,CTRL!$E$1),'LPU Regionalizada'!$B$3:$N$3,0))</f>
        <v>1277.369316</v>
      </c>
      <c r="P747" s="88"/>
      <c r="Q747" s="132">
        <f t="shared" si="383"/>
        <v>0</v>
      </c>
      <c r="R747" s="132">
        <f t="shared" si="384"/>
        <v>0</v>
      </c>
      <c r="S747" s="132">
        <f t="shared" si="385"/>
        <v>0</v>
      </c>
      <c r="T747" s="133">
        <f t="shared" si="386"/>
        <v>0</v>
      </c>
      <c r="U747" s="134">
        <f t="shared" si="378"/>
        <v>0</v>
      </c>
      <c r="V747" s="135"/>
      <c r="W747" s="136"/>
      <c r="X747" s="2"/>
      <c r="Y747" s="111"/>
      <c r="Z747" s="3"/>
    </row>
    <row r="748" ht="14.25" hidden="1" customHeight="1" outlineLevel="2">
      <c r="A748" s="124"/>
      <c r="B748" s="125" t="s">
        <v>1529</v>
      </c>
      <c r="C748" s="126" t="s">
        <v>1530</v>
      </c>
      <c r="D748" s="127" t="s">
        <v>142</v>
      </c>
      <c r="E748" s="35"/>
      <c r="F748" s="128"/>
      <c r="G748" s="128"/>
      <c r="H748" s="128"/>
      <c r="I748" s="127">
        <f t="shared" si="379"/>
        <v>0</v>
      </c>
      <c r="J748" s="88"/>
      <c r="K748" s="129">
        <f t="shared" si="380"/>
        <v>822.9895333</v>
      </c>
      <c r="L748" s="130">
        <v>0.6</v>
      </c>
      <c r="M748" s="129">
        <f t="shared" si="381"/>
        <v>548.6596888</v>
      </c>
      <c r="N748" s="130">
        <f t="shared" si="382"/>
        <v>0.4</v>
      </c>
      <c r="O748" s="131">
        <f t="array" ref="O748">INDEX('LPU Regionalizada'!$B$3:$N$785,MATCH($B748,'LPU Regionalizada'!$B$3:$B$785,0),MATCH(INDEX(CTRL!$F$3:$F$29,CTRL!$E$1),'LPU Regionalizada'!$B$3:$N$3,0))</f>
        <v>1371.649222</v>
      </c>
      <c r="P748" s="88"/>
      <c r="Q748" s="132">
        <f t="shared" si="383"/>
        <v>0</v>
      </c>
      <c r="R748" s="132">
        <f t="shared" si="384"/>
        <v>0</v>
      </c>
      <c r="S748" s="132">
        <f t="shared" si="385"/>
        <v>0</v>
      </c>
      <c r="T748" s="133">
        <f t="shared" si="386"/>
        <v>0</v>
      </c>
      <c r="U748" s="134">
        <f t="shared" si="378"/>
        <v>0</v>
      </c>
      <c r="V748" s="135"/>
      <c r="W748" s="136"/>
      <c r="X748" s="2"/>
      <c r="Y748" s="111"/>
      <c r="Z748" s="3"/>
    </row>
    <row r="749" ht="14.25" hidden="1" customHeight="1" outlineLevel="2">
      <c r="A749" s="124"/>
      <c r="B749" s="125" t="s">
        <v>1531</v>
      </c>
      <c r="C749" s="126" t="s">
        <v>1532</v>
      </c>
      <c r="D749" s="127" t="s">
        <v>142</v>
      </c>
      <c r="E749" s="35"/>
      <c r="F749" s="128"/>
      <c r="G749" s="128"/>
      <c r="H749" s="128"/>
      <c r="I749" s="127">
        <f t="shared" si="379"/>
        <v>0</v>
      </c>
      <c r="J749" s="88"/>
      <c r="K749" s="129">
        <f t="shared" si="380"/>
        <v>859.4934968</v>
      </c>
      <c r="L749" s="130">
        <v>0.6</v>
      </c>
      <c r="M749" s="129">
        <f t="shared" si="381"/>
        <v>572.9956645</v>
      </c>
      <c r="N749" s="130">
        <f t="shared" si="382"/>
        <v>0.4</v>
      </c>
      <c r="O749" s="131">
        <f t="array" ref="O749">INDEX('LPU Regionalizada'!$B$3:$N$785,MATCH($B749,'LPU Regionalizada'!$B$3:$B$785,0),MATCH(INDEX(CTRL!$F$3:$F$29,CTRL!$E$1),'LPU Regionalizada'!$B$3:$N$3,0))</f>
        <v>1432.489161</v>
      </c>
      <c r="P749" s="88"/>
      <c r="Q749" s="132">
        <f t="shared" si="383"/>
        <v>0</v>
      </c>
      <c r="R749" s="132">
        <f t="shared" si="384"/>
        <v>0</v>
      </c>
      <c r="S749" s="132">
        <f t="shared" si="385"/>
        <v>0</v>
      </c>
      <c r="T749" s="133">
        <f t="shared" si="386"/>
        <v>0</v>
      </c>
      <c r="U749" s="134">
        <f t="shared" si="378"/>
        <v>0</v>
      </c>
      <c r="V749" s="135"/>
      <c r="W749" s="136"/>
      <c r="X749" s="2"/>
      <c r="Y749" s="111"/>
      <c r="Z749" s="3"/>
    </row>
    <row r="750" ht="14.25" hidden="1" customHeight="1" outlineLevel="2">
      <c r="A750" s="124"/>
      <c r="B750" s="125" t="s">
        <v>1533</v>
      </c>
      <c r="C750" s="126" t="s">
        <v>1534</v>
      </c>
      <c r="D750" s="127" t="s">
        <v>142</v>
      </c>
      <c r="E750" s="35"/>
      <c r="F750" s="128"/>
      <c r="G750" s="128"/>
      <c r="H750" s="128"/>
      <c r="I750" s="127">
        <f t="shared" si="379"/>
        <v>0</v>
      </c>
      <c r="J750" s="88"/>
      <c r="K750" s="129">
        <f t="shared" si="380"/>
        <v>1238.556353</v>
      </c>
      <c r="L750" s="130">
        <v>0.6</v>
      </c>
      <c r="M750" s="129">
        <f t="shared" si="381"/>
        <v>825.7042353</v>
      </c>
      <c r="N750" s="130">
        <f t="shared" si="382"/>
        <v>0.4</v>
      </c>
      <c r="O750" s="131">
        <f t="array" ref="O750">INDEX('LPU Regionalizada'!$B$3:$N$785,MATCH($B750,'LPU Regionalizada'!$B$3:$B$785,0),MATCH(INDEX(CTRL!$F$3:$F$29,CTRL!$E$1),'LPU Regionalizada'!$B$3:$N$3,0))</f>
        <v>2064.260588</v>
      </c>
      <c r="P750" s="88"/>
      <c r="Q750" s="132">
        <f t="shared" si="383"/>
        <v>0</v>
      </c>
      <c r="R750" s="132">
        <f t="shared" si="384"/>
        <v>0</v>
      </c>
      <c r="S750" s="132">
        <f t="shared" si="385"/>
        <v>0</v>
      </c>
      <c r="T750" s="133">
        <f t="shared" si="386"/>
        <v>0</v>
      </c>
      <c r="U750" s="134">
        <f t="shared" si="378"/>
        <v>0</v>
      </c>
      <c r="V750" s="135"/>
      <c r="W750" s="136"/>
      <c r="X750" s="2"/>
      <c r="Y750" s="111"/>
      <c r="Z750" s="3"/>
    </row>
    <row r="751" ht="14.25" hidden="1" customHeight="1" outlineLevel="1">
      <c r="A751" s="112"/>
      <c r="B751" s="113" t="s">
        <v>1535</v>
      </c>
      <c r="C751" s="114" t="s">
        <v>1536</v>
      </c>
      <c r="D751" s="115"/>
      <c r="E751" s="35"/>
      <c r="F751" s="113"/>
      <c r="G751" s="116"/>
      <c r="H751" s="116"/>
      <c r="I751" s="115"/>
      <c r="J751" s="88"/>
      <c r="K751" s="117"/>
      <c r="L751" s="118"/>
      <c r="M751" s="118"/>
      <c r="N751" s="118"/>
      <c r="O751" s="119"/>
      <c r="P751" s="88"/>
      <c r="Q751" s="120"/>
      <c r="R751" s="120"/>
      <c r="S751" s="120"/>
      <c r="T751" s="120">
        <f>SUM(T752:T758)</f>
        <v>0</v>
      </c>
      <c r="U751" s="121">
        <f t="shared" si="378"/>
        <v>0</v>
      </c>
      <c r="V751" s="122"/>
      <c r="W751" s="123"/>
      <c r="X751" s="2"/>
      <c r="Y751" s="111"/>
      <c r="Z751" s="3"/>
    </row>
    <row r="752" ht="14.25" hidden="1" customHeight="1" outlineLevel="2">
      <c r="A752" s="124"/>
      <c r="B752" s="125" t="s">
        <v>1537</v>
      </c>
      <c r="C752" s="126" t="s">
        <v>1538</v>
      </c>
      <c r="D752" s="127" t="s">
        <v>142</v>
      </c>
      <c r="E752" s="35"/>
      <c r="F752" s="128"/>
      <c r="G752" s="128"/>
      <c r="H752" s="128"/>
      <c r="I752" s="127">
        <f t="shared" ref="I752:I758" si="387">F752+G752+H752</f>
        <v>0</v>
      </c>
      <c r="J752" s="88"/>
      <c r="K752" s="129">
        <f t="shared" ref="K752:K758" si="388">L752*O752</f>
        <v>618.4976847</v>
      </c>
      <c r="L752" s="130">
        <v>0.6</v>
      </c>
      <c r="M752" s="129">
        <f t="shared" ref="M752:M758" si="389">N752*O752</f>
        <v>412.3317898</v>
      </c>
      <c r="N752" s="130">
        <f t="shared" ref="N752:N758" si="390">100%-L752</f>
        <v>0.4</v>
      </c>
      <c r="O752" s="131">
        <f t="array" ref="O752">INDEX('LPU Regionalizada'!$B$3:$N$785,MATCH($B752,'LPU Regionalizada'!$B$3:$B$785,0),MATCH(INDEX(CTRL!$F$3:$F$29,CTRL!$E$1),'LPU Regionalizada'!$B$3:$N$3,0))</f>
        <v>1030.829474</v>
      </c>
      <c r="P752" s="88"/>
      <c r="Q752" s="132">
        <f t="shared" ref="Q752:Q758" si="391">F752*O752</f>
        <v>0</v>
      </c>
      <c r="R752" s="132">
        <f t="shared" ref="R752:R758" si="392">G752*O752</f>
        <v>0</v>
      </c>
      <c r="S752" s="132">
        <f t="shared" ref="S752:S758" si="393">H752*O752</f>
        <v>0</v>
      </c>
      <c r="T752" s="133">
        <f t="shared" ref="T752:T758" si="394">SUM(Q752:S752)</f>
        <v>0</v>
      </c>
      <c r="U752" s="134">
        <f t="shared" si="378"/>
        <v>0</v>
      </c>
      <c r="V752" s="135"/>
      <c r="W752" s="136"/>
      <c r="X752" s="2"/>
      <c r="Y752" s="111"/>
      <c r="Z752" s="3"/>
    </row>
    <row r="753" ht="14.25" hidden="1" customHeight="1" outlineLevel="2">
      <c r="A753" s="124"/>
      <c r="B753" s="125" t="s">
        <v>1539</v>
      </c>
      <c r="C753" s="126" t="s">
        <v>1540</v>
      </c>
      <c r="D753" s="127" t="s">
        <v>142</v>
      </c>
      <c r="E753" s="35"/>
      <c r="F753" s="128"/>
      <c r="G753" s="128"/>
      <c r="H753" s="128"/>
      <c r="I753" s="127">
        <f t="shared" si="387"/>
        <v>0</v>
      </c>
      <c r="J753" s="88"/>
      <c r="K753" s="129">
        <f t="shared" si="388"/>
        <v>14048.51512</v>
      </c>
      <c r="L753" s="130">
        <v>0.6</v>
      </c>
      <c r="M753" s="129">
        <f t="shared" si="389"/>
        <v>9365.676747</v>
      </c>
      <c r="N753" s="130">
        <f t="shared" si="390"/>
        <v>0.4</v>
      </c>
      <c r="O753" s="131">
        <f t="array" ref="O753">INDEX('LPU Regionalizada'!$B$3:$N$785,MATCH($B753,'LPU Regionalizada'!$B$3:$B$785,0),MATCH(INDEX(CTRL!$F$3:$F$29,CTRL!$E$1),'LPU Regionalizada'!$B$3:$N$3,0))</f>
        <v>23414.19187</v>
      </c>
      <c r="P753" s="88"/>
      <c r="Q753" s="132">
        <f t="shared" si="391"/>
        <v>0</v>
      </c>
      <c r="R753" s="132">
        <f t="shared" si="392"/>
        <v>0</v>
      </c>
      <c r="S753" s="132">
        <f t="shared" si="393"/>
        <v>0</v>
      </c>
      <c r="T753" s="133">
        <f t="shared" si="394"/>
        <v>0</v>
      </c>
      <c r="U753" s="134">
        <f t="shared" si="378"/>
        <v>0</v>
      </c>
      <c r="V753" s="135"/>
      <c r="W753" s="136"/>
      <c r="X753" s="2"/>
      <c r="Y753" s="111"/>
      <c r="Z753" s="3"/>
    </row>
    <row r="754" ht="14.25" hidden="1" customHeight="1" outlineLevel="2">
      <c r="A754" s="124"/>
      <c r="B754" s="125" t="s">
        <v>1541</v>
      </c>
      <c r="C754" s="126" t="s">
        <v>1542</v>
      </c>
      <c r="D754" s="127" t="s">
        <v>142</v>
      </c>
      <c r="E754" s="35"/>
      <c r="F754" s="128"/>
      <c r="G754" s="128"/>
      <c r="H754" s="128"/>
      <c r="I754" s="127">
        <f t="shared" si="387"/>
        <v>0</v>
      </c>
      <c r="J754" s="88"/>
      <c r="K754" s="129">
        <f t="shared" si="388"/>
        <v>1232.630984</v>
      </c>
      <c r="L754" s="130">
        <v>0.6</v>
      </c>
      <c r="M754" s="129">
        <f t="shared" si="389"/>
        <v>821.7539894</v>
      </c>
      <c r="N754" s="130">
        <f t="shared" si="390"/>
        <v>0.4</v>
      </c>
      <c r="O754" s="131">
        <f t="array" ref="O754">INDEX('LPU Regionalizada'!$B$3:$N$785,MATCH($B754,'LPU Regionalizada'!$B$3:$B$785,0),MATCH(INDEX(CTRL!$F$3:$F$29,CTRL!$E$1),'LPU Regionalizada'!$B$3:$N$3,0))</f>
        <v>2054.384973</v>
      </c>
      <c r="P754" s="88"/>
      <c r="Q754" s="132">
        <f t="shared" si="391"/>
        <v>0</v>
      </c>
      <c r="R754" s="132">
        <f t="shared" si="392"/>
        <v>0</v>
      </c>
      <c r="S754" s="132">
        <f t="shared" si="393"/>
        <v>0</v>
      </c>
      <c r="T754" s="133">
        <f t="shared" si="394"/>
        <v>0</v>
      </c>
      <c r="U754" s="134">
        <f t="shared" si="378"/>
        <v>0</v>
      </c>
      <c r="V754" s="135"/>
      <c r="W754" s="136"/>
      <c r="X754" s="2"/>
      <c r="Y754" s="111"/>
      <c r="Z754" s="3"/>
    </row>
    <row r="755" ht="14.25" hidden="1" customHeight="1" outlineLevel="2">
      <c r="A755" s="124"/>
      <c r="B755" s="125" t="s">
        <v>1543</v>
      </c>
      <c r="C755" s="126" t="s">
        <v>1544</v>
      </c>
      <c r="D755" s="127" t="s">
        <v>142</v>
      </c>
      <c r="E755" s="35"/>
      <c r="F755" s="128"/>
      <c r="G755" s="128"/>
      <c r="H755" s="128"/>
      <c r="I755" s="127">
        <f t="shared" si="387"/>
        <v>0</v>
      </c>
      <c r="J755" s="88"/>
      <c r="K755" s="129">
        <f t="shared" si="388"/>
        <v>5856.921014</v>
      </c>
      <c r="L755" s="130">
        <v>0.6</v>
      </c>
      <c r="M755" s="129">
        <f t="shared" si="389"/>
        <v>3904.614009</v>
      </c>
      <c r="N755" s="130">
        <f t="shared" si="390"/>
        <v>0.4</v>
      </c>
      <c r="O755" s="131">
        <f t="array" ref="O755">INDEX('LPU Regionalizada'!$B$3:$N$785,MATCH($B755,'LPU Regionalizada'!$B$3:$B$785,0),MATCH(INDEX(CTRL!$F$3:$F$29,CTRL!$E$1),'LPU Regionalizada'!$B$3:$N$3,0))</f>
        <v>9761.535024</v>
      </c>
      <c r="P755" s="88"/>
      <c r="Q755" s="132">
        <f t="shared" si="391"/>
        <v>0</v>
      </c>
      <c r="R755" s="132">
        <f t="shared" si="392"/>
        <v>0</v>
      </c>
      <c r="S755" s="132">
        <f t="shared" si="393"/>
        <v>0</v>
      </c>
      <c r="T755" s="133">
        <f t="shared" si="394"/>
        <v>0</v>
      </c>
      <c r="U755" s="134">
        <f t="shared" si="378"/>
        <v>0</v>
      </c>
      <c r="V755" s="135"/>
      <c r="W755" s="136"/>
      <c r="X755" s="2"/>
      <c r="Y755" s="111"/>
      <c r="Z755" s="3"/>
    </row>
    <row r="756" ht="14.25" hidden="1" customHeight="1" outlineLevel="2">
      <c r="A756" s="124"/>
      <c r="B756" s="125" t="s">
        <v>1545</v>
      </c>
      <c r="C756" s="126" t="s">
        <v>1546</v>
      </c>
      <c r="D756" s="127" t="s">
        <v>142</v>
      </c>
      <c r="E756" s="35"/>
      <c r="F756" s="128"/>
      <c r="G756" s="128"/>
      <c r="H756" s="128"/>
      <c r="I756" s="127">
        <f t="shared" si="387"/>
        <v>0</v>
      </c>
      <c r="J756" s="88"/>
      <c r="K756" s="129">
        <f t="shared" si="388"/>
        <v>6489.032692</v>
      </c>
      <c r="L756" s="130">
        <v>0.6</v>
      </c>
      <c r="M756" s="129">
        <f t="shared" si="389"/>
        <v>4326.021795</v>
      </c>
      <c r="N756" s="130">
        <f t="shared" si="390"/>
        <v>0.4</v>
      </c>
      <c r="O756" s="131">
        <f t="array" ref="O756">INDEX('LPU Regionalizada'!$B$3:$N$785,MATCH($B756,'LPU Regionalizada'!$B$3:$B$785,0),MATCH(INDEX(CTRL!$F$3:$F$29,CTRL!$E$1),'LPU Regionalizada'!$B$3:$N$3,0))</f>
        <v>10815.05449</v>
      </c>
      <c r="P756" s="88"/>
      <c r="Q756" s="132">
        <f t="shared" si="391"/>
        <v>0</v>
      </c>
      <c r="R756" s="132">
        <f t="shared" si="392"/>
        <v>0</v>
      </c>
      <c r="S756" s="132">
        <f t="shared" si="393"/>
        <v>0</v>
      </c>
      <c r="T756" s="133">
        <f t="shared" si="394"/>
        <v>0</v>
      </c>
      <c r="U756" s="134">
        <f t="shared" si="378"/>
        <v>0</v>
      </c>
      <c r="V756" s="135"/>
      <c r="W756" s="136"/>
      <c r="X756" s="2"/>
      <c r="Y756" s="111"/>
      <c r="Z756" s="3"/>
    </row>
    <row r="757" ht="14.25" hidden="1" customHeight="1" outlineLevel="2">
      <c r="A757" s="124"/>
      <c r="B757" s="125" t="s">
        <v>1547</v>
      </c>
      <c r="C757" s="126" t="s">
        <v>1548</v>
      </c>
      <c r="D757" s="127" t="s">
        <v>142</v>
      </c>
      <c r="E757" s="35"/>
      <c r="F757" s="128"/>
      <c r="G757" s="128"/>
      <c r="H757" s="128"/>
      <c r="I757" s="127">
        <f t="shared" si="387"/>
        <v>0</v>
      </c>
      <c r="J757" s="88"/>
      <c r="K757" s="129">
        <f t="shared" si="388"/>
        <v>7076.828393</v>
      </c>
      <c r="L757" s="130">
        <v>0.6</v>
      </c>
      <c r="M757" s="129">
        <f t="shared" si="389"/>
        <v>4717.885595</v>
      </c>
      <c r="N757" s="130">
        <f t="shared" si="390"/>
        <v>0.4</v>
      </c>
      <c r="O757" s="131">
        <f t="array" ref="O757">INDEX('LPU Regionalizada'!$B$3:$N$785,MATCH($B757,'LPU Regionalizada'!$B$3:$B$785,0),MATCH(INDEX(CTRL!$F$3:$F$29,CTRL!$E$1),'LPU Regionalizada'!$B$3:$N$3,0))</f>
        <v>11794.71399</v>
      </c>
      <c r="P757" s="88"/>
      <c r="Q757" s="132">
        <f t="shared" si="391"/>
        <v>0</v>
      </c>
      <c r="R757" s="132">
        <f t="shared" si="392"/>
        <v>0</v>
      </c>
      <c r="S757" s="132">
        <f t="shared" si="393"/>
        <v>0</v>
      </c>
      <c r="T757" s="133">
        <f t="shared" si="394"/>
        <v>0</v>
      </c>
      <c r="U757" s="134">
        <f t="shared" si="378"/>
        <v>0</v>
      </c>
      <c r="V757" s="135"/>
      <c r="W757" s="136"/>
      <c r="X757" s="2"/>
      <c r="Y757" s="111"/>
      <c r="Z757" s="3"/>
    </row>
    <row r="758" ht="14.25" hidden="1" customHeight="1" outlineLevel="2">
      <c r="A758" s="124"/>
      <c r="B758" s="125" t="s">
        <v>1549</v>
      </c>
      <c r="C758" s="126" t="s">
        <v>1550</v>
      </c>
      <c r="D758" s="127" t="s">
        <v>142</v>
      </c>
      <c r="E758" s="35"/>
      <c r="F758" s="128"/>
      <c r="G758" s="128"/>
      <c r="H758" s="128"/>
      <c r="I758" s="127">
        <f t="shared" si="387"/>
        <v>0</v>
      </c>
      <c r="J758" s="88"/>
      <c r="K758" s="129">
        <f t="shared" si="388"/>
        <v>7535.612158</v>
      </c>
      <c r="L758" s="130">
        <v>0.6</v>
      </c>
      <c r="M758" s="129">
        <f t="shared" si="389"/>
        <v>5023.741439</v>
      </c>
      <c r="N758" s="130">
        <f t="shared" si="390"/>
        <v>0.4</v>
      </c>
      <c r="O758" s="131">
        <f t="array" ref="O758">INDEX('LPU Regionalizada'!$B$3:$N$785,MATCH($B758,'LPU Regionalizada'!$B$3:$B$785,0),MATCH(INDEX(CTRL!$F$3:$F$29,CTRL!$E$1),'LPU Regionalizada'!$B$3:$N$3,0))</f>
        <v>12559.3536</v>
      </c>
      <c r="P758" s="88"/>
      <c r="Q758" s="132">
        <f t="shared" si="391"/>
        <v>0</v>
      </c>
      <c r="R758" s="132">
        <f t="shared" si="392"/>
        <v>0</v>
      </c>
      <c r="S758" s="132">
        <f t="shared" si="393"/>
        <v>0</v>
      </c>
      <c r="T758" s="133">
        <f t="shared" si="394"/>
        <v>0</v>
      </c>
      <c r="U758" s="134">
        <f t="shared" si="378"/>
        <v>0</v>
      </c>
      <c r="V758" s="135"/>
      <c r="W758" s="136"/>
      <c r="X758" s="2"/>
      <c r="Y758" s="111"/>
      <c r="Z758" s="3"/>
    </row>
    <row r="759" ht="14.25" hidden="1" customHeight="1" outlineLevel="1">
      <c r="A759" s="112"/>
      <c r="B759" s="113" t="s">
        <v>1551</v>
      </c>
      <c r="C759" s="114" t="s">
        <v>1552</v>
      </c>
      <c r="D759" s="115"/>
      <c r="E759" s="35"/>
      <c r="F759" s="113"/>
      <c r="G759" s="116"/>
      <c r="H759" s="116"/>
      <c r="I759" s="115"/>
      <c r="J759" s="88"/>
      <c r="K759" s="117"/>
      <c r="L759" s="118"/>
      <c r="M759" s="118"/>
      <c r="N759" s="118"/>
      <c r="O759" s="119"/>
      <c r="P759" s="88"/>
      <c r="Q759" s="120"/>
      <c r="R759" s="120"/>
      <c r="S759" s="120"/>
      <c r="T759" s="120">
        <f>SUM(T760:T776)</f>
        <v>0</v>
      </c>
      <c r="U759" s="121">
        <f t="shared" si="378"/>
        <v>0</v>
      </c>
      <c r="V759" s="122"/>
      <c r="W759" s="123"/>
      <c r="X759" s="2"/>
      <c r="Y759" s="111"/>
      <c r="Z759" s="3"/>
    </row>
    <row r="760" ht="14.25" hidden="1" customHeight="1" outlineLevel="2">
      <c r="A760" s="124"/>
      <c r="B760" s="125" t="s">
        <v>1553</v>
      </c>
      <c r="C760" s="126" t="s">
        <v>1554</v>
      </c>
      <c r="D760" s="127" t="s">
        <v>142</v>
      </c>
      <c r="E760" s="35"/>
      <c r="F760" s="128"/>
      <c r="G760" s="128"/>
      <c r="H760" s="128"/>
      <c r="I760" s="127">
        <f t="shared" ref="I760:I776" si="395">F760+G760+H760</f>
        <v>0</v>
      </c>
      <c r="J760" s="88"/>
      <c r="K760" s="129">
        <f t="shared" ref="K760:K776" si="396">L760*O760</f>
        <v>2918.6586</v>
      </c>
      <c r="L760" s="130">
        <v>0.6</v>
      </c>
      <c r="M760" s="129">
        <f t="shared" ref="M760:M776" si="397">N760*O760</f>
        <v>1945.7724</v>
      </c>
      <c r="N760" s="130">
        <f t="shared" ref="N760:N776" si="398">100%-L760</f>
        <v>0.4</v>
      </c>
      <c r="O760" s="131">
        <f t="array" ref="O760">INDEX('LPU Regionalizada'!$B$3:$N$785,MATCH($B760,'LPU Regionalizada'!$B$3:$B$785,0),MATCH(INDEX(CTRL!$F$3:$F$29,CTRL!$E$1),'LPU Regionalizada'!$B$3:$N$3,0))</f>
        <v>4864.431</v>
      </c>
      <c r="P760" s="88"/>
      <c r="Q760" s="132">
        <f t="shared" ref="Q760:Q776" si="399">F760*O760</f>
        <v>0</v>
      </c>
      <c r="R760" s="132">
        <f t="shared" ref="R760:R776" si="400">G760*O760</f>
        <v>0</v>
      </c>
      <c r="S760" s="132">
        <f t="shared" ref="S760:S776" si="401">H760*O760</f>
        <v>0</v>
      </c>
      <c r="T760" s="133">
        <f t="shared" ref="T760:T776" si="402">SUM(Q760:S760)</f>
        <v>0</v>
      </c>
      <c r="U760" s="134">
        <f t="shared" si="378"/>
        <v>0</v>
      </c>
      <c r="V760" s="135"/>
      <c r="W760" s="136"/>
      <c r="X760" s="2"/>
      <c r="Y760" s="111"/>
      <c r="Z760" s="3"/>
    </row>
    <row r="761" ht="14.25" hidden="1" customHeight="1" outlineLevel="2">
      <c r="A761" s="124"/>
      <c r="B761" s="125" t="s">
        <v>1555</v>
      </c>
      <c r="C761" s="126" t="s">
        <v>1556</v>
      </c>
      <c r="D761" s="127" t="s">
        <v>142</v>
      </c>
      <c r="E761" s="35"/>
      <c r="F761" s="128"/>
      <c r="G761" s="128"/>
      <c r="H761" s="128"/>
      <c r="I761" s="127">
        <f t="shared" si="395"/>
        <v>0</v>
      </c>
      <c r="J761" s="88"/>
      <c r="K761" s="129">
        <f t="shared" si="396"/>
        <v>150.6578024</v>
      </c>
      <c r="L761" s="130">
        <v>0.6</v>
      </c>
      <c r="M761" s="129">
        <f t="shared" si="397"/>
        <v>100.438535</v>
      </c>
      <c r="N761" s="130">
        <f t="shared" si="398"/>
        <v>0.4</v>
      </c>
      <c r="O761" s="131">
        <f t="array" ref="O761">INDEX('LPU Regionalizada'!$B$3:$N$785,MATCH($B761,'LPU Regionalizada'!$B$3:$B$785,0),MATCH(INDEX(CTRL!$F$3:$F$29,CTRL!$E$1),'LPU Regionalizada'!$B$3:$N$3,0))</f>
        <v>251.0963374</v>
      </c>
      <c r="P761" s="88"/>
      <c r="Q761" s="132">
        <f t="shared" si="399"/>
        <v>0</v>
      </c>
      <c r="R761" s="132">
        <f t="shared" si="400"/>
        <v>0</v>
      </c>
      <c r="S761" s="132">
        <f t="shared" si="401"/>
        <v>0</v>
      </c>
      <c r="T761" s="133">
        <f t="shared" si="402"/>
        <v>0</v>
      </c>
      <c r="U761" s="134">
        <f t="shared" si="378"/>
        <v>0</v>
      </c>
      <c r="V761" s="135"/>
      <c r="W761" s="136"/>
      <c r="X761" s="2"/>
      <c r="Y761" s="111"/>
      <c r="Z761" s="3"/>
    </row>
    <row r="762" ht="14.25" hidden="1" customHeight="1" outlineLevel="2">
      <c r="A762" s="124"/>
      <c r="B762" s="125" t="s">
        <v>1557</v>
      </c>
      <c r="C762" s="126" t="s">
        <v>1558</v>
      </c>
      <c r="D762" s="127" t="s">
        <v>142</v>
      </c>
      <c r="E762" s="35"/>
      <c r="F762" s="128"/>
      <c r="G762" s="128"/>
      <c r="H762" s="128"/>
      <c r="I762" s="127">
        <f t="shared" si="395"/>
        <v>0</v>
      </c>
      <c r="J762" s="88"/>
      <c r="K762" s="129">
        <f t="shared" si="396"/>
        <v>147.0126</v>
      </c>
      <c r="L762" s="130">
        <v>0.6</v>
      </c>
      <c r="M762" s="129">
        <f t="shared" si="397"/>
        <v>98.0084</v>
      </c>
      <c r="N762" s="130">
        <f t="shared" si="398"/>
        <v>0.4</v>
      </c>
      <c r="O762" s="131">
        <f t="array" ref="O762">INDEX('LPU Regionalizada'!$B$3:$N$785,MATCH($B762,'LPU Regionalizada'!$B$3:$B$785,0),MATCH(INDEX(CTRL!$F$3:$F$29,CTRL!$E$1),'LPU Regionalizada'!$B$3:$N$3,0))</f>
        <v>245.021</v>
      </c>
      <c r="P762" s="88"/>
      <c r="Q762" s="132">
        <f t="shared" si="399"/>
        <v>0</v>
      </c>
      <c r="R762" s="132">
        <f t="shared" si="400"/>
        <v>0</v>
      </c>
      <c r="S762" s="132">
        <f t="shared" si="401"/>
        <v>0</v>
      </c>
      <c r="T762" s="133">
        <f t="shared" si="402"/>
        <v>0</v>
      </c>
      <c r="U762" s="134">
        <f t="shared" si="378"/>
        <v>0</v>
      </c>
      <c r="V762" s="135"/>
      <c r="W762" s="136"/>
      <c r="X762" s="2"/>
      <c r="Y762" s="111"/>
      <c r="Z762" s="3"/>
    </row>
    <row r="763" ht="14.25" hidden="1" customHeight="1" outlineLevel="2">
      <c r="A763" s="124"/>
      <c r="B763" s="125" t="s">
        <v>1559</v>
      </c>
      <c r="C763" s="126" t="s">
        <v>1560</v>
      </c>
      <c r="D763" s="127" t="s">
        <v>135</v>
      </c>
      <c r="E763" s="35"/>
      <c r="F763" s="128"/>
      <c r="G763" s="128"/>
      <c r="H763" s="128"/>
      <c r="I763" s="127">
        <f t="shared" si="395"/>
        <v>0</v>
      </c>
      <c r="J763" s="88"/>
      <c r="K763" s="129">
        <f t="shared" si="396"/>
        <v>46.320615</v>
      </c>
      <c r="L763" s="130">
        <v>0.6</v>
      </c>
      <c r="M763" s="129">
        <f t="shared" si="397"/>
        <v>30.88041</v>
      </c>
      <c r="N763" s="130">
        <f t="shared" si="398"/>
        <v>0.4</v>
      </c>
      <c r="O763" s="131">
        <f t="array" ref="O763">INDEX('LPU Regionalizada'!$B$3:$N$785,MATCH($B763,'LPU Regionalizada'!$B$3:$B$785,0),MATCH(INDEX(CTRL!$F$3:$F$29,CTRL!$E$1),'LPU Regionalizada'!$B$3:$N$3,0))</f>
        <v>77.201025</v>
      </c>
      <c r="P763" s="88"/>
      <c r="Q763" s="132">
        <f t="shared" si="399"/>
        <v>0</v>
      </c>
      <c r="R763" s="132">
        <f t="shared" si="400"/>
        <v>0</v>
      </c>
      <c r="S763" s="132">
        <f t="shared" si="401"/>
        <v>0</v>
      </c>
      <c r="T763" s="133">
        <f t="shared" si="402"/>
        <v>0</v>
      </c>
      <c r="U763" s="134">
        <f t="shared" si="378"/>
        <v>0</v>
      </c>
      <c r="V763" s="135"/>
      <c r="W763" s="136"/>
      <c r="X763" s="2"/>
      <c r="Y763" s="111"/>
      <c r="Z763" s="3"/>
    </row>
    <row r="764" ht="14.25" hidden="1" customHeight="1" outlineLevel="2">
      <c r="A764" s="124"/>
      <c r="B764" s="125" t="s">
        <v>1561</v>
      </c>
      <c r="C764" s="126" t="s">
        <v>1562</v>
      </c>
      <c r="D764" s="127" t="s">
        <v>135</v>
      </c>
      <c r="E764" s="35"/>
      <c r="F764" s="128"/>
      <c r="G764" s="128"/>
      <c r="H764" s="128"/>
      <c r="I764" s="127">
        <f t="shared" si="395"/>
        <v>0</v>
      </c>
      <c r="J764" s="88"/>
      <c r="K764" s="129">
        <f t="shared" si="396"/>
        <v>15.76842362</v>
      </c>
      <c r="L764" s="130">
        <v>0.6</v>
      </c>
      <c r="M764" s="129">
        <f t="shared" si="397"/>
        <v>10.51228242</v>
      </c>
      <c r="N764" s="130">
        <f t="shared" si="398"/>
        <v>0.4</v>
      </c>
      <c r="O764" s="131">
        <f t="array" ref="O764">INDEX('LPU Regionalizada'!$B$3:$N$785,MATCH($B764,'LPU Regionalizada'!$B$3:$B$785,0),MATCH(INDEX(CTRL!$F$3:$F$29,CTRL!$E$1),'LPU Regionalizada'!$B$3:$N$3,0))</f>
        <v>26.28070604</v>
      </c>
      <c r="P764" s="88"/>
      <c r="Q764" s="132">
        <f t="shared" si="399"/>
        <v>0</v>
      </c>
      <c r="R764" s="132">
        <f t="shared" si="400"/>
        <v>0</v>
      </c>
      <c r="S764" s="132">
        <f t="shared" si="401"/>
        <v>0</v>
      </c>
      <c r="T764" s="133">
        <f t="shared" si="402"/>
        <v>0</v>
      </c>
      <c r="U764" s="134">
        <f t="shared" si="378"/>
        <v>0</v>
      </c>
      <c r="V764" s="135"/>
      <c r="W764" s="136"/>
      <c r="X764" s="2"/>
      <c r="Y764" s="111"/>
      <c r="Z764" s="3"/>
    </row>
    <row r="765" ht="14.25" hidden="1" customHeight="1" outlineLevel="2">
      <c r="A765" s="124"/>
      <c r="B765" s="125" t="s">
        <v>1563</v>
      </c>
      <c r="C765" s="126" t="s">
        <v>1564</v>
      </c>
      <c r="D765" s="127" t="s">
        <v>180</v>
      </c>
      <c r="E765" s="35"/>
      <c r="F765" s="128"/>
      <c r="G765" s="128"/>
      <c r="H765" s="128"/>
      <c r="I765" s="127">
        <f t="shared" si="395"/>
        <v>0</v>
      </c>
      <c r="J765" s="88"/>
      <c r="K765" s="129">
        <f t="shared" si="396"/>
        <v>25.4388</v>
      </c>
      <c r="L765" s="130">
        <v>0.6</v>
      </c>
      <c r="M765" s="129">
        <f t="shared" si="397"/>
        <v>16.9592</v>
      </c>
      <c r="N765" s="130">
        <f t="shared" si="398"/>
        <v>0.4</v>
      </c>
      <c r="O765" s="131">
        <f t="array" ref="O765">INDEX('LPU Regionalizada'!$B$3:$N$785,MATCH($B765,'LPU Regionalizada'!$B$3:$B$785,0),MATCH(INDEX(CTRL!$F$3:$F$29,CTRL!$E$1),'LPU Regionalizada'!$B$3:$N$3,0))</f>
        <v>42.398</v>
      </c>
      <c r="P765" s="88"/>
      <c r="Q765" s="132">
        <f t="shared" si="399"/>
        <v>0</v>
      </c>
      <c r="R765" s="132">
        <f t="shared" si="400"/>
        <v>0</v>
      </c>
      <c r="S765" s="132">
        <f t="shared" si="401"/>
        <v>0</v>
      </c>
      <c r="T765" s="133">
        <f t="shared" si="402"/>
        <v>0</v>
      </c>
      <c r="U765" s="134">
        <f t="shared" si="378"/>
        <v>0</v>
      </c>
      <c r="V765" s="135"/>
      <c r="W765" s="136"/>
      <c r="X765" s="2"/>
      <c r="Y765" s="111"/>
      <c r="Z765" s="3"/>
    </row>
    <row r="766" ht="14.25" hidden="1" customHeight="1" outlineLevel="2">
      <c r="A766" s="124"/>
      <c r="B766" s="125" t="s">
        <v>1565</v>
      </c>
      <c r="C766" s="126" t="s">
        <v>1566</v>
      </c>
      <c r="D766" s="127" t="s">
        <v>142</v>
      </c>
      <c r="E766" s="35"/>
      <c r="F766" s="128"/>
      <c r="G766" s="128"/>
      <c r="H766" s="128"/>
      <c r="I766" s="127">
        <f t="shared" si="395"/>
        <v>0</v>
      </c>
      <c r="J766" s="88"/>
      <c r="K766" s="129">
        <f t="shared" si="396"/>
        <v>3297.911683</v>
      </c>
      <c r="L766" s="130">
        <v>0.6</v>
      </c>
      <c r="M766" s="129">
        <f t="shared" si="397"/>
        <v>2198.607788</v>
      </c>
      <c r="N766" s="130">
        <f t="shared" si="398"/>
        <v>0.4</v>
      </c>
      <c r="O766" s="131">
        <f t="array" ref="O766">INDEX('LPU Regionalizada'!$B$3:$N$785,MATCH($B766,'LPU Regionalizada'!$B$3:$B$785,0),MATCH(INDEX(CTRL!$F$3:$F$29,CTRL!$E$1),'LPU Regionalizada'!$B$3:$N$3,0))</f>
        <v>5496.519471</v>
      </c>
      <c r="P766" s="88"/>
      <c r="Q766" s="132">
        <f t="shared" si="399"/>
        <v>0</v>
      </c>
      <c r="R766" s="132">
        <f t="shared" si="400"/>
        <v>0</v>
      </c>
      <c r="S766" s="132">
        <f t="shared" si="401"/>
        <v>0</v>
      </c>
      <c r="T766" s="133">
        <f t="shared" si="402"/>
        <v>0</v>
      </c>
      <c r="U766" s="134">
        <f t="shared" si="378"/>
        <v>0</v>
      </c>
      <c r="V766" s="135"/>
      <c r="W766" s="136"/>
      <c r="X766" s="2"/>
      <c r="Y766" s="111"/>
      <c r="Z766" s="3"/>
    </row>
    <row r="767" ht="14.25" hidden="1" customHeight="1" outlineLevel="2">
      <c r="A767" s="124"/>
      <c r="B767" s="125" t="s">
        <v>1567</v>
      </c>
      <c r="C767" s="126" t="s">
        <v>1568</v>
      </c>
      <c r="D767" s="127" t="s">
        <v>142</v>
      </c>
      <c r="E767" s="35"/>
      <c r="F767" s="128"/>
      <c r="G767" s="128"/>
      <c r="H767" s="128"/>
      <c r="I767" s="127">
        <f t="shared" si="395"/>
        <v>0</v>
      </c>
      <c r="J767" s="88"/>
      <c r="K767" s="129">
        <f t="shared" si="396"/>
        <v>150.0644486</v>
      </c>
      <c r="L767" s="130">
        <v>0.6</v>
      </c>
      <c r="M767" s="129">
        <f t="shared" si="397"/>
        <v>100.0429657</v>
      </c>
      <c r="N767" s="130">
        <f t="shared" si="398"/>
        <v>0.4</v>
      </c>
      <c r="O767" s="131">
        <f t="array" ref="O767">INDEX('LPU Regionalizada'!$B$3:$N$785,MATCH($B767,'LPU Regionalizada'!$B$3:$B$785,0),MATCH(INDEX(CTRL!$F$3:$F$29,CTRL!$E$1),'LPU Regionalizada'!$B$3:$N$3,0))</f>
        <v>250.1074143</v>
      </c>
      <c r="P767" s="88"/>
      <c r="Q767" s="132">
        <f t="shared" si="399"/>
        <v>0</v>
      </c>
      <c r="R767" s="132">
        <f t="shared" si="400"/>
        <v>0</v>
      </c>
      <c r="S767" s="132">
        <f t="shared" si="401"/>
        <v>0</v>
      </c>
      <c r="T767" s="133">
        <f t="shared" si="402"/>
        <v>0</v>
      </c>
      <c r="U767" s="134">
        <f t="shared" si="378"/>
        <v>0</v>
      </c>
      <c r="V767" s="135"/>
      <c r="W767" s="136"/>
      <c r="X767" s="2"/>
      <c r="Y767" s="111"/>
      <c r="Z767" s="3"/>
    </row>
    <row r="768" ht="14.25" hidden="1" customHeight="1" outlineLevel="2">
      <c r="A768" s="124"/>
      <c r="B768" s="125" t="s">
        <v>1569</v>
      </c>
      <c r="C768" s="126" t="s">
        <v>1570</v>
      </c>
      <c r="D768" s="127" t="s">
        <v>142</v>
      </c>
      <c r="E768" s="35"/>
      <c r="F768" s="128"/>
      <c r="G768" s="128"/>
      <c r="H768" s="128"/>
      <c r="I768" s="127">
        <f t="shared" si="395"/>
        <v>0</v>
      </c>
      <c r="J768" s="88"/>
      <c r="K768" s="129">
        <f t="shared" si="396"/>
        <v>130.5537037</v>
      </c>
      <c r="L768" s="130">
        <v>0.6</v>
      </c>
      <c r="M768" s="129">
        <f t="shared" si="397"/>
        <v>87.03580247</v>
      </c>
      <c r="N768" s="130">
        <f t="shared" si="398"/>
        <v>0.4</v>
      </c>
      <c r="O768" s="131">
        <f t="array" ref="O768">INDEX('LPU Regionalizada'!$B$3:$N$785,MATCH($B768,'LPU Regionalizada'!$B$3:$B$785,0),MATCH(INDEX(CTRL!$F$3:$F$29,CTRL!$E$1),'LPU Regionalizada'!$B$3:$N$3,0))</f>
        <v>217.5895062</v>
      </c>
      <c r="P768" s="88"/>
      <c r="Q768" s="132">
        <f t="shared" si="399"/>
        <v>0</v>
      </c>
      <c r="R768" s="132">
        <f t="shared" si="400"/>
        <v>0</v>
      </c>
      <c r="S768" s="132">
        <f t="shared" si="401"/>
        <v>0</v>
      </c>
      <c r="T768" s="133">
        <f t="shared" si="402"/>
        <v>0</v>
      </c>
      <c r="U768" s="134">
        <f t="shared" si="378"/>
        <v>0</v>
      </c>
      <c r="V768" s="135"/>
      <c r="W768" s="136"/>
      <c r="X768" s="2"/>
      <c r="Y768" s="111"/>
      <c r="Z768" s="3"/>
    </row>
    <row r="769" ht="14.25" hidden="1" customHeight="1" outlineLevel="2">
      <c r="A769" s="124"/>
      <c r="B769" s="125" t="s">
        <v>1571</v>
      </c>
      <c r="C769" s="126" t="s">
        <v>1572</v>
      </c>
      <c r="D769" s="127" t="s">
        <v>142</v>
      </c>
      <c r="E769" s="35"/>
      <c r="F769" s="128"/>
      <c r="G769" s="128"/>
      <c r="H769" s="128"/>
      <c r="I769" s="127">
        <f t="shared" si="395"/>
        <v>0</v>
      </c>
      <c r="J769" s="88"/>
      <c r="K769" s="129">
        <f t="shared" si="396"/>
        <v>162.9523365</v>
      </c>
      <c r="L769" s="130">
        <v>0.6</v>
      </c>
      <c r="M769" s="129">
        <f t="shared" si="397"/>
        <v>108.634891</v>
      </c>
      <c r="N769" s="130">
        <f t="shared" si="398"/>
        <v>0.4</v>
      </c>
      <c r="O769" s="131">
        <f t="array" ref="O769">INDEX('LPU Regionalizada'!$B$3:$N$785,MATCH($B769,'LPU Regionalizada'!$B$3:$B$785,0),MATCH(INDEX(CTRL!$F$3:$F$29,CTRL!$E$1),'LPU Regionalizada'!$B$3:$N$3,0))</f>
        <v>271.5872276</v>
      </c>
      <c r="P769" s="88"/>
      <c r="Q769" s="132">
        <f t="shared" si="399"/>
        <v>0</v>
      </c>
      <c r="R769" s="132">
        <f t="shared" si="400"/>
        <v>0</v>
      </c>
      <c r="S769" s="132">
        <f t="shared" si="401"/>
        <v>0</v>
      </c>
      <c r="T769" s="133">
        <f t="shared" si="402"/>
        <v>0</v>
      </c>
      <c r="U769" s="134">
        <f t="shared" si="378"/>
        <v>0</v>
      </c>
      <c r="V769" s="135"/>
      <c r="W769" s="136"/>
      <c r="X769" s="2"/>
      <c r="Y769" s="111"/>
      <c r="Z769" s="3"/>
    </row>
    <row r="770" ht="14.25" hidden="1" customHeight="1" outlineLevel="2">
      <c r="A770" s="124"/>
      <c r="B770" s="125" t="s">
        <v>1573</v>
      </c>
      <c r="C770" s="126" t="s">
        <v>1574</v>
      </c>
      <c r="D770" s="127" t="s">
        <v>142</v>
      </c>
      <c r="E770" s="35"/>
      <c r="F770" s="128"/>
      <c r="G770" s="128"/>
      <c r="H770" s="128"/>
      <c r="I770" s="127">
        <f t="shared" si="395"/>
        <v>0</v>
      </c>
      <c r="J770" s="88"/>
      <c r="K770" s="129">
        <f t="shared" si="396"/>
        <v>123.31902</v>
      </c>
      <c r="L770" s="130">
        <v>0.6</v>
      </c>
      <c r="M770" s="129">
        <f t="shared" si="397"/>
        <v>82.21268</v>
      </c>
      <c r="N770" s="130">
        <f t="shared" si="398"/>
        <v>0.4</v>
      </c>
      <c r="O770" s="131">
        <f t="array" ref="O770">INDEX('LPU Regionalizada'!$B$3:$N$785,MATCH($B770,'LPU Regionalizada'!$B$3:$B$785,0),MATCH(INDEX(CTRL!$F$3:$F$29,CTRL!$E$1),'LPU Regionalizada'!$B$3:$N$3,0))</f>
        <v>205.5317</v>
      </c>
      <c r="P770" s="88"/>
      <c r="Q770" s="132">
        <f t="shared" si="399"/>
        <v>0</v>
      </c>
      <c r="R770" s="132">
        <f t="shared" si="400"/>
        <v>0</v>
      </c>
      <c r="S770" s="132">
        <f t="shared" si="401"/>
        <v>0</v>
      </c>
      <c r="T770" s="133">
        <f t="shared" si="402"/>
        <v>0</v>
      </c>
      <c r="U770" s="134">
        <f t="shared" si="378"/>
        <v>0</v>
      </c>
      <c r="V770" s="135"/>
      <c r="W770" s="136"/>
      <c r="X770" s="2"/>
      <c r="Y770" s="111"/>
      <c r="Z770" s="3"/>
    </row>
    <row r="771" ht="14.25" hidden="1" customHeight="1" outlineLevel="2">
      <c r="A771" s="124"/>
      <c r="B771" s="125" t="s">
        <v>1575</v>
      </c>
      <c r="C771" s="126" t="s">
        <v>1576</v>
      </c>
      <c r="D771" s="127" t="s">
        <v>142</v>
      </c>
      <c r="E771" s="35"/>
      <c r="F771" s="128"/>
      <c r="G771" s="128"/>
      <c r="H771" s="128"/>
      <c r="I771" s="127">
        <f t="shared" si="395"/>
        <v>0</v>
      </c>
      <c r="J771" s="88"/>
      <c r="K771" s="129">
        <f t="shared" si="396"/>
        <v>198.6147114</v>
      </c>
      <c r="L771" s="130">
        <v>0.6</v>
      </c>
      <c r="M771" s="129">
        <f t="shared" si="397"/>
        <v>132.4098076</v>
      </c>
      <c r="N771" s="130">
        <f t="shared" si="398"/>
        <v>0.4</v>
      </c>
      <c r="O771" s="131">
        <f t="array" ref="O771">INDEX('LPU Regionalizada'!$B$3:$N$785,MATCH($B771,'LPU Regionalizada'!$B$3:$B$785,0),MATCH(INDEX(CTRL!$F$3:$F$29,CTRL!$E$1),'LPU Regionalizada'!$B$3:$N$3,0))</f>
        <v>331.024519</v>
      </c>
      <c r="P771" s="88"/>
      <c r="Q771" s="132">
        <f t="shared" si="399"/>
        <v>0</v>
      </c>
      <c r="R771" s="132">
        <f t="shared" si="400"/>
        <v>0</v>
      </c>
      <c r="S771" s="132">
        <f t="shared" si="401"/>
        <v>0</v>
      </c>
      <c r="T771" s="133">
        <f t="shared" si="402"/>
        <v>0</v>
      </c>
      <c r="U771" s="134">
        <f t="shared" si="378"/>
        <v>0</v>
      </c>
      <c r="V771" s="135"/>
      <c r="W771" s="136"/>
      <c r="X771" s="2"/>
      <c r="Y771" s="111"/>
      <c r="Z771" s="3"/>
    </row>
    <row r="772" ht="14.25" hidden="1" customHeight="1" outlineLevel="2">
      <c r="A772" s="124"/>
      <c r="B772" s="125" t="s">
        <v>1577</v>
      </c>
      <c r="C772" s="126" t="s">
        <v>1578</v>
      </c>
      <c r="D772" s="127" t="s">
        <v>475</v>
      </c>
      <c r="E772" s="35"/>
      <c r="F772" s="128"/>
      <c r="G772" s="128"/>
      <c r="H772" s="128"/>
      <c r="I772" s="127">
        <f t="shared" si="395"/>
        <v>0</v>
      </c>
      <c r="J772" s="88"/>
      <c r="K772" s="129">
        <f t="shared" si="396"/>
        <v>2128.963512</v>
      </c>
      <c r="L772" s="130">
        <v>0.6</v>
      </c>
      <c r="M772" s="129">
        <f t="shared" si="397"/>
        <v>1419.309008</v>
      </c>
      <c r="N772" s="130">
        <f t="shared" si="398"/>
        <v>0.4</v>
      </c>
      <c r="O772" s="131">
        <f t="array" ref="O772">INDEX('LPU Regionalizada'!$B$3:$N$785,MATCH($B772,'LPU Regionalizada'!$B$3:$B$785,0),MATCH(INDEX(CTRL!$F$3:$F$29,CTRL!$E$1),'LPU Regionalizada'!$B$3:$N$3,0))</f>
        <v>3548.27252</v>
      </c>
      <c r="P772" s="88"/>
      <c r="Q772" s="132">
        <f t="shared" si="399"/>
        <v>0</v>
      </c>
      <c r="R772" s="132">
        <f t="shared" si="400"/>
        <v>0</v>
      </c>
      <c r="S772" s="132">
        <f t="shared" si="401"/>
        <v>0</v>
      </c>
      <c r="T772" s="133">
        <f t="shared" si="402"/>
        <v>0</v>
      </c>
      <c r="U772" s="134">
        <f t="shared" si="378"/>
        <v>0</v>
      </c>
      <c r="V772" s="135"/>
      <c r="W772" s="136"/>
      <c r="X772" s="2"/>
      <c r="Y772" s="111"/>
      <c r="Z772" s="3"/>
    </row>
    <row r="773" ht="14.25" hidden="1" customHeight="1" outlineLevel="2">
      <c r="A773" s="124"/>
      <c r="B773" s="125" t="s">
        <v>1579</v>
      </c>
      <c r="C773" s="126" t="s">
        <v>1580</v>
      </c>
      <c r="D773" s="127" t="s">
        <v>475</v>
      </c>
      <c r="E773" s="35"/>
      <c r="F773" s="128"/>
      <c r="G773" s="128"/>
      <c r="H773" s="128"/>
      <c r="I773" s="127">
        <f t="shared" si="395"/>
        <v>0</v>
      </c>
      <c r="J773" s="88"/>
      <c r="K773" s="129">
        <f t="shared" si="396"/>
        <v>1436.396832</v>
      </c>
      <c r="L773" s="130">
        <v>0.6</v>
      </c>
      <c r="M773" s="129">
        <f t="shared" si="397"/>
        <v>957.5978882</v>
      </c>
      <c r="N773" s="130">
        <f t="shared" si="398"/>
        <v>0.4</v>
      </c>
      <c r="O773" s="131">
        <f t="array" ref="O773">INDEX('LPU Regionalizada'!$B$3:$N$785,MATCH($B773,'LPU Regionalizada'!$B$3:$B$785,0),MATCH(INDEX(CTRL!$F$3:$F$29,CTRL!$E$1),'LPU Regionalizada'!$B$3:$N$3,0))</f>
        <v>2393.99472</v>
      </c>
      <c r="P773" s="88"/>
      <c r="Q773" s="132">
        <f t="shared" si="399"/>
        <v>0</v>
      </c>
      <c r="R773" s="132">
        <f t="shared" si="400"/>
        <v>0</v>
      </c>
      <c r="S773" s="132">
        <f t="shared" si="401"/>
        <v>0</v>
      </c>
      <c r="T773" s="133">
        <f t="shared" si="402"/>
        <v>0</v>
      </c>
      <c r="U773" s="134">
        <f t="shared" si="378"/>
        <v>0</v>
      </c>
      <c r="V773" s="135"/>
      <c r="W773" s="136"/>
      <c r="X773" s="2"/>
      <c r="Y773" s="111"/>
      <c r="Z773" s="3"/>
    </row>
    <row r="774" ht="14.25" hidden="1" customHeight="1" outlineLevel="2">
      <c r="A774" s="124"/>
      <c r="B774" s="125" t="s">
        <v>1581</v>
      </c>
      <c r="C774" s="126" t="s">
        <v>1582</v>
      </c>
      <c r="D774" s="127" t="s">
        <v>475</v>
      </c>
      <c r="E774" s="35"/>
      <c r="F774" s="128"/>
      <c r="G774" s="128"/>
      <c r="H774" s="128"/>
      <c r="I774" s="127">
        <f t="shared" si="395"/>
        <v>0</v>
      </c>
      <c r="J774" s="88"/>
      <c r="K774" s="129">
        <f t="shared" si="396"/>
        <v>1245.400397</v>
      </c>
      <c r="L774" s="130">
        <v>0.6</v>
      </c>
      <c r="M774" s="129">
        <f t="shared" si="397"/>
        <v>830.266931</v>
      </c>
      <c r="N774" s="130">
        <f t="shared" si="398"/>
        <v>0.4</v>
      </c>
      <c r="O774" s="131">
        <f t="array" ref="O774">INDEX('LPU Regionalizada'!$B$3:$N$785,MATCH($B774,'LPU Regionalizada'!$B$3:$B$785,0),MATCH(INDEX(CTRL!$F$3:$F$29,CTRL!$E$1),'LPU Regionalizada'!$B$3:$N$3,0))</f>
        <v>2075.667328</v>
      </c>
      <c r="P774" s="88"/>
      <c r="Q774" s="132">
        <f t="shared" si="399"/>
        <v>0</v>
      </c>
      <c r="R774" s="132">
        <f t="shared" si="400"/>
        <v>0</v>
      </c>
      <c r="S774" s="132">
        <f t="shared" si="401"/>
        <v>0</v>
      </c>
      <c r="T774" s="133">
        <f t="shared" si="402"/>
        <v>0</v>
      </c>
      <c r="U774" s="134">
        <f t="shared" si="378"/>
        <v>0</v>
      </c>
      <c r="V774" s="135"/>
      <c r="W774" s="136"/>
      <c r="X774" s="2"/>
      <c r="Y774" s="111"/>
      <c r="Z774" s="3"/>
    </row>
    <row r="775" ht="14.25" hidden="1" customHeight="1" outlineLevel="2">
      <c r="A775" s="124"/>
      <c r="B775" s="125" t="s">
        <v>1583</v>
      </c>
      <c r="C775" s="126" t="s">
        <v>1584</v>
      </c>
      <c r="D775" s="127" t="s">
        <v>475</v>
      </c>
      <c r="E775" s="35"/>
      <c r="F775" s="128"/>
      <c r="G775" s="128"/>
      <c r="H775" s="128"/>
      <c r="I775" s="127">
        <f t="shared" si="395"/>
        <v>0</v>
      </c>
      <c r="J775" s="88"/>
      <c r="K775" s="129">
        <f t="shared" si="396"/>
        <v>1009.499493</v>
      </c>
      <c r="L775" s="130">
        <v>0.6</v>
      </c>
      <c r="M775" s="129">
        <f t="shared" si="397"/>
        <v>672.9996622</v>
      </c>
      <c r="N775" s="130">
        <f t="shared" si="398"/>
        <v>0.4</v>
      </c>
      <c r="O775" s="131">
        <f t="array" ref="O775">INDEX('LPU Regionalizada'!$B$3:$N$785,MATCH($B775,'LPU Regionalizada'!$B$3:$B$785,0),MATCH(INDEX(CTRL!$F$3:$F$29,CTRL!$E$1),'LPU Regionalizada'!$B$3:$N$3,0))</f>
        <v>1682.499155</v>
      </c>
      <c r="P775" s="88"/>
      <c r="Q775" s="132">
        <f t="shared" si="399"/>
        <v>0</v>
      </c>
      <c r="R775" s="132">
        <f t="shared" si="400"/>
        <v>0</v>
      </c>
      <c r="S775" s="132">
        <f t="shared" si="401"/>
        <v>0</v>
      </c>
      <c r="T775" s="133">
        <f t="shared" si="402"/>
        <v>0</v>
      </c>
      <c r="U775" s="134">
        <f t="shared" si="378"/>
        <v>0</v>
      </c>
      <c r="V775" s="135"/>
      <c r="W775" s="136"/>
      <c r="X775" s="2"/>
      <c r="Y775" s="111"/>
      <c r="Z775" s="3"/>
    </row>
    <row r="776" ht="14.25" hidden="1" customHeight="1" outlineLevel="2">
      <c r="A776" s="124"/>
      <c r="B776" s="125" t="s">
        <v>1585</v>
      </c>
      <c r="C776" s="126" t="s">
        <v>1586</v>
      </c>
      <c r="D776" s="127" t="s">
        <v>475</v>
      </c>
      <c r="E776" s="35"/>
      <c r="F776" s="128"/>
      <c r="G776" s="128"/>
      <c r="H776" s="128"/>
      <c r="I776" s="127">
        <f t="shared" si="395"/>
        <v>0</v>
      </c>
      <c r="J776" s="88"/>
      <c r="K776" s="129">
        <f t="shared" si="396"/>
        <v>593.723702</v>
      </c>
      <c r="L776" s="130">
        <v>0.6</v>
      </c>
      <c r="M776" s="129">
        <f t="shared" si="397"/>
        <v>395.8158013</v>
      </c>
      <c r="N776" s="130">
        <f t="shared" si="398"/>
        <v>0.4</v>
      </c>
      <c r="O776" s="131">
        <f t="array" ref="O776">INDEX('LPU Regionalizada'!$B$3:$N$785,MATCH($B776,'LPU Regionalizada'!$B$3:$B$785,0),MATCH(INDEX(CTRL!$F$3:$F$29,CTRL!$E$1),'LPU Regionalizada'!$B$3:$N$3,0))</f>
        <v>989.5395033</v>
      </c>
      <c r="P776" s="88"/>
      <c r="Q776" s="132">
        <f t="shared" si="399"/>
        <v>0</v>
      </c>
      <c r="R776" s="132">
        <f t="shared" si="400"/>
        <v>0</v>
      </c>
      <c r="S776" s="132">
        <f t="shared" si="401"/>
        <v>0</v>
      </c>
      <c r="T776" s="133">
        <f t="shared" si="402"/>
        <v>0</v>
      </c>
      <c r="U776" s="134">
        <f t="shared" si="378"/>
        <v>0</v>
      </c>
      <c r="V776" s="135"/>
      <c r="W776" s="136"/>
      <c r="X776" s="2"/>
      <c r="Y776" s="111"/>
      <c r="Z776" s="3"/>
    </row>
    <row r="777" ht="14.25" hidden="1" customHeight="1" outlineLevel="1">
      <c r="A777" s="112"/>
      <c r="B777" s="113" t="s">
        <v>1587</v>
      </c>
      <c r="C777" s="114" t="s">
        <v>1588</v>
      </c>
      <c r="D777" s="115"/>
      <c r="E777" s="35"/>
      <c r="F777" s="113"/>
      <c r="G777" s="116"/>
      <c r="H777" s="116"/>
      <c r="I777" s="115"/>
      <c r="J777" s="88"/>
      <c r="K777" s="117"/>
      <c r="L777" s="118"/>
      <c r="M777" s="118"/>
      <c r="N777" s="118"/>
      <c r="O777" s="119"/>
      <c r="P777" s="88"/>
      <c r="Q777" s="120"/>
      <c r="R777" s="120"/>
      <c r="S777" s="120"/>
      <c r="T777" s="120">
        <f>SUM(T778:T784)</f>
        <v>0</v>
      </c>
      <c r="U777" s="121">
        <f t="shared" si="378"/>
        <v>0</v>
      </c>
      <c r="V777" s="122"/>
      <c r="W777" s="123"/>
      <c r="X777" s="2"/>
      <c r="Y777" s="111"/>
      <c r="Z777" s="3"/>
    </row>
    <row r="778" ht="14.25" hidden="1" customHeight="1" outlineLevel="2">
      <c r="A778" s="124"/>
      <c r="B778" s="125" t="s">
        <v>1589</v>
      </c>
      <c r="C778" s="126" t="s">
        <v>1590</v>
      </c>
      <c r="D778" s="127" t="s">
        <v>180</v>
      </c>
      <c r="E778" s="35"/>
      <c r="F778" s="128"/>
      <c r="G778" s="128"/>
      <c r="H778" s="128"/>
      <c r="I778" s="127">
        <f t="shared" ref="I778:I784" si="403">F778+G778+H778</f>
        <v>0</v>
      </c>
      <c r="J778" s="88"/>
      <c r="K778" s="129">
        <f t="shared" ref="K778:K784" si="404">L778*O778</f>
        <v>24.41698755</v>
      </c>
      <c r="L778" s="130">
        <v>0.6</v>
      </c>
      <c r="M778" s="129">
        <f t="shared" ref="M778:M784" si="405">N778*O778</f>
        <v>16.2779917</v>
      </c>
      <c r="N778" s="130">
        <f t="shared" ref="N778:N784" si="406">100%-L778</f>
        <v>0.4</v>
      </c>
      <c r="O778" s="131">
        <f t="array" ref="O778">INDEX('LPU Regionalizada'!$B$3:$N$785,MATCH($B778,'LPU Regionalizada'!$B$3:$B$785,0),MATCH(INDEX(CTRL!$F$3:$F$29,CTRL!$E$1),'LPU Regionalizada'!$B$3:$N$3,0))</f>
        <v>40.69497926</v>
      </c>
      <c r="P778" s="88"/>
      <c r="Q778" s="132">
        <f t="shared" ref="Q778:Q784" si="407">F778*O778</f>
        <v>0</v>
      </c>
      <c r="R778" s="132">
        <f t="shared" ref="R778:R784" si="408">G778*O778</f>
        <v>0</v>
      </c>
      <c r="S778" s="132">
        <f t="shared" ref="S778:S784" si="409">H778*O778</f>
        <v>0</v>
      </c>
      <c r="T778" s="133">
        <f t="shared" ref="T778:T784" si="410">SUM(Q778:S778)</f>
        <v>0</v>
      </c>
      <c r="U778" s="134">
        <f t="shared" si="378"/>
        <v>0</v>
      </c>
      <c r="V778" s="135"/>
      <c r="W778" s="136"/>
      <c r="X778" s="2"/>
      <c r="Y778" s="111"/>
      <c r="Z778" s="3"/>
    </row>
    <row r="779" ht="14.25" hidden="1" customHeight="1" outlineLevel="2">
      <c r="A779" s="124"/>
      <c r="B779" s="125" t="s">
        <v>1591</v>
      </c>
      <c r="C779" s="126" t="s">
        <v>1592</v>
      </c>
      <c r="D779" s="127" t="s">
        <v>180</v>
      </c>
      <c r="E779" s="35"/>
      <c r="F779" s="128"/>
      <c r="G779" s="128"/>
      <c r="H779" s="128"/>
      <c r="I779" s="127">
        <f t="shared" si="403"/>
        <v>0</v>
      </c>
      <c r="J779" s="88"/>
      <c r="K779" s="129">
        <f t="shared" si="404"/>
        <v>31.99137102</v>
      </c>
      <c r="L779" s="130">
        <v>0.6</v>
      </c>
      <c r="M779" s="129">
        <f t="shared" si="405"/>
        <v>21.32758068</v>
      </c>
      <c r="N779" s="130">
        <f t="shared" si="406"/>
        <v>0.4</v>
      </c>
      <c r="O779" s="131">
        <f t="array" ref="O779">INDEX('LPU Regionalizada'!$B$3:$N$785,MATCH($B779,'LPU Regionalizada'!$B$3:$B$785,0),MATCH(INDEX(CTRL!$F$3:$F$29,CTRL!$E$1),'LPU Regionalizada'!$B$3:$N$3,0))</f>
        <v>53.31895171</v>
      </c>
      <c r="P779" s="88"/>
      <c r="Q779" s="132">
        <f t="shared" si="407"/>
        <v>0</v>
      </c>
      <c r="R779" s="132">
        <f t="shared" si="408"/>
        <v>0</v>
      </c>
      <c r="S779" s="132">
        <f t="shared" si="409"/>
        <v>0</v>
      </c>
      <c r="T779" s="133">
        <f t="shared" si="410"/>
        <v>0</v>
      </c>
      <c r="U779" s="134">
        <f t="shared" si="378"/>
        <v>0</v>
      </c>
      <c r="V779" s="135"/>
      <c r="W779" s="136"/>
      <c r="X779" s="2"/>
      <c r="Y779" s="111"/>
      <c r="Z779" s="3"/>
    </row>
    <row r="780" ht="14.25" hidden="1" customHeight="1" outlineLevel="2">
      <c r="A780" s="124"/>
      <c r="B780" s="125" t="s">
        <v>1593</v>
      </c>
      <c r="C780" s="126" t="s">
        <v>1594</v>
      </c>
      <c r="D780" s="127" t="s">
        <v>180</v>
      </c>
      <c r="E780" s="35"/>
      <c r="F780" s="128"/>
      <c r="G780" s="128"/>
      <c r="H780" s="128"/>
      <c r="I780" s="127">
        <f t="shared" si="403"/>
        <v>0</v>
      </c>
      <c r="J780" s="88"/>
      <c r="K780" s="129">
        <f t="shared" si="404"/>
        <v>65.85757566</v>
      </c>
      <c r="L780" s="130">
        <v>0.6</v>
      </c>
      <c r="M780" s="129">
        <f t="shared" si="405"/>
        <v>43.90505044</v>
      </c>
      <c r="N780" s="130">
        <f t="shared" si="406"/>
        <v>0.4</v>
      </c>
      <c r="O780" s="131">
        <f t="array" ref="O780">INDEX('LPU Regionalizada'!$B$3:$N$785,MATCH($B780,'LPU Regionalizada'!$B$3:$B$785,0),MATCH(INDEX(CTRL!$F$3:$F$29,CTRL!$E$1),'LPU Regionalizada'!$B$3:$N$3,0))</f>
        <v>109.7626261</v>
      </c>
      <c r="P780" s="88"/>
      <c r="Q780" s="132">
        <f t="shared" si="407"/>
        <v>0</v>
      </c>
      <c r="R780" s="132">
        <f t="shared" si="408"/>
        <v>0</v>
      </c>
      <c r="S780" s="132">
        <f t="shared" si="409"/>
        <v>0</v>
      </c>
      <c r="T780" s="133">
        <f t="shared" si="410"/>
        <v>0</v>
      </c>
      <c r="U780" s="134">
        <f t="shared" si="378"/>
        <v>0</v>
      </c>
      <c r="V780" s="135"/>
      <c r="W780" s="136"/>
      <c r="X780" s="2"/>
      <c r="Y780" s="111"/>
      <c r="Z780" s="3"/>
    </row>
    <row r="781" ht="14.25" hidden="1" customHeight="1" outlineLevel="2">
      <c r="A781" s="124"/>
      <c r="B781" s="125" t="s">
        <v>1595</v>
      </c>
      <c r="C781" s="126" t="s">
        <v>1596</v>
      </c>
      <c r="D781" s="127" t="s">
        <v>180</v>
      </c>
      <c r="E781" s="35"/>
      <c r="F781" s="128"/>
      <c r="G781" s="128"/>
      <c r="H781" s="128"/>
      <c r="I781" s="127">
        <f t="shared" si="403"/>
        <v>0</v>
      </c>
      <c r="J781" s="88"/>
      <c r="K781" s="129">
        <f t="shared" si="404"/>
        <v>68.65751888</v>
      </c>
      <c r="L781" s="130">
        <v>0.6</v>
      </c>
      <c r="M781" s="129">
        <f t="shared" si="405"/>
        <v>45.77167925</v>
      </c>
      <c r="N781" s="130">
        <f t="shared" si="406"/>
        <v>0.4</v>
      </c>
      <c r="O781" s="131">
        <f t="array" ref="O781">INDEX('LPU Regionalizada'!$B$3:$N$785,MATCH($B781,'LPU Regionalizada'!$B$3:$B$785,0),MATCH(INDEX(CTRL!$F$3:$F$29,CTRL!$E$1),'LPU Regionalizada'!$B$3:$N$3,0))</f>
        <v>114.4291981</v>
      </c>
      <c r="P781" s="88"/>
      <c r="Q781" s="132">
        <f t="shared" si="407"/>
        <v>0</v>
      </c>
      <c r="R781" s="132">
        <f t="shared" si="408"/>
        <v>0</v>
      </c>
      <c r="S781" s="132">
        <f t="shared" si="409"/>
        <v>0</v>
      </c>
      <c r="T781" s="133">
        <f t="shared" si="410"/>
        <v>0</v>
      </c>
      <c r="U781" s="134">
        <f t="shared" si="378"/>
        <v>0</v>
      </c>
      <c r="V781" s="135"/>
      <c r="W781" s="136"/>
      <c r="X781" s="2"/>
      <c r="Y781" s="111"/>
      <c r="Z781" s="3"/>
    </row>
    <row r="782" ht="14.25" hidden="1" customHeight="1" outlineLevel="2">
      <c r="A782" s="124"/>
      <c r="B782" s="125" t="s">
        <v>1597</v>
      </c>
      <c r="C782" s="126" t="s">
        <v>1598</v>
      </c>
      <c r="D782" s="127" t="s">
        <v>180</v>
      </c>
      <c r="E782" s="35"/>
      <c r="F782" s="128"/>
      <c r="G782" s="128"/>
      <c r="H782" s="128"/>
      <c r="I782" s="127">
        <f t="shared" si="403"/>
        <v>0</v>
      </c>
      <c r="J782" s="88"/>
      <c r="K782" s="129">
        <f t="shared" si="404"/>
        <v>16.05959351</v>
      </c>
      <c r="L782" s="130">
        <v>0.6</v>
      </c>
      <c r="M782" s="129">
        <f t="shared" si="405"/>
        <v>10.70639567</v>
      </c>
      <c r="N782" s="130">
        <f t="shared" si="406"/>
        <v>0.4</v>
      </c>
      <c r="O782" s="131">
        <f t="array" ref="O782">INDEX('LPU Regionalizada'!$B$3:$N$785,MATCH($B782,'LPU Regionalizada'!$B$3:$B$785,0),MATCH(INDEX(CTRL!$F$3:$F$29,CTRL!$E$1),'LPU Regionalizada'!$B$3:$N$3,0))</f>
        <v>26.76598919</v>
      </c>
      <c r="P782" s="88"/>
      <c r="Q782" s="132">
        <f t="shared" si="407"/>
        <v>0</v>
      </c>
      <c r="R782" s="132">
        <f t="shared" si="408"/>
        <v>0</v>
      </c>
      <c r="S782" s="132">
        <f t="shared" si="409"/>
        <v>0</v>
      </c>
      <c r="T782" s="133">
        <f t="shared" si="410"/>
        <v>0</v>
      </c>
      <c r="U782" s="134">
        <f t="shared" si="378"/>
        <v>0</v>
      </c>
      <c r="V782" s="135"/>
      <c r="W782" s="136"/>
      <c r="X782" s="2"/>
      <c r="Y782" s="111"/>
      <c r="Z782" s="3"/>
    </row>
    <row r="783" ht="14.25" hidden="1" customHeight="1" outlineLevel="2">
      <c r="A783" s="124"/>
      <c r="B783" s="125" t="s">
        <v>1599</v>
      </c>
      <c r="C783" s="126" t="s">
        <v>1600</v>
      </c>
      <c r="D783" s="127" t="s">
        <v>180</v>
      </c>
      <c r="E783" s="35"/>
      <c r="F783" s="128"/>
      <c r="G783" s="128"/>
      <c r="H783" s="128"/>
      <c r="I783" s="127">
        <f t="shared" si="403"/>
        <v>0</v>
      </c>
      <c r="J783" s="88"/>
      <c r="K783" s="129">
        <f t="shared" si="404"/>
        <v>69.89246492</v>
      </c>
      <c r="L783" s="130">
        <v>0.6</v>
      </c>
      <c r="M783" s="129">
        <f t="shared" si="405"/>
        <v>46.59497661</v>
      </c>
      <c r="N783" s="130">
        <f t="shared" si="406"/>
        <v>0.4</v>
      </c>
      <c r="O783" s="131">
        <f t="array" ref="O783">INDEX('LPU Regionalizada'!$B$3:$N$785,MATCH($B783,'LPU Regionalizada'!$B$3:$B$785,0),MATCH(INDEX(CTRL!$F$3:$F$29,CTRL!$E$1),'LPU Regionalizada'!$B$3:$N$3,0))</f>
        <v>116.4874415</v>
      </c>
      <c r="P783" s="88"/>
      <c r="Q783" s="132">
        <f t="shared" si="407"/>
        <v>0</v>
      </c>
      <c r="R783" s="132">
        <f t="shared" si="408"/>
        <v>0</v>
      </c>
      <c r="S783" s="132">
        <f t="shared" si="409"/>
        <v>0</v>
      </c>
      <c r="T783" s="133">
        <f t="shared" si="410"/>
        <v>0</v>
      </c>
      <c r="U783" s="134">
        <f t="shared" si="378"/>
        <v>0</v>
      </c>
      <c r="V783" s="135"/>
      <c r="W783" s="136"/>
      <c r="X783" s="2"/>
      <c r="Y783" s="111"/>
      <c r="Z783" s="3"/>
    </row>
    <row r="784" ht="14.25" hidden="1" customHeight="1" outlineLevel="2">
      <c r="A784" s="124"/>
      <c r="B784" s="125" t="s">
        <v>1601</v>
      </c>
      <c r="C784" s="126" t="s">
        <v>1602</v>
      </c>
      <c r="D784" s="127" t="s">
        <v>142</v>
      </c>
      <c r="E784" s="35"/>
      <c r="F784" s="128"/>
      <c r="G784" s="128"/>
      <c r="H784" s="128"/>
      <c r="I784" s="127">
        <f t="shared" si="403"/>
        <v>0</v>
      </c>
      <c r="J784" s="88"/>
      <c r="K784" s="129">
        <f t="shared" si="404"/>
        <v>398.3121568</v>
      </c>
      <c r="L784" s="130">
        <v>0.6</v>
      </c>
      <c r="M784" s="129">
        <f t="shared" si="405"/>
        <v>265.5414379</v>
      </c>
      <c r="N784" s="130">
        <f t="shared" si="406"/>
        <v>0.4</v>
      </c>
      <c r="O784" s="131">
        <f t="array" ref="O784">INDEX('LPU Regionalizada'!$B$3:$N$785,MATCH($B784,'LPU Regionalizada'!$B$3:$B$785,0),MATCH(INDEX(CTRL!$F$3:$F$29,CTRL!$E$1),'LPU Regionalizada'!$B$3:$N$3,0))</f>
        <v>663.8535946</v>
      </c>
      <c r="P784" s="88"/>
      <c r="Q784" s="132">
        <f t="shared" si="407"/>
        <v>0</v>
      </c>
      <c r="R784" s="132">
        <f t="shared" si="408"/>
        <v>0</v>
      </c>
      <c r="S784" s="132">
        <f t="shared" si="409"/>
        <v>0</v>
      </c>
      <c r="T784" s="133">
        <f t="shared" si="410"/>
        <v>0</v>
      </c>
      <c r="U784" s="134">
        <f t="shared" si="378"/>
        <v>0</v>
      </c>
      <c r="V784" s="135"/>
      <c r="W784" s="136"/>
      <c r="X784" s="2"/>
      <c r="Y784" s="111"/>
      <c r="Z784" s="3"/>
    </row>
    <row r="785" ht="9.75" hidden="1" customHeight="1">
      <c r="A785" s="124"/>
      <c r="B785" s="125"/>
      <c r="C785" s="126"/>
      <c r="D785" s="127"/>
      <c r="E785" s="35"/>
      <c r="F785" s="128"/>
      <c r="G785" s="128"/>
      <c r="H785" s="128"/>
      <c r="I785" s="127"/>
      <c r="J785" s="88"/>
      <c r="K785" s="129"/>
      <c r="L785" s="130"/>
      <c r="M785" s="129"/>
      <c r="N785" s="130"/>
      <c r="O785" s="131"/>
      <c r="P785" s="88"/>
      <c r="Q785" s="132"/>
      <c r="R785" s="132"/>
      <c r="S785" s="132"/>
      <c r="T785" s="133"/>
      <c r="U785" s="134"/>
      <c r="V785" s="135"/>
      <c r="W785" s="136"/>
      <c r="X785" s="2"/>
      <c r="Y785" s="111"/>
      <c r="Z785" s="3"/>
    </row>
    <row r="786" ht="14.25" hidden="1" customHeight="1" collapsed="1">
      <c r="A786" s="100"/>
      <c r="B786" s="101" t="s">
        <v>1603</v>
      </c>
      <c r="C786" s="102" t="s">
        <v>1604</v>
      </c>
      <c r="D786" s="103"/>
      <c r="E786" s="35"/>
      <c r="F786" s="101"/>
      <c r="G786" s="104"/>
      <c r="H786" s="104"/>
      <c r="I786" s="103"/>
      <c r="J786" s="88"/>
      <c r="K786" s="105"/>
      <c r="L786" s="106"/>
      <c r="M786" s="106"/>
      <c r="N786" s="106"/>
      <c r="O786" s="107"/>
      <c r="P786" s="88"/>
      <c r="Q786" s="108"/>
      <c r="R786" s="108"/>
      <c r="S786" s="108"/>
      <c r="T786" s="108">
        <f t="shared" ref="T786:U786" si="411">SUM(T787:T797)</f>
        <v>0</v>
      </c>
      <c r="U786" s="108">
        <f t="shared" si="411"/>
        <v>0</v>
      </c>
      <c r="V786" s="109"/>
      <c r="W786" s="110"/>
      <c r="X786" s="2"/>
      <c r="Y786" s="111"/>
      <c r="Z786" s="3"/>
    </row>
    <row r="787" ht="14.25" hidden="1" customHeight="1" outlineLevel="1">
      <c r="A787" s="124"/>
      <c r="B787" s="125" t="s">
        <v>1605</v>
      </c>
      <c r="C787" s="126" t="s">
        <v>1606</v>
      </c>
      <c r="D787" s="127" t="s">
        <v>475</v>
      </c>
      <c r="E787" s="35"/>
      <c r="F787" s="128"/>
      <c r="G787" s="128"/>
      <c r="H787" s="128"/>
      <c r="I787" s="127">
        <f t="shared" ref="I787:I797" si="412">F787+G787+H787</f>
        <v>0</v>
      </c>
      <c r="J787" s="88"/>
      <c r="K787" s="129">
        <f t="shared" ref="K787:K797" si="413">L787*O787</f>
        <v>235.4398906</v>
      </c>
      <c r="L787" s="130">
        <v>0.6</v>
      </c>
      <c r="M787" s="129">
        <f t="shared" ref="M787:M797" si="414">N787*O787</f>
        <v>156.959927</v>
      </c>
      <c r="N787" s="130">
        <f t="shared" ref="N787:N797" si="415">100%-L787</f>
        <v>0.4</v>
      </c>
      <c r="O787" s="131">
        <f t="array" ref="O787">INDEX('LPU Regionalizada'!$B$3:$N$785,MATCH($B787,'LPU Regionalizada'!$B$3:$B$785,0),MATCH(INDEX(CTRL!$F$3:$F$29,CTRL!$E$1),'LPU Regionalizada'!$B$3:$N$3,0))</f>
        <v>392.3998176</v>
      </c>
      <c r="P787" s="88"/>
      <c r="Q787" s="132">
        <f t="shared" ref="Q787:Q797" si="416">F787*O787</f>
        <v>0</v>
      </c>
      <c r="R787" s="132">
        <f t="shared" ref="R787:R797" si="417">G787*O787</f>
        <v>0</v>
      </c>
      <c r="S787" s="132">
        <f t="shared" ref="S787:S797" si="418">H787*O787</f>
        <v>0</v>
      </c>
      <c r="T787" s="133">
        <f t="shared" ref="T787:T797" si="419">SUM(Q787:S787)</f>
        <v>0</v>
      </c>
      <c r="U787" s="134">
        <f t="shared" ref="U787:U797" si="420">IFERROR(T787*(1-$H$12),"")</f>
        <v>0</v>
      </c>
      <c r="V787" s="135"/>
      <c r="W787" s="136"/>
      <c r="X787" s="2"/>
      <c r="Y787" s="111"/>
      <c r="Z787" s="3"/>
    </row>
    <row r="788" ht="14.25" hidden="1" customHeight="1" outlineLevel="1">
      <c r="A788" s="124"/>
      <c r="B788" s="125" t="s">
        <v>1607</v>
      </c>
      <c r="C788" s="126" t="s">
        <v>1608</v>
      </c>
      <c r="D788" s="127" t="s">
        <v>475</v>
      </c>
      <c r="E788" s="35"/>
      <c r="F788" s="128"/>
      <c r="G788" s="128"/>
      <c r="H788" s="128"/>
      <c r="I788" s="127">
        <f t="shared" si="412"/>
        <v>0</v>
      </c>
      <c r="J788" s="88"/>
      <c r="K788" s="129">
        <f t="shared" si="413"/>
        <v>146.74485</v>
      </c>
      <c r="L788" s="130">
        <v>0.6</v>
      </c>
      <c r="M788" s="129">
        <f t="shared" si="414"/>
        <v>97.8299</v>
      </c>
      <c r="N788" s="130">
        <f t="shared" si="415"/>
        <v>0.4</v>
      </c>
      <c r="O788" s="131">
        <f t="array" ref="O788">INDEX('LPU Regionalizada'!$B$3:$N$785,MATCH($B788,'LPU Regionalizada'!$B$3:$B$785,0),MATCH(INDEX(CTRL!$F$3:$F$29,CTRL!$E$1),'LPU Regionalizada'!$B$3:$N$3,0))</f>
        <v>244.57475</v>
      </c>
      <c r="P788" s="88"/>
      <c r="Q788" s="132">
        <f t="shared" si="416"/>
        <v>0</v>
      </c>
      <c r="R788" s="132">
        <f t="shared" si="417"/>
        <v>0</v>
      </c>
      <c r="S788" s="132">
        <f t="shared" si="418"/>
        <v>0</v>
      </c>
      <c r="T788" s="133">
        <f t="shared" si="419"/>
        <v>0</v>
      </c>
      <c r="U788" s="134">
        <f t="shared" si="420"/>
        <v>0</v>
      </c>
      <c r="V788" s="135"/>
      <c r="W788" s="136"/>
      <c r="X788" s="2"/>
      <c r="Y788" s="111"/>
      <c r="Z788" s="3"/>
    </row>
    <row r="789" ht="14.25" hidden="1" customHeight="1" outlineLevel="1">
      <c r="A789" s="124"/>
      <c r="B789" s="125" t="s">
        <v>1609</v>
      </c>
      <c r="C789" s="126" t="s">
        <v>1610</v>
      </c>
      <c r="D789" s="127" t="s">
        <v>475</v>
      </c>
      <c r="E789" s="35"/>
      <c r="F789" s="128"/>
      <c r="G789" s="128"/>
      <c r="H789" s="128"/>
      <c r="I789" s="127">
        <f t="shared" si="412"/>
        <v>0</v>
      </c>
      <c r="J789" s="88"/>
      <c r="K789" s="129">
        <f t="shared" si="413"/>
        <v>808.488</v>
      </c>
      <c r="L789" s="130">
        <v>0.6</v>
      </c>
      <c r="M789" s="129">
        <f t="shared" si="414"/>
        <v>538.992</v>
      </c>
      <c r="N789" s="130">
        <f t="shared" si="415"/>
        <v>0.4</v>
      </c>
      <c r="O789" s="131">
        <f t="array" ref="O789">INDEX('LPU Regionalizada'!$B$3:$N$785,MATCH($B789,'LPU Regionalizada'!$B$3:$B$785,0),MATCH(INDEX(CTRL!$F$3:$F$29,CTRL!$E$1),'LPU Regionalizada'!$B$3:$N$3,0))</f>
        <v>1347.48</v>
      </c>
      <c r="P789" s="88"/>
      <c r="Q789" s="132">
        <f t="shared" si="416"/>
        <v>0</v>
      </c>
      <c r="R789" s="132">
        <f t="shared" si="417"/>
        <v>0</v>
      </c>
      <c r="S789" s="132">
        <f t="shared" si="418"/>
        <v>0</v>
      </c>
      <c r="T789" s="133">
        <f t="shared" si="419"/>
        <v>0</v>
      </c>
      <c r="U789" s="134">
        <f t="shared" si="420"/>
        <v>0</v>
      </c>
      <c r="V789" s="135"/>
      <c r="W789" s="136"/>
      <c r="X789" s="2"/>
      <c r="Y789" s="111"/>
      <c r="Z789" s="3"/>
    </row>
    <row r="790" ht="14.25" hidden="1" customHeight="1" outlineLevel="1">
      <c r="A790" s="124"/>
      <c r="B790" s="125" t="s">
        <v>1611</v>
      </c>
      <c r="C790" s="126" t="s">
        <v>1612</v>
      </c>
      <c r="D790" s="127" t="s">
        <v>475</v>
      </c>
      <c r="E790" s="35"/>
      <c r="F790" s="128"/>
      <c r="G790" s="128"/>
      <c r="H790" s="128"/>
      <c r="I790" s="127">
        <f t="shared" si="412"/>
        <v>0</v>
      </c>
      <c r="J790" s="88"/>
      <c r="K790" s="129">
        <f t="shared" si="413"/>
        <v>945.26424</v>
      </c>
      <c r="L790" s="130">
        <v>0.6</v>
      </c>
      <c r="M790" s="129">
        <f t="shared" si="414"/>
        <v>630.17616</v>
      </c>
      <c r="N790" s="130">
        <f t="shared" si="415"/>
        <v>0.4</v>
      </c>
      <c r="O790" s="131">
        <f t="array" ref="O790">INDEX('LPU Regionalizada'!$B$3:$N$785,MATCH($B790,'LPU Regionalizada'!$B$3:$B$785,0),MATCH(INDEX(CTRL!$F$3:$F$29,CTRL!$E$1),'LPU Regionalizada'!$B$3:$N$3,0))</f>
        <v>1575.4404</v>
      </c>
      <c r="P790" s="88"/>
      <c r="Q790" s="132">
        <f t="shared" si="416"/>
        <v>0</v>
      </c>
      <c r="R790" s="132">
        <f t="shared" si="417"/>
        <v>0</v>
      </c>
      <c r="S790" s="132">
        <f t="shared" si="418"/>
        <v>0</v>
      </c>
      <c r="T790" s="133">
        <f t="shared" si="419"/>
        <v>0</v>
      </c>
      <c r="U790" s="134">
        <f t="shared" si="420"/>
        <v>0</v>
      </c>
      <c r="V790" s="135"/>
      <c r="W790" s="136"/>
      <c r="X790" s="2"/>
      <c r="Y790" s="111"/>
      <c r="Z790" s="3"/>
    </row>
    <row r="791" ht="14.25" hidden="1" customHeight="1" outlineLevel="1">
      <c r="A791" s="124"/>
      <c r="B791" s="125" t="s">
        <v>1613</v>
      </c>
      <c r="C791" s="126" t="s">
        <v>1614</v>
      </c>
      <c r="D791" s="127" t="s">
        <v>475</v>
      </c>
      <c r="E791" s="35"/>
      <c r="F791" s="128"/>
      <c r="G791" s="128"/>
      <c r="H791" s="128"/>
      <c r="I791" s="127">
        <f t="shared" si="412"/>
        <v>0</v>
      </c>
      <c r="J791" s="88"/>
      <c r="K791" s="129">
        <f t="shared" si="413"/>
        <v>1374</v>
      </c>
      <c r="L791" s="130">
        <v>0.6</v>
      </c>
      <c r="M791" s="129">
        <f t="shared" si="414"/>
        <v>916</v>
      </c>
      <c r="N791" s="130">
        <f t="shared" si="415"/>
        <v>0.4</v>
      </c>
      <c r="O791" s="131">
        <f t="array" ref="O791">INDEX('LPU Regionalizada'!$B$3:$N$785,MATCH($B791,'LPU Regionalizada'!$B$3:$B$785,0),MATCH(INDEX(CTRL!$F$3:$F$29,CTRL!$E$1),'LPU Regionalizada'!$B$3:$N$3,0))</f>
        <v>2290</v>
      </c>
      <c r="P791" s="88"/>
      <c r="Q791" s="132">
        <f t="shared" si="416"/>
        <v>0</v>
      </c>
      <c r="R791" s="132">
        <f t="shared" si="417"/>
        <v>0</v>
      </c>
      <c r="S791" s="132">
        <f t="shared" si="418"/>
        <v>0</v>
      </c>
      <c r="T791" s="133">
        <f t="shared" si="419"/>
        <v>0</v>
      </c>
      <c r="U791" s="134">
        <f t="shared" si="420"/>
        <v>0</v>
      </c>
      <c r="V791" s="135"/>
      <c r="W791" s="136"/>
      <c r="X791" s="2"/>
      <c r="Y791" s="111"/>
      <c r="Z791" s="3"/>
    </row>
    <row r="792" ht="14.25" hidden="1" customHeight="1" outlineLevel="1">
      <c r="A792" s="124"/>
      <c r="B792" s="125" t="s">
        <v>1615</v>
      </c>
      <c r="C792" s="126" t="s">
        <v>1616</v>
      </c>
      <c r="D792" s="127" t="s">
        <v>475</v>
      </c>
      <c r="E792" s="35"/>
      <c r="F792" s="128"/>
      <c r="G792" s="128"/>
      <c r="H792" s="128"/>
      <c r="I792" s="127">
        <f t="shared" si="412"/>
        <v>0</v>
      </c>
      <c r="J792" s="88"/>
      <c r="K792" s="129">
        <f t="shared" si="413"/>
        <v>1537.919332</v>
      </c>
      <c r="L792" s="130">
        <v>0.6</v>
      </c>
      <c r="M792" s="129">
        <f t="shared" si="414"/>
        <v>1025.279555</v>
      </c>
      <c r="N792" s="130">
        <f t="shared" si="415"/>
        <v>0.4</v>
      </c>
      <c r="O792" s="131">
        <f t="array" ref="O792">INDEX('LPU Regionalizada'!$B$3:$N$785,MATCH($B792,'LPU Regionalizada'!$B$3:$B$785,0),MATCH(INDEX(CTRL!$F$3:$F$29,CTRL!$E$1),'LPU Regionalizada'!$B$3:$N$3,0))</f>
        <v>2563.198887</v>
      </c>
      <c r="P792" s="88"/>
      <c r="Q792" s="132">
        <f t="shared" si="416"/>
        <v>0</v>
      </c>
      <c r="R792" s="132">
        <f t="shared" si="417"/>
        <v>0</v>
      </c>
      <c r="S792" s="132">
        <f t="shared" si="418"/>
        <v>0</v>
      </c>
      <c r="T792" s="133">
        <f t="shared" si="419"/>
        <v>0</v>
      </c>
      <c r="U792" s="134">
        <f t="shared" si="420"/>
        <v>0</v>
      </c>
      <c r="V792" s="135"/>
      <c r="W792" s="136"/>
      <c r="X792" s="2"/>
      <c r="Y792" s="111"/>
      <c r="Z792" s="3"/>
    </row>
    <row r="793" ht="14.25" hidden="1" customHeight="1" outlineLevel="1">
      <c r="A793" s="124"/>
      <c r="B793" s="125" t="s">
        <v>1617</v>
      </c>
      <c r="C793" s="126" t="s">
        <v>1618</v>
      </c>
      <c r="D793" s="127" t="s">
        <v>475</v>
      </c>
      <c r="E793" s="35"/>
      <c r="F793" s="128"/>
      <c r="G793" s="128"/>
      <c r="H793" s="128"/>
      <c r="I793" s="127">
        <f t="shared" si="412"/>
        <v>0</v>
      </c>
      <c r="J793" s="88"/>
      <c r="K793" s="129">
        <f t="shared" si="413"/>
        <v>1420.679374</v>
      </c>
      <c r="L793" s="130">
        <v>0.6</v>
      </c>
      <c r="M793" s="129">
        <f t="shared" si="414"/>
        <v>947.1195829</v>
      </c>
      <c r="N793" s="130">
        <f t="shared" si="415"/>
        <v>0.4</v>
      </c>
      <c r="O793" s="131">
        <f t="array" ref="O793">INDEX('LPU Regionalizada'!$B$3:$N$785,MATCH($B793,'LPU Regionalizada'!$B$3:$B$785,0),MATCH(INDEX(CTRL!$F$3:$F$29,CTRL!$E$1),'LPU Regionalizada'!$B$3:$N$3,0))</f>
        <v>2367.798957</v>
      </c>
      <c r="P793" s="88"/>
      <c r="Q793" s="132">
        <f t="shared" si="416"/>
        <v>0</v>
      </c>
      <c r="R793" s="132">
        <f t="shared" si="417"/>
        <v>0</v>
      </c>
      <c r="S793" s="132">
        <f t="shared" si="418"/>
        <v>0</v>
      </c>
      <c r="T793" s="133">
        <f t="shared" si="419"/>
        <v>0</v>
      </c>
      <c r="U793" s="134">
        <f t="shared" si="420"/>
        <v>0</v>
      </c>
      <c r="V793" s="135"/>
      <c r="W793" s="136"/>
      <c r="X793" s="2"/>
      <c r="Y793" s="111"/>
      <c r="Z793" s="3"/>
    </row>
    <row r="794" ht="14.25" hidden="1" customHeight="1" outlineLevel="1">
      <c r="A794" s="124"/>
      <c r="B794" s="125" t="s">
        <v>1619</v>
      </c>
      <c r="C794" s="126" t="s">
        <v>1620</v>
      </c>
      <c r="D794" s="127" t="s">
        <v>475</v>
      </c>
      <c r="E794" s="35"/>
      <c r="F794" s="128"/>
      <c r="G794" s="128"/>
      <c r="H794" s="128"/>
      <c r="I794" s="127">
        <f t="shared" si="412"/>
        <v>0</v>
      </c>
      <c r="J794" s="88"/>
      <c r="K794" s="129">
        <f t="shared" si="413"/>
        <v>1616.7</v>
      </c>
      <c r="L794" s="130">
        <v>0.6</v>
      </c>
      <c r="M794" s="129">
        <f t="shared" si="414"/>
        <v>1077.8</v>
      </c>
      <c r="N794" s="130">
        <f t="shared" si="415"/>
        <v>0.4</v>
      </c>
      <c r="O794" s="131">
        <f t="array" ref="O794">INDEX('LPU Regionalizada'!$B$3:$N$785,MATCH($B794,'LPU Regionalizada'!$B$3:$B$785,0),MATCH(INDEX(CTRL!$F$3:$F$29,CTRL!$E$1),'LPU Regionalizada'!$B$3:$N$3,0))</f>
        <v>2694.5</v>
      </c>
      <c r="P794" s="88"/>
      <c r="Q794" s="132">
        <f t="shared" si="416"/>
        <v>0</v>
      </c>
      <c r="R794" s="132">
        <f t="shared" si="417"/>
        <v>0</v>
      </c>
      <c r="S794" s="132">
        <f t="shared" si="418"/>
        <v>0</v>
      </c>
      <c r="T794" s="133">
        <f t="shared" si="419"/>
        <v>0</v>
      </c>
      <c r="U794" s="134">
        <f t="shared" si="420"/>
        <v>0</v>
      </c>
      <c r="V794" s="135"/>
      <c r="W794" s="136"/>
      <c r="X794" s="2"/>
      <c r="Y794" s="111"/>
      <c r="Z794" s="3"/>
    </row>
    <row r="795" ht="14.25" hidden="1" customHeight="1" outlineLevel="1">
      <c r="A795" s="124"/>
      <c r="B795" s="125" t="s">
        <v>1621</v>
      </c>
      <c r="C795" s="126" t="s">
        <v>1622</v>
      </c>
      <c r="D795" s="127" t="s">
        <v>475</v>
      </c>
      <c r="E795" s="35"/>
      <c r="F795" s="128"/>
      <c r="G795" s="128"/>
      <c r="H795" s="128"/>
      <c r="I795" s="127">
        <f t="shared" si="412"/>
        <v>0</v>
      </c>
      <c r="J795" s="88"/>
      <c r="K795" s="129">
        <f t="shared" si="413"/>
        <v>2442</v>
      </c>
      <c r="L795" s="130">
        <v>0.6</v>
      </c>
      <c r="M795" s="129">
        <f t="shared" si="414"/>
        <v>1628</v>
      </c>
      <c r="N795" s="130">
        <f t="shared" si="415"/>
        <v>0.4</v>
      </c>
      <c r="O795" s="131">
        <f t="array" ref="O795">INDEX('LPU Regionalizada'!$B$3:$N$785,MATCH($B795,'LPU Regionalizada'!$B$3:$B$785,0),MATCH(INDEX(CTRL!$F$3:$F$29,CTRL!$E$1),'LPU Regionalizada'!$B$3:$N$3,0))</f>
        <v>4070</v>
      </c>
      <c r="P795" s="88"/>
      <c r="Q795" s="132">
        <f t="shared" si="416"/>
        <v>0</v>
      </c>
      <c r="R795" s="132">
        <f t="shared" si="417"/>
        <v>0</v>
      </c>
      <c r="S795" s="132">
        <f t="shared" si="418"/>
        <v>0</v>
      </c>
      <c r="T795" s="133">
        <f t="shared" si="419"/>
        <v>0</v>
      </c>
      <c r="U795" s="134">
        <f t="shared" si="420"/>
        <v>0</v>
      </c>
      <c r="V795" s="135"/>
      <c r="W795" s="136"/>
      <c r="X795" s="2"/>
      <c r="Y795" s="111"/>
      <c r="Z795" s="3"/>
    </row>
    <row r="796" ht="14.25" hidden="1" customHeight="1" outlineLevel="1">
      <c r="A796" s="124"/>
      <c r="B796" s="125" t="s">
        <v>1623</v>
      </c>
      <c r="C796" s="126" t="s">
        <v>1624</v>
      </c>
      <c r="D796" s="127" t="s">
        <v>475</v>
      </c>
      <c r="E796" s="35"/>
      <c r="F796" s="128"/>
      <c r="G796" s="128"/>
      <c r="H796" s="128"/>
      <c r="I796" s="127">
        <f t="shared" si="412"/>
        <v>0</v>
      </c>
      <c r="J796" s="88"/>
      <c r="K796" s="129">
        <f t="shared" si="413"/>
        <v>711.375</v>
      </c>
      <c r="L796" s="130">
        <v>0.6</v>
      </c>
      <c r="M796" s="129">
        <f t="shared" si="414"/>
        <v>474.25</v>
      </c>
      <c r="N796" s="130">
        <f t="shared" si="415"/>
        <v>0.4</v>
      </c>
      <c r="O796" s="131">
        <f t="array" ref="O796">INDEX('LPU Regionalizada'!$B$3:$N$785,MATCH($B796,'LPU Regionalizada'!$B$3:$B$785,0),MATCH(INDEX(CTRL!$F$3:$F$29,CTRL!$E$1),'LPU Regionalizada'!$B$3:$N$3,0))</f>
        <v>1185.625</v>
      </c>
      <c r="P796" s="88"/>
      <c r="Q796" s="132">
        <f t="shared" si="416"/>
        <v>0</v>
      </c>
      <c r="R796" s="132">
        <f t="shared" si="417"/>
        <v>0</v>
      </c>
      <c r="S796" s="132">
        <f t="shared" si="418"/>
        <v>0</v>
      </c>
      <c r="T796" s="133">
        <f t="shared" si="419"/>
        <v>0</v>
      </c>
      <c r="U796" s="134">
        <f t="shared" si="420"/>
        <v>0</v>
      </c>
      <c r="V796" s="135"/>
      <c r="W796" s="136"/>
      <c r="X796" s="2"/>
      <c r="Y796" s="111"/>
      <c r="Z796" s="3"/>
    </row>
    <row r="797" ht="14.25" hidden="1" customHeight="1" outlineLevel="1">
      <c r="A797" s="124"/>
      <c r="B797" s="125" t="s">
        <v>1625</v>
      </c>
      <c r="C797" s="126" t="s">
        <v>1626</v>
      </c>
      <c r="D797" s="127" t="s">
        <v>475</v>
      </c>
      <c r="E797" s="35"/>
      <c r="F797" s="128"/>
      <c r="G797" s="128"/>
      <c r="H797" s="128"/>
      <c r="I797" s="127">
        <f t="shared" si="412"/>
        <v>0</v>
      </c>
      <c r="J797" s="88"/>
      <c r="K797" s="129">
        <f t="shared" si="413"/>
        <v>783.5996064</v>
      </c>
      <c r="L797" s="130">
        <v>0.6</v>
      </c>
      <c r="M797" s="129">
        <f t="shared" si="414"/>
        <v>522.3997376</v>
      </c>
      <c r="N797" s="130">
        <f t="shared" si="415"/>
        <v>0.4</v>
      </c>
      <c r="O797" s="131">
        <f t="array" ref="O797">INDEX('LPU Regionalizada'!$B$3:$N$785,MATCH($B797,'LPU Regionalizada'!$B$3:$B$785,0),MATCH(INDEX(CTRL!$F$3:$F$29,CTRL!$E$1),'LPU Regionalizada'!$B$3:$N$3,0))</f>
        <v>1305.999344</v>
      </c>
      <c r="P797" s="88"/>
      <c r="Q797" s="132">
        <f t="shared" si="416"/>
        <v>0</v>
      </c>
      <c r="R797" s="132">
        <f t="shared" si="417"/>
        <v>0</v>
      </c>
      <c r="S797" s="132">
        <f t="shared" si="418"/>
        <v>0</v>
      </c>
      <c r="T797" s="133">
        <f t="shared" si="419"/>
        <v>0</v>
      </c>
      <c r="U797" s="134">
        <f t="shared" si="420"/>
        <v>0</v>
      </c>
      <c r="V797" s="135"/>
      <c r="W797" s="136"/>
      <c r="X797" s="2"/>
      <c r="Y797" s="111"/>
      <c r="Z797" s="3"/>
    </row>
    <row r="798" ht="9.75" hidden="1" customHeight="1">
      <c r="A798" s="124"/>
      <c r="B798" s="137"/>
      <c r="C798" s="138"/>
      <c r="D798" s="139"/>
      <c r="E798" s="35"/>
      <c r="F798" s="140"/>
      <c r="G798" s="141"/>
      <c r="H798" s="141"/>
      <c r="I798" s="139"/>
      <c r="J798" s="88"/>
      <c r="K798" s="142"/>
      <c r="L798" s="143"/>
      <c r="M798" s="144"/>
      <c r="N798" s="143"/>
      <c r="O798" s="145"/>
      <c r="P798" s="88"/>
      <c r="Q798" s="146"/>
      <c r="R798" s="146"/>
      <c r="S798" s="146"/>
      <c r="T798" s="147"/>
      <c r="U798" s="148"/>
      <c r="V798" s="135"/>
      <c r="W798" s="149"/>
      <c r="X798" s="2"/>
      <c r="Y798" s="111"/>
      <c r="Z798" s="3"/>
    </row>
    <row r="799" ht="14.25" customHeight="1">
      <c r="A799" s="100"/>
      <c r="B799" s="101" t="s">
        <v>1627</v>
      </c>
      <c r="C799" s="102" t="s">
        <v>1628</v>
      </c>
      <c r="D799" s="103"/>
      <c r="E799" s="35"/>
      <c r="F799" s="101"/>
      <c r="G799" s="104"/>
      <c r="H799" s="104"/>
      <c r="I799" s="103"/>
      <c r="J799" s="88"/>
      <c r="K799" s="105"/>
      <c r="L799" s="106"/>
      <c r="M799" s="106"/>
      <c r="N799" s="106"/>
      <c r="O799" s="107"/>
      <c r="P799" s="88"/>
      <c r="Q799" s="108"/>
      <c r="R799" s="108"/>
      <c r="S799" s="108"/>
      <c r="T799" s="108">
        <f t="shared" ref="T799:U799" si="421">SUM(T800:T870)</f>
        <v>1890</v>
      </c>
      <c r="U799" s="108">
        <f t="shared" si="421"/>
        <v>1890</v>
      </c>
      <c r="V799" s="109"/>
      <c r="W799" s="110"/>
      <c r="X799" s="2"/>
      <c r="Y799" s="111"/>
      <c r="Z799" s="3"/>
    </row>
    <row r="800" ht="14.25" customHeight="1" outlineLevel="1">
      <c r="A800" s="124"/>
      <c r="B800" s="125" t="s">
        <v>1629</v>
      </c>
      <c r="C800" s="126" t="s">
        <v>1630</v>
      </c>
      <c r="D800" s="127" t="s">
        <v>142</v>
      </c>
      <c r="E800" s="35"/>
      <c r="F800" s="128">
        <v>0.0</v>
      </c>
      <c r="G800" s="128"/>
      <c r="H800" s="128">
        <v>1.0</v>
      </c>
      <c r="I800" s="127">
        <f t="shared" ref="I800:I870" si="422">F800+G800+H800</f>
        <v>1</v>
      </c>
      <c r="J800" s="88"/>
      <c r="K800" s="129">
        <f t="shared" ref="K800:K870" si="423">L800*O800</f>
        <v>0</v>
      </c>
      <c r="L800" s="130">
        <v>0.0</v>
      </c>
      <c r="M800" s="129">
        <f t="shared" ref="M800:M870" si="424">N800*O800</f>
        <v>270</v>
      </c>
      <c r="N800" s="130">
        <f t="shared" ref="N800:N870" si="425">IFERROR(100%-L800, " ")</f>
        <v>1</v>
      </c>
      <c r="O800" s="131">
        <v>270.0</v>
      </c>
      <c r="P800" s="88"/>
      <c r="Q800" s="132">
        <f t="shared" ref="Q800:Q870" si="426">F800*O800</f>
        <v>0</v>
      </c>
      <c r="R800" s="132">
        <f t="shared" ref="R800:R870" si="427">G800*O800</f>
        <v>0</v>
      </c>
      <c r="S800" s="132">
        <f t="shared" ref="S800:S870" si="428">H800*O800</f>
        <v>270</v>
      </c>
      <c r="T800" s="133">
        <f t="shared" ref="T800:T870" si="429">SUM(Q800:S800)</f>
        <v>270</v>
      </c>
      <c r="U800" s="134">
        <f t="shared" ref="U800:U870" si="430">IFERROR(T800*(1-$H$12),"")</f>
        <v>270</v>
      </c>
      <c r="V800" s="135"/>
      <c r="W800" s="136"/>
      <c r="X800" s="2"/>
      <c r="Y800" s="111"/>
      <c r="Z800" s="3"/>
    </row>
    <row r="801" ht="14.25" customHeight="1" outlineLevel="1">
      <c r="A801" s="124"/>
      <c r="B801" s="125" t="s">
        <v>1631</v>
      </c>
      <c r="C801" s="126" t="s">
        <v>1632</v>
      </c>
      <c r="D801" s="127" t="s">
        <v>142</v>
      </c>
      <c r="E801" s="35"/>
      <c r="F801" s="128"/>
      <c r="G801" s="128"/>
      <c r="H801" s="128">
        <v>1.0</v>
      </c>
      <c r="I801" s="127">
        <f t="shared" si="422"/>
        <v>1</v>
      </c>
      <c r="J801" s="88"/>
      <c r="K801" s="129">
        <f t="shared" si="423"/>
        <v>0</v>
      </c>
      <c r="L801" s="130">
        <v>0.0</v>
      </c>
      <c r="M801" s="129">
        <f t="shared" si="424"/>
        <v>780</v>
      </c>
      <c r="N801" s="130">
        <f t="shared" si="425"/>
        <v>1</v>
      </c>
      <c r="O801" s="131">
        <v>780.0</v>
      </c>
      <c r="P801" s="88"/>
      <c r="Q801" s="132">
        <f t="shared" si="426"/>
        <v>0</v>
      </c>
      <c r="R801" s="132">
        <f t="shared" si="427"/>
        <v>0</v>
      </c>
      <c r="S801" s="132">
        <f t="shared" si="428"/>
        <v>780</v>
      </c>
      <c r="T801" s="133">
        <f t="shared" si="429"/>
        <v>780</v>
      </c>
      <c r="U801" s="134">
        <f t="shared" si="430"/>
        <v>780</v>
      </c>
      <c r="V801" s="135"/>
      <c r="W801" s="136"/>
      <c r="X801" s="2"/>
      <c r="Y801" s="111"/>
      <c r="Z801" s="3"/>
    </row>
    <row r="802" ht="14.25" customHeight="1" outlineLevel="1">
      <c r="A802" s="124"/>
      <c r="B802" s="125" t="s">
        <v>1633</v>
      </c>
      <c r="C802" s="126" t="s">
        <v>1634</v>
      </c>
      <c r="D802" s="127"/>
      <c r="E802" s="35"/>
      <c r="F802" s="128"/>
      <c r="G802" s="128"/>
      <c r="H802" s="128">
        <v>1.0</v>
      </c>
      <c r="I802" s="127">
        <f t="shared" si="422"/>
        <v>1</v>
      </c>
      <c r="J802" s="88"/>
      <c r="K802" s="129">
        <f t="shared" si="423"/>
        <v>0</v>
      </c>
      <c r="L802" s="130">
        <v>0.0</v>
      </c>
      <c r="M802" s="129">
        <f t="shared" si="424"/>
        <v>270</v>
      </c>
      <c r="N802" s="130">
        <f t="shared" si="425"/>
        <v>1</v>
      </c>
      <c r="O802" s="131">
        <v>270.0</v>
      </c>
      <c r="P802" s="88"/>
      <c r="Q802" s="132">
        <f t="shared" si="426"/>
        <v>0</v>
      </c>
      <c r="R802" s="132">
        <f t="shared" si="427"/>
        <v>0</v>
      </c>
      <c r="S802" s="132">
        <f t="shared" si="428"/>
        <v>270</v>
      </c>
      <c r="T802" s="133">
        <f t="shared" si="429"/>
        <v>270</v>
      </c>
      <c r="U802" s="134">
        <f t="shared" si="430"/>
        <v>270</v>
      </c>
      <c r="V802" s="135"/>
      <c r="W802" s="136"/>
      <c r="X802" s="2"/>
      <c r="Y802" s="111"/>
      <c r="Z802" s="3"/>
    </row>
    <row r="803" ht="14.25" customHeight="1" outlineLevel="1">
      <c r="A803" s="124"/>
      <c r="B803" s="125" t="s">
        <v>1635</v>
      </c>
      <c r="C803" s="126" t="s">
        <v>1636</v>
      </c>
      <c r="D803" s="127"/>
      <c r="E803" s="35"/>
      <c r="F803" s="128"/>
      <c r="G803" s="128"/>
      <c r="H803" s="128">
        <v>1.0</v>
      </c>
      <c r="I803" s="127">
        <f t="shared" si="422"/>
        <v>1</v>
      </c>
      <c r="J803" s="88"/>
      <c r="K803" s="129">
        <f t="shared" si="423"/>
        <v>0</v>
      </c>
      <c r="L803" s="130">
        <v>0.0</v>
      </c>
      <c r="M803" s="129">
        <f t="shared" si="424"/>
        <v>570</v>
      </c>
      <c r="N803" s="130">
        <f t="shared" si="425"/>
        <v>1</v>
      </c>
      <c r="O803" s="131">
        <v>570.0</v>
      </c>
      <c r="P803" s="88"/>
      <c r="Q803" s="132">
        <f t="shared" si="426"/>
        <v>0</v>
      </c>
      <c r="R803" s="132">
        <f t="shared" si="427"/>
        <v>0</v>
      </c>
      <c r="S803" s="132">
        <f t="shared" si="428"/>
        <v>570</v>
      </c>
      <c r="T803" s="133">
        <f t="shared" si="429"/>
        <v>570</v>
      </c>
      <c r="U803" s="134">
        <f t="shared" si="430"/>
        <v>570</v>
      </c>
      <c r="V803" s="135"/>
      <c r="W803" s="136"/>
      <c r="X803" s="2"/>
      <c r="Y803" s="111"/>
      <c r="Z803" s="3"/>
    </row>
    <row r="804" ht="14.25" hidden="1" customHeight="1" outlineLevel="1">
      <c r="A804" s="124"/>
      <c r="B804" s="125"/>
      <c r="C804" s="126"/>
      <c r="D804" s="127"/>
      <c r="E804" s="35"/>
      <c r="F804" s="128"/>
      <c r="G804" s="128"/>
      <c r="H804" s="128"/>
      <c r="I804" s="127">
        <f t="shared" si="422"/>
        <v>0</v>
      </c>
      <c r="J804" s="88"/>
      <c r="K804" s="129">
        <f t="shared" si="423"/>
        <v>0</v>
      </c>
      <c r="L804" s="130">
        <v>0.0</v>
      </c>
      <c r="M804" s="129">
        <f t="shared" si="424"/>
        <v>0</v>
      </c>
      <c r="N804" s="130">
        <f t="shared" si="425"/>
        <v>1</v>
      </c>
      <c r="O804" s="131"/>
      <c r="P804" s="88"/>
      <c r="Q804" s="132">
        <f t="shared" si="426"/>
        <v>0</v>
      </c>
      <c r="R804" s="132">
        <f t="shared" si="427"/>
        <v>0</v>
      </c>
      <c r="S804" s="132">
        <f t="shared" si="428"/>
        <v>0</v>
      </c>
      <c r="T804" s="133">
        <f t="shared" si="429"/>
        <v>0</v>
      </c>
      <c r="U804" s="134">
        <f t="shared" si="430"/>
        <v>0</v>
      </c>
      <c r="V804" s="135"/>
      <c r="W804" s="136"/>
      <c r="X804" s="2"/>
      <c r="Y804" s="111"/>
      <c r="Z804" s="3"/>
    </row>
    <row r="805" ht="14.25" hidden="1" customHeight="1" outlineLevel="1">
      <c r="A805" s="124"/>
      <c r="B805" s="125"/>
      <c r="C805" s="126"/>
      <c r="D805" s="127"/>
      <c r="E805" s="35"/>
      <c r="F805" s="128"/>
      <c r="G805" s="128"/>
      <c r="H805" s="128"/>
      <c r="I805" s="127">
        <f t="shared" si="422"/>
        <v>0</v>
      </c>
      <c r="J805" s="88"/>
      <c r="K805" s="129">
        <f t="shared" si="423"/>
        <v>0</v>
      </c>
      <c r="L805" s="130">
        <v>0.0</v>
      </c>
      <c r="M805" s="129">
        <f t="shared" si="424"/>
        <v>0</v>
      </c>
      <c r="N805" s="130">
        <f t="shared" si="425"/>
        <v>1</v>
      </c>
      <c r="O805" s="131"/>
      <c r="P805" s="88"/>
      <c r="Q805" s="132">
        <f t="shared" si="426"/>
        <v>0</v>
      </c>
      <c r="R805" s="132">
        <f t="shared" si="427"/>
        <v>0</v>
      </c>
      <c r="S805" s="132">
        <f t="shared" si="428"/>
        <v>0</v>
      </c>
      <c r="T805" s="133">
        <f t="shared" si="429"/>
        <v>0</v>
      </c>
      <c r="U805" s="134">
        <f t="shared" si="430"/>
        <v>0</v>
      </c>
      <c r="V805" s="135"/>
      <c r="W805" s="136"/>
      <c r="X805" s="2"/>
      <c r="Y805" s="111"/>
      <c r="Z805" s="3"/>
    </row>
    <row r="806" ht="14.25" hidden="1" customHeight="1" outlineLevel="1">
      <c r="A806" s="124"/>
      <c r="B806" s="125"/>
      <c r="C806" s="126"/>
      <c r="D806" s="127"/>
      <c r="E806" s="35"/>
      <c r="F806" s="128"/>
      <c r="G806" s="128"/>
      <c r="H806" s="128"/>
      <c r="I806" s="127">
        <f t="shared" si="422"/>
        <v>0</v>
      </c>
      <c r="J806" s="88"/>
      <c r="K806" s="129">
        <f t="shared" si="423"/>
        <v>0</v>
      </c>
      <c r="L806" s="130">
        <v>0.0</v>
      </c>
      <c r="M806" s="129">
        <f t="shared" si="424"/>
        <v>0</v>
      </c>
      <c r="N806" s="130">
        <f t="shared" si="425"/>
        <v>1</v>
      </c>
      <c r="O806" s="131"/>
      <c r="P806" s="88"/>
      <c r="Q806" s="132">
        <f t="shared" si="426"/>
        <v>0</v>
      </c>
      <c r="R806" s="132">
        <f t="shared" si="427"/>
        <v>0</v>
      </c>
      <c r="S806" s="132">
        <f t="shared" si="428"/>
        <v>0</v>
      </c>
      <c r="T806" s="133">
        <f t="shared" si="429"/>
        <v>0</v>
      </c>
      <c r="U806" s="134">
        <f t="shared" si="430"/>
        <v>0</v>
      </c>
      <c r="V806" s="135"/>
      <c r="W806" s="136"/>
      <c r="X806" s="2"/>
      <c r="Y806" s="111"/>
      <c r="Z806" s="3"/>
    </row>
    <row r="807" ht="14.25" hidden="1" customHeight="1" outlineLevel="1">
      <c r="A807" s="124"/>
      <c r="B807" s="125"/>
      <c r="C807" s="126"/>
      <c r="D807" s="127"/>
      <c r="E807" s="35"/>
      <c r="F807" s="128"/>
      <c r="G807" s="128"/>
      <c r="H807" s="128"/>
      <c r="I807" s="127">
        <f t="shared" si="422"/>
        <v>0</v>
      </c>
      <c r="J807" s="88"/>
      <c r="K807" s="129">
        <f t="shared" si="423"/>
        <v>0</v>
      </c>
      <c r="L807" s="130">
        <v>0.0</v>
      </c>
      <c r="M807" s="129">
        <f t="shared" si="424"/>
        <v>0</v>
      </c>
      <c r="N807" s="130">
        <f t="shared" si="425"/>
        <v>1</v>
      </c>
      <c r="O807" s="131"/>
      <c r="P807" s="88"/>
      <c r="Q807" s="132">
        <f t="shared" si="426"/>
        <v>0</v>
      </c>
      <c r="R807" s="132">
        <f t="shared" si="427"/>
        <v>0</v>
      </c>
      <c r="S807" s="132">
        <f t="shared" si="428"/>
        <v>0</v>
      </c>
      <c r="T807" s="133">
        <f t="shared" si="429"/>
        <v>0</v>
      </c>
      <c r="U807" s="134">
        <f t="shared" si="430"/>
        <v>0</v>
      </c>
      <c r="V807" s="135"/>
      <c r="W807" s="136"/>
      <c r="X807" s="2"/>
      <c r="Y807" s="111"/>
      <c r="Z807" s="3"/>
    </row>
    <row r="808" ht="14.25" hidden="1" customHeight="1" outlineLevel="1">
      <c r="A808" s="124"/>
      <c r="B808" s="125"/>
      <c r="C808" s="126"/>
      <c r="D808" s="127"/>
      <c r="E808" s="35"/>
      <c r="F808" s="128"/>
      <c r="G808" s="128"/>
      <c r="H808" s="128"/>
      <c r="I808" s="127">
        <f t="shared" si="422"/>
        <v>0</v>
      </c>
      <c r="J808" s="88"/>
      <c r="K808" s="129">
        <f t="shared" si="423"/>
        <v>0</v>
      </c>
      <c r="L808" s="130">
        <v>0.0</v>
      </c>
      <c r="M808" s="129">
        <f t="shared" si="424"/>
        <v>0</v>
      </c>
      <c r="N808" s="130">
        <f t="shared" si="425"/>
        <v>1</v>
      </c>
      <c r="O808" s="131"/>
      <c r="P808" s="88"/>
      <c r="Q808" s="132">
        <f t="shared" si="426"/>
        <v>0</v>
      </c>
      <c r="R808" s="132">
        <f t="shared" si="427"/>
        <v>0</v>
      </c>
      <c r="S808" s="132">
        <f t="shared" si="428"/>
        <v>0</v>
      </c>
      <c r="T808" s="133">
        <f t="shared" si="429"/>
        <v>0</v>
      </c>
      <c r="U808" s="134">
        <f t="shared" si="430"/>
        <v>0</v>
      </c>
      <c r="V808" s="135"/>
      <c r="W808" s="136"/>
      <c r="X808" s="2"/>
      <c r="Y808" s="111"/>
      <c r="Z808" s="3"/>
    </row>
    <row r="809" ht="14.25" hidden="1" customHeight="1" outlineLevel="1">
      <c r="A809" s="124"/>
      <c r="B809" s="125"/>
      <c r="C809" s="126"/>
      <c r="D809" s="127"/>
      <c r="E809" s="35"/>
      <c r="F809" s="128"/>
      <c r="G809" s="128"/>
      <c r="H809" s="128"/>
      <c r="I809" s="127">
        <f t="shared" si="422"/>
        <v>0</v>
      </c>
      <c r="J809" s="88"/>
      <c r="K809" s="129">
        <f t="shared" si="423"/>
        <v>0</v>
      </c>
      <c r="L809" s="130">
        <v>0.0</v>
      </c>
      <c r="M809" s="129">
        <f t="shared" si="424"/>
        <v>0</v>
      </c>
      <c r="N809" s="130">
        <f t="shared" si="425"/>
        <v>1</v>
      </c>
      <c r="O809" s="131"/>
      <c r="P809" s="88"/>
      <c r="Q809" s="132">
        <f t="shared" si="426"/>
        <v>0</v>
      </c>
      <c r="R809" s="132">
        <f t="shared" si="427"/>
        <v>0</v>
      </c>
      <c r="S809" s="132">
        <f t="shared" si="428"/>
        <v>0</v>
      </c>
      <c r="T809" s="133">
        <f t="shared" si="429"/>
        <v>0</v>
      </c>
      <c r="U809" s="134">
        <f t="shared" si="430"/>
        <v>0</v>
      </c>
      <c r="V809" s="135"/>
      <c r="W809" s="136"/>
      <c r="X809" s="2"/>
      <c r="Y809" s="111"/>
      <c r="Z809" s="3"/>
    </row>
    <row r="810" ht="14.25" hidden="1" customHeight="1" outlineLevel="1">
      <c r="A810" s="124"/>
      <c r="B810" s="125"/>
      <c r="C810" s="126"/>
      <c r="D810" s="127"/>
      <c r="E810" s="35"/>
      <c r="F810" s="128"/>
      <c r="G810" s="128"/>
      <c r="H810" s="128"/>
      <c r="I810" s="127">
        <f t="shared" si="422"/>
        <v>0</v>
      </c>
      <c r="J810" s="88"/>
      <c r="K810" s="129">
        <f t="shared" si="423"/>
        <v>0</v>
      </c>
      <c r="L810" s="130">
        <v>0.0</v>
      </c>
      <c r="M810" s="129">
        <f t="shared" si="424"/>
        <v>0</v>
      </c>
      <c r="N810" s="130">
        <f t="shared" si="425"/>
        <v>1</v>
      </c>
      <c r="O810" s="131"/>
      <c r="P810" s="88"/>
      <c r="Q810" s="132">
        <f t="shared" si="426"/>
        <v>0</v>
      </c>
      <c r="R810" s="132">
        <f t="shared" si="427"/>
        <v>0</v>
      </c>
      <c r="S810" s="132">
        <f t="shared" si="428"/>
        <v>0</v>
      </c>
      <c r="T810" s="133">
        <f t="shared" si="429"/>
        <v>0</v>
      </c>
      <c r="U810" s="134">
        <f t="shared" si="430"/>
        <v>0</v>
      </c>
      <c r="V810" s="135"/>
      <c r="W810" s="136"/>
      <c r="X810" s="2"/>
      <c r="Y810" s="111"/>
      <c r="Z810" s="3"/>
    </row>
    <row r="811" ht="14.25" hidden="1" customHeight="1" outlineLevel="1">
      <c r="A811" s="124"/>
      <c r="B811" s="125"/>
      <c r="C811" s="126"/>
      <c r="D811" s="127"/>
      <c r="E811" s="35"/>
      <c r="F811" s="128"/>
      <c r="G811" s="128"/>
      <c r="H811" s="128"/>
      <c r="I811" s="127">
        <f t="shared" si="422"/>
        <v>0</v>
      </c>
      <c r="J811" s="88"/>
      <c r="K811" s="129">
        <f t="shared" si="423"/>
        <v>0</v>
      </c>
      <c r="L811" s="130">
        <v>0.0</v>
      </c>
      <c r="M811" s="129">
        <f t="shared" si="424"/>
        <v>0</v>
      </c>
      <c r="N811" s="130">
        <f t="shared" si="425"/>
        <v>1</v>
      </c>
      <c r="O811" s="131"/>
      <c r="P811" s="88"/>
      <c r="Q811" s="132">
        <f t="shared" si="426"/>
        <v>0</v>
      </c>
      <c r="R811" s="132">
        <f t="shared" si="427"/>
        <v>0</v>
      </c>
      <c r="S811" s="132">
        <f t="shared" si="428"/>
        <v>0</v>
      </c>
      <c r="T811" s="133">
        <f t="shared" si="429"/>
        <v>0</v>
      </c>
      <c r="U811" s="134">
        <f t="shared" si="430"/>
        <v>0</v>
      </c>
      <c r="V811" s="135"/>
      <c r="W811" s="136"/>
      <c r="X811" s="2"/>
      <c r="Y811" s="111"/>
      <c r="Z811" s="3"/>
    </row>
    <row r="812" ht="14.25" hidden="1" customHeight="1" outlineLevel="1">
      <c r="A812" s="124"/>
      <c r="B812" s="125"/>
      <c r="C812" s="126"/>
      <c r="D812" s="127"/>
      <c r="E812" s="35"/>
      <c r="F812" s="128"/>
      <c r="G812" s="128"/>
      <c r="H812" s="128"/>
      <c r="I812" s="127">
        <f t="shared" si="422"/>
        <v>0</v>
      </c>
      <c r="J812" s="88"/>
      <c r="K812" s="129">
        <f t="shared" si="423"/>
        <v>0</v>
      </c>
      <c r="L812" s="130">
        <v>0.0</v>
      </c>
      <c r="M812" s="129">
        <f t="shared" si="424"/>
        <v>0</v>
      </c>
      <c r="N812" s="130">
        <f t="shared" si="425"/>
        <v>1</v>
      </c>
      <c r="O812" s="131"/>
      <c r="P812" s="88"/>
      <c r="Q812" s="132">
        <f t="shared" si="426"/>
        <v>0</v>
      </c>
      <c r="R812" s="132">
        <f t="shared" si="427"/>
        <v>0</v>
      </c>
      <c r="S812" s="132">
        <f t="shared" si="428"/>
        <v>0</v>
      </c>
      <c r="T812" s="133">
        <f t="shared" si="429"/>
        <v>0</v>
      </c>
      <c r="U812" s="134">
        <f t="shared" si="430"/>
        <v>0</v>
      </c>
      <c r="V812" s="135"/>
      <c r="W812" s="136"/>
      <c r="X812" s="2"/>
      <c r="Y812" s="111"/>
      <c r="Z812" s="3"/>
    </row>
    <row r="813" ht="14.25" hidden="1" customHeight="1" outlineLevel="1">
      <c r="A813" s="124"/>
      <c r="B813" s="125"/>
      <c r="C813" s="126"/>
      <c r="D813" s="127"/>
      <c r="E813" s="35"/>
      <c r="F813" s="128"/>
      <c r="G813" s="128"/>
      <c r="H813" s="128"/>
      <c r="I813" s="127">
        <f t="shared" si="422"/>
        <v>0</v>
      </c>
      <c r="J813" s="88"/>
      <c r="K813" s="129">
        <f t="shared" si="423"/>
        <v>0</v>
      </c>
      <c r="L813" s="130">
        <v>0.0</v>
      </c>
      <c r="M813" s="129">
        <f t="shared" si="424"/>
        <v>0</v>
      </c>
      <c r="N813" s="130">
        <f t="shared" si="425"/>
        <v>1</v>
      </c>
      <c r="O813" s="131"/>
      <c r="P813" s="88"/>
      <c r="Q813" s="132">
        <f t="shared" si="426"/>
        <v>0</v>
      </c>
      <c r="R813" s="132">
        <f t="shared" si="427"/>
        <v>0</v>
      </c>
      <c r="S813" s="132">
        <f t="shared" si="428"/>
        <v>0</v>
      </c>
      <c r="T813" s="133">
        <f t="shared" si="429"/>
        <v>0</v>
      </c>
      <c r="U813" s="134">
        <f t="shared" si="430"/>
        <v>0</v>
      </c>
      <c r="V813" s="135"/>
      <c r="W813" s="136"/>
      <c r="X813" s="2"/>
      <c r="Y813" s="111"/>
      <c r="Z813" s="3"/>
    </row>
    <row r="814" ht="14.25" hidden="1" customHeight="1" outlineLevel="1">
      <c r="A814" s="124"/>
      <c r="B814" s="125"/>
      <c r="C814" s="126"/>
      <c r="D814" s="127"/>
      <c r="E814" s="35"/>
      <c r="F814" s="128"/>
      <c r="G814" s="128"/>
      <c r="H814" s="128"/>
      <c r="I814" s="127">
        <f t="shared" si="422"/>
        <v>0</v>
      </c>
      <c r="J814" s="88"/>
      <c r="K814" s="129">
        <f t="shared" si="423"/>
        <v>0</v>
      </c>
      <c r="L814" s="130">
        <v>0.0</v>
      </c>
      <c r="M814" s="129">
        <f t="shared" si="424"/>
        <v>0</v>
      </c>
      <c r="N814" s="130">
        <f t="shared" si="425"/>
        <v>1</v>
      </c>
      <c r="O814" s="131"/>
      <c r="P814" s="88"/>
      <c r="Q814" s="132">
        <f t="shared" si="426"/>
        <v>0</v>
      </c>
      <c r="R814" s="132">
        <f t="shared" si="427"/>
        <v>0</v>
      </c>
      <c r="S814" s="132">
        <f t="shared" si="428"/>
        <v>0</v>
      </c>
      <c r="T814" s="133">
        <f t="shared" si="429"/>
        <v>0</v>
      </c>
      <c r="U814" s="134">
        <f t="shared" si="430"/>
        <v>0</v>
      </c>
      <c r="V814" s="135"/>
      <c r="W814" s="136"/>
      <c r="X814" s="2"/>
      <c r="Y814" s="111"/>
      <c r="Z814" s="3"/>
    </row>
    <row r="815" ht="14.25" hidden="1" customHeight="1" outlineLevel="1">
      <c r="A815" s="124"/>
      <c r="B815" s="125"/>
      <c r="C815" s="126"/>
      <c r="D815" s="127"/>
      <c r="E815" s="35"/>
      <c r="F815" s="128"/>
      <c r="G815" s="128"/>
      <c r="H815" s="128"/>
      <c r="I815" s="127">
        <f t="shared" si="422"/>
        <v>0</v>
      </c>
      <c r="J815" s="88"/>
      <c r="K815" s="129">
        <f t="shared" si="423"/>
        <v>0</v>
      </c>
      <c r="L815" s="130">
        <v>0.0</v>
      </c>
      <c r="M815" s="129">
        <f t="shared" si="424"/>
        <v>0</v>
      </c>
      <c r="N815" s="130">
        <f t="shared" si="425"/>
        <v>1</v>
      </c>
      <c r="O815" s="131"/>
      <c r="P815" s="88"/>
      <c r="Q815" s="132">
        <f t="shared" si="426"/>
        <v>0</v>
      </c>
      <c r="R815" s="132">
        <f t="shared" si="427"/>
        <v>0</v>
      </c>
      <c r="S815" s="132">
        <f t="shared" si="428"/>
        <v>0</v>
      </c>
      <c r="T815" s="133">
        <f t="shared" si="429"/>
        <v>0</v>
      </c>
      <c r="U815" s="134">
        <f t="shared" si="430"/>
        <v>0</v>
      </c>
      <c r="V815" s="135"/>
      <c r="W815" s="136"/>
      <c r="X815" s="2"/>
      <c r="Y815" s="111"/>
      <c r="Z815" s="3"/>
    </row>
    <row r="816" ht="14.25" hidden="1" customHeight="1" outlineLevel="1">
      <c r="A816" s="124"/>
      <c r="B816" s="125"/>
      <c r="C816" s="126"/>
      <c r="D816" s="127"/>
      <c r="E816" s="35"/>
      <c r="F816" s="128"/>
      <c r="G816" s="128"/>
      <c r="H816" s="128"/>
      <c r="I816" s="127">
        <f t="shared" si="422"/>
        <v>0</v>
      </c>
      <c r="J816" s="88"/>
      <c r="K816" s="129">
        <f t="shared" si="423"/>
        <v>0</v>
      </c>
      <c r="L816" s="130">
        <v>0.0</v>
      </c>
      <c r="M816" s="129">
        <f t="shared" si="424"/>
        <v>0</v>
      </c>
      <c r="N816" s="130">
        <f t="shared" si="425"/>
        <v>1</v>
      </c>
      <c r="O816" s="131"/>
      <c r="P816" s="88"/>
      <c r="Q816" s="132">
        <f t="shared" si="426"/>
        <v>0</v>
      </c>
      <c r="R816" s="132">
        <f t="shared" si="427"/>
        <v>0</v>
      </c>
      <c r="S816" s="132">
        <f t="shared" si="428"/>
        <v>0</v>
      </c>
      <c r="T816" s="133">
        <f t="shared" si="429"/>
        <v>0</v>
      </c>
      <c r="U816" s="134">
        <f t="shared" si="430"/>
        <v>0</v>
      </c>
      <c r="V816" s="135"/>
      <c r="W816" s="136"/>
      <c r="X816" s="2"/>
      <c r="Y816" s="111"/>
      <c r="Z816" s="3"/>
    </row>
    <row r="817" ht="14.25" hidden="1" customHeight="1" outlineLevel="1">
      <c r="A817" s="124"/>
      <c r="B817" s="125"/>
      <c r="C817" s="126"/>
      <c r="D817" s="127"/>
      <c r="E817" s="35"/>
      <c r="F817" s="128"/>
      <c r="G817" s="128"/>
      <c r="H817" s="128"/>
      <c r="I817" s="127">
        <f t="shared" si="422"/>
        <v>0</v>
      </c>
      <c r="J817" s="88"/>
      <c r="K817" s="129">
        <f t="shared" si="423"/>
        <v>0</v>
      </c>
      <c r="L817" s="130">
        <v>0.0</v>
      </c>
      <c r="M817" s="129">
        <f t="shared" si="424"/>
        <v>0</v>
      </c>
      <c r="N817" s="130">
        <f t="shared" si="425"/>
        <v>1</v>
      </c>
      <c r="O817" s="131"/>
      <c r="P817" s="88"/>
      <c r="Q817" s="132">
        <f t="shared" si="426"/>
        <v>0</v>
      </c>
      <c r="R817" s="132">
        <f t="shared" si="427"/>
        <v>0</v>
      </c>
      <c r="S817" s="132">
        <f t="shared" si="428"/>
        <v>0</v>
      </c>
      <c r="T817" s="133">
        <f t="shared" si="429"/>
        <v>0</v>
      </c>
      <c r="U817" s="134">
        <f t="shared" si="430"/>
        <v>0</v>
      </c>
      <c r="V817" s="135"/>
      <c r="W817" s="136"/>
      <c r="X817" s="2"/>
      <c r="Y817" s="111"/>
      <c r="Z817" s="3"/>
    </row>
    <row r="818" ht="14.25" hidden="1" customHeight="1" outlineLevel="1">
      <c r="A818" s="124"/>
      <c r="B818" s="125"/>
      <c r="C818" s="126"/>
      <c r="D818" s="127"/>
      <c r="E818" s="35"/>
      <c r="F818" s="128"/>
      <c r="G818" s="128"/>
      <c r="H818" s="128"/>
      <c r="I818" s="127">
        <f t="shared" si="422"/>
        <v>0</v>
      </c>
      <c r="J818" s="88"/>
      <c r="K818" s="129">
        <f t="shared" si="423"/>
        <v>0</v>
      </c>
      <c r="L818" s="130">
        <v>0.0</v>
      </c>
      <c r="M818" s="129">
        <f t="shared" si="424"/>
        <v>0</v>
      </c>
      <c r="N818" s="130">
        <f t="shared" si="425"/>
        <v>1</v>
      </c>
      <c r="O818" s="131"/>
      <c r="P818" s="88"/>
      <c r="Q818" s="132">
        <f t="shared" si="426"/>
        <v>0</v>
      </c>
      <c r="R818" s="132">
        <f t="shared" si="427"/>
        <v>0</v>
      </c>
      <c r="S818" s="132">
        <f t="shared" si="428"/>
        <v>0</v>
      </c>
      <c r="T818" s="133">
        <f t="shared" si="429"/>
        <v>0</v>
      </c>
      <c r="U818" s="134">
        <f t="shared" si="430"/>
        <v>0</v>
      </c>
      <c r="V818" s="135"/>
      <c r="W818" s="136"/>
      <c r="X818" s="2"/>
      <c r="Y818" s="111"/>
      <c r="Z818" s="3"/>
    </row>
    <row r="819" ht="14.25" hidden="1" customHeight="1" outlineLevel="1">
      <c r="A819" s="124"/>
      <c r="B819" s="125"/>
      <c r="C819" s="126"/>
      <c r="D819" s="127"/>
      <c r="E819" s="35"/>
      <c r="F819" s="128"/>
      <c r="G819" s="128"/>
      <c r="H819" s="128"/>
      <c r="I819" s="127">
        <f t="shared" si="422"/>
        <v>0</v>
      </c>
      <c r="J819" s="88"/>
      <c r="K819" s="129">
        <f t="shared" si="423"/>
        <v>0</v>
      </c>
      <c r="L819" s="130">
        <v>0.0</v>
      </c>
      <c r="M819" s="129">
        <f t="shared" si="424"/>
        <v>0</v>
      </c>
      <c r="N819" s="130">
        <f t="shared" si="425"/>
        <v>1</v>
      </c>
      <c r="O819" s="131"/>
      <c r="P819" s="88"/>
      <c r="Q819" s="132">
        <f t="shared" si="426"/>
        <v>0</v>
      </c>
      <c r="R819" s="132">
        <f t="shared" si="427"/>
        <v>0</v>
      </c>
      <c r="S819" s="132">
        <f t="shared" si="428"/>
        <v>0</v>
      </c>
      <c r="T819" s="133">
        <f t="shared" si="429"/>
        <v>0</v>
      </c>
      <c r="U819" s="134">
        <f t="shared" si="430"/>
        <v>0</v>
      </c>
      <c r="V819" s="135"/>
      <c r="W819" s="136"/>
      <c r="X819" s="2"/>
      <c r="Y819" s="111"/>
      <c r="Z819" s="3"/>
    </row>
    <row r="820" ht="14.25" hidden="1" customHeight="1" outlineLevel="1">
      <c r="A820" s="124"/>
      <c r="B820" s="125"/>
      <c r="C820" s="126"/>
      <c r="D820" s="127"/>
      <c r="E820" s="35"/>
      <c r="F820" s="128"/>
      <c r="G820" s="128"/>
      <c r="H820" s="128"/>
      <c r="I820" s="127">
        <f t="shared" si="422"/>
        <v>0</v>
      </c>
      <c r="J820" s="88"/>
      <c r="K820" s="129">
        <f t="shared" si="423"/>
        <v>0</v>
      </c>
      <c r="L820" s="130">
        <v>0.0</v>
      </c>
      <c r="M820" s="129">
        <f t="shared" si="424"/>
        <v>0</v>
      </c>
      <c r="N820" s="130">
        <f t="shared" si="425"/>
        <v>1</v>
      </c>
      <c r="O820" s="131"/>
      <c r="P820" s="88"/>
      <c r="Q820" s="132">
        <f t="shared" si="426"/>
        <v>0</v>
      </c>
      <c r="R820" s="132">
        <f t="shared" si="427"/>
        <v>0</v>
      </c>
      <c r="S820" s="132">
        <f t="shared" si="428"/>
        <v>0</v>
      </c>
      <c r="T820" s="133">
        <f t="shared" si="429"/>
        <v>0</v>
      </c>
      <c r="U820" s="134">
        <f t="shared" si="430"/>
        <v>0</v>
      </c>
      <c r="V820" s="135"/>
      <c r="W820" s="136"/>
      <c r="X820" s="2"/>
      <c r="Y820" s="111"/>
      <c r="Z820" s="3"/>
    </row>
    <row r="821" ht="14.25" hidden="1" customHeight="1" outlineLevel="1">
      <c r="A821" s="124"/>
      <c r="B821" s="125"/>
      <c r="C821" s="126"/>
      <c r="D821" s="127"/>
      <c r="E821" s="35"/>
      <c r="F821" s="128"/>
      <c r="G821" s="128"/>
      <c r="H821" s="128"/>
      <c r="I821" s="127">
        <f t="shared" si="422"/>
        <v>0</v>
      </c>
      <c r="J821" s="88"/>
      <c r="K821" s="129">
        <f t="shared" si="423"/>
        <v>0</v>
      </c>
      <c r="L821" s="130">
        <v>0.0</v>
      </c>
      <c r="M821" s="129">
        <f t="shared" si="424"/>
        <v>0</v>
      </c>
      <c r="N821" s="130">
        <f t="shared" si="425"/>
        <v>1</v>
      </c>
      <c r="O821" s="131"/>
      <c r="P821" s="88"/>
      <c r="Q821" s="132">
        <f t="shared" si="426"/>
        <v>0</v>
      </c>
      <c r="R821" s="132">
        <f t="shared" si="427"/>
        <v>0</v>
      </c>
      <c r="S821" s="132">
        <f t="shared" si="428"/>
        <v>0</v>
      </c>
      <c r="T821" s="133">
        <f t="shared" si="429"/>
        <v>0</v>
      </c>
      <c r="U821" s="134">
        <f t="shared" si="430"/>
        <v>0</v>
      </c>
      <c r="V821" s="135"/>
      <c r="W821" s="136"/>
      <c r="X821" s="2"/>
      <c r="Y821" s="111"/>
      <c r="Z821" s="3"/>
    </row>
    <row r="822" ht="14.25" hidden="1" customHeight="1" outlineLevel="1">
      <c r="A822" s="124"/>
      <c r="B822" s="125"/>
      <c r="C822" s="126"/>
      <c r="D822" s="127"/>
      <c r="E822" s="35"/>
      <c r="F822" s="128"/>
      <c r="G822" s="128"/>
      <c r="H822" s="128"/>
      <c r="I822" s="127">
        <f t="shared" si="422"/>
        <v>0</v>
      </c>
      <c r="J822" s="88"/>
      <c r="K822" s="129">
        <f t="shared" si="423"/>
        <v>0</v>
      </c>
      <c r="L822" s="130">
        <v>0.0</v>
      </c>
      <c r="M822" s="129">
        <f t="shared" si="424"/>
        <v>0</v>
      </c>
      <c r="N822" s="130">
        <f t="shared" si="425"/>
        <v>1</v>
      </c>
      <c r="O822" s="131"/>
      <c r="P822" s="88"/>
      <c r="Q822" s="132">
        <f t="shared" si="426"/>
        <v>0</v>
      </c>
      <c r="R822" s="132">
        <f t="shared" si="427"/>
        <v>0</v>
      </c>
      <c r="S822" s="132">
        <f t="shared" si="428"/>
        <v>0</v>
      </c>
      <c r="T822" s="133">
        <f t="shared" si="429"/>
        <v>0</v>
      </c>
      <c r="U822" s="134">
        <f t="shared" si="430"/>
        <v>0</v>
      </c>
      <c r="V822" s="135"/>
      <c r="W822" s="136"/>
      <c r="X822" s="2"/>
      <c r="Y822" s="111"/>
      <c r="Z822" s="3"/>
    </row>
    <row r="823" ht="14.25" hidden="1" customHeight="1" outlineLevel="1">
      <c r="A823" s="124"/>
      <c r="B823" s="125"/>
      <c r="C823" s="126"/>
      <c r="D823" s="127"/>
      <c r="E823" s="35"/>
      <c r="F823" s="128"/>
      <c r="G823" s="128"/>
      <c r="H823" s="128"/>
      <c r="I823" s="127">
        <f t="shared" si="422"/>
        <v>0</v>
      </c>
      <c r="J823" s="88"/>
      <c r="K823" s="129">
        <f t="shared" si="423"/>
        <v>0</v>
      </c>
      <c r="L823" s="130">
        <v>0.0</v>
      </c>
      <c r="M823" s="129">
        <f t="shared" si="424"/>
        <v>0</v>
      </c>
      <c r="N823" s="130">
        <f t="shared" si="425"/>
        <v>1</v>
      </c>
      <c r="O823" s="131"/>
      <c r="P823" s="88"/>
      <c r="Q823" s="132">
        <f t="shared" si="426"/>
        <v>0</v>
      </c>
      <c r="R823" s="132">
        <f t="shared" si="427"/>
        <v>0</v>
      </c>
      <c r="S823" s="132">
        <f t="shared" si="428"/>
        <v>0</v>
      </c>
      <c r="T823" s="133">
        <f t="shared" si="429"/>
        <v>0</v>
      </c>
      <c r="U823" s="134">
        <f t="shared" si="430"/>
        <v>0</v>
      </c>
      <c r="V823" s="135"/>
      <c r="W823" s="136"/>
      <c r="X823" s="2"/>
      <c r="Y823" s="111"/>
      <c r="Z823" s="3"/>
    </row>
    <row r="824" ht="14.25" hidden="1" customHeight="1" outlineLevel="1">
      <c r="A824" s="124"/>
      <c r="B824" s="125"/>
      <c r="C824" s="126"/>
      <c r="D824" s="127"/>
      <c r="E824" s="35"/>
      <c r="F824" s="128"/>
      <c r="G824" s="128"/>
      <c r="H824" s="128"/>
      <c r="I824" s="127">
        <f t="shared" si="422"/>
        <v>0</v>
      </c>
      <c r="J824" s="88"/>
      <c r="K824" s="129">
        <f t="shared" si="423"/>
        <v>0</v>
      </c>
      <c r="L824" s="130">
        <v>0.0</v>
      </c>
      <c r="M824" s="129">
        <f t="shared" si="424"/>
        <v>0</v>
      </c>
      <c r="N824" s="130">
        <f t="shared" si="425"/>
        <v>1</v>
      </c>
      <c r="O824" s="131"/>
      <c r="P824" s="88"/>
      <c r="Q824" s="132">
        <f t="shared" si="426"/>
        <v>0</v>
      </c>
      <c r="R824" s="132">
        <f t="shared" si="427"/>
        <v>0</v>
      </c>
      <c r="S824" s="132">
        <f t="shared" si="428"/>
        <v>0</v>
      </c>
      <c r="T824" s="133">
        <f t="shared" si="429"/>
        <v>0</v>
      </c>
      <c r="U824" s="134">
        <f t="shared" si="430"/>
        <v>0</v>
      </c>
      <c r="V824" s="135"/>
      <c r="W824" s="136"/>
      <c r="X824" s="2"/>
      <c r="Y824" s="111"/>
      <c r="Z824" s="3"/>
    </row>
    <row r="825" ht="14.25" hidden="1" customHeight="1" outlineLevel="1">
      <c r="A825" s="124"/>
      <c r="B825" s="125"/>
      <c r="C825" s="126"/>
      <c r="D825" s="127"/>
      <c r="E825" s="35"/>
      <c r="F825" s="128"/>
      <c r="G825" s="128"/>
      <c r="H825" s="128"/>
      <c r="I825" s="127">
        <f t="shared" si="422"/>
        <v>0</v>
      </c>
      <c r="J825" s="88"/>
      <c r="K825" s="129">
        <f t="shared" si="423"/>
        <v>0</v>
      </c>
      <c r="L825" s="130">
        <v>0.0</v>
      </c>
      <c r="M825" s="129">
        <f t="shared" si="424"/>
        <v>0</v>
      </c>
      <c r="N825" s="130">
        <f t="shared" si="425"/>
        <v>1</v>
      </c>
      <c r="O825" s="131"/>
      <c r="P825" s="88"/>
      <c r="Q825" s="132">
        <f t="shared" si="426"/>
        <v>0</v>
      </c>
      <c r="R825" s="132">
        <f t="shared" si="427"/>
        <v>0</v>
      </c>
      <c r="S825" s="132">
        <f t="shared" si="428"/>
        <v>0</v>
      </c>
      <c r="T825" s="133">
        <f t="shared" si="429"/>
        <v>0</v>
      </c>
      <c r="U825" s="134">
        <f t="shared" si="430"/>
        <v>0</v>
      </c>
      <c r="V825" s="135"/>
      <c r="W825" s="136"/>
      <c r="X825" s="2"/>
      <c r="Y825" s="111"/>
      <c r="Z825" s="3"/>
    </row>
    <row r="826" ht="14.25" hidden="1" customHeight="1" outlineLevel="1">
      <c r="A826" s="124"/>
      <c r="B826" s="125"/>
      <c r="C826" s="126"/>
      <c r="D826" s="127"/>
      <c r="E826" s="35"/>
      <c r="F826" s="128"/>
      <c r="G826" s="128"/>
      <c r="H826" s="128"/>
      <c r="I826" s="127">
        <f t="shared" si="422"/>
        <v>0</v>
      </c>
      <c r="J826" s="88"/>
      <c r="K826" s="129">
        <f t="shared" si="423"/>
        <v>0</v>
      </c>
      <c r="L826" s="130">
        <v>0.0</v>
      </c>
      <c r="M826" s="129">
        <f t="shared" si="424"/>
        <v>0</v>
      </c>
      <c r="N826" s="130">
        <f t="shared" si="425"/>
        <v>1</v>
      </c>
      <c r="O826" s="131"/>
      <c r="P826" s="88"/>
      <c r="Q826" s="132">
        <f t="shared" si="426"/>
        <v>0</v>
      </c>
      <c r="R826" s="132">
        <f t="shared" si="427"/>
        <v>0</v>
      </c>
      <c r="S826" s="132">
        <f t="shared" si="428"/>
        <v>0</v>
      </c>
      <c r="T826" s="133">
        <f t="shared" si="429"/>
        <v>0</v>
      </c>
      <c r="U826" s="134">
        <f t="shared" si="430"/>
        <v>0</v>
      </c>
      <c r="V826" s="135"/>
      <c r="W826" s="136"/>
      <c r="X826" s="2"/>
      <c r="Y826" s="111"/>
      <c r="Z826" s="3"/>
    </row>
    <row r="827" ht="14.25" hidden="1" customHeight="1" outlineLevel="1">
      <c r="A827" s="124"/>
      <c r="B827" s="125"/>
      <c r="C827" s="126"/>
      <c r="D827" s="127"/>
      <c r="E827" s="35"/>
      <c r="F827" s="128"/>
      <c r="G827" s="128"/>
      <c r="H827" s="128"/>
      <c r="I827" s="127">
        <f t="shared" si="422"/>
        <v>0</v>
      </c>
      <c r="J827" s="88"/>
      <c r="K827" s="129">
        <f t="shared" si="423"/>
        <v>0</v>
      </c>
      <c r="L827" s="130">
        <v>0.0</v>
      </c>
      <c r="M827" s="129">
        <f t="shared" si="424"/>
        <v>0</v>
      </c>
      <c r="N827" s="130">
        <f t="shared" si="425"/>
        <v>1</v>
      </c>
      <c r="O827" s="131"/>
      <c r="P827" s="88"/>
      <c r="Q827" s="132">
        <f t="shared" si="426"/>
        <v>0</v>
      </c>
      <c r="R827" s="132">
        <f t="shared" si="427"/>
        <v>0</v>
      </c>
      <c r="S827" s="132">
        <f t="shared" si="428"/>
        <v>0</v>
      </c>
      <c r="T827" s="133">
        <f t="shared" si="429"/>
        <v>0</v>
      </c>
      <c r="U827" s="134">
        <f t="shared" si="430"/>
        <v>0</v>
      </c>
      <c r="V827" s="135"/>
      <c r="W827" s="136"/>
      <c r="X827" s="2"/>
      <c r="Y827" s="111"/>
      <c r="Z827" s="3"/>
    </row>
    <row r="828" ht="14.25" hidden="1" customHeight="1" outlineLevel="1">
      <c r="A828" s="124"/>
      <c r="B828" s="125"/>
      <c r="C828" s="126"/>
      <c r="D828" s="127"/>
      <c r="E828" s="35"/>
      <c r="F828" s="128"/>
      <c r="G828" s="128"/>
      <c r="H828" s="128"/>
      <c r="I828" s="127">
        <f t="shared" si="422"/>
        <v>0</v>
      </c>
      <c r="J828" s="88"/>
      <c r="K828" s="129">
        <f t="shared" si="423"/>
        <v>0</v>
      </c>
      <c r="L828" s="130">
        <v>0.0</v>
      </c>
      <c r="M828" s="129">
        <f t="shared" si="424"/>
        <v>0</v>
      </c>
      <c r="N828" s="130">
        <f t="shared" si="425"/>
        <v>1</v>
      </c>
      <c r="O828" s="131"/>
      <c r="P828" s="88"/>
      <c r="Q828" s="132">
        <f t="shared" si="426"/>
        <v>0</v>
      </c>
      <c r="R828" s="132">
        <f t="shared" si="427"/>
        <v>0</v>
      </c>
      <c r="S828" s="132">
        <f t="shared" si="428"/>
        <v>0</v>
      </c>
      <c r="T828" s="133">
        <f t="shared" si="429"/>
        <v>0</v>
      </c>
      <c r="U828" s="134">
        <f t="shared" si="430"/>
        <v>0</v>
      </c>
      <c r="V828" s="135"/>
      <c r="W828" s="136"/>
      <c r="X828" s="2"/>
      <c r="Y828" s="111"/>
      <c r="Z828" s="3"/>
    </row>
    <row r="829" ht="14.25" hidden="1" customHeight="1" outlineLevel="1">
      <c r="A829" s="124"/>
      <c r="B829" s="125"/>
      <c r="C829" s="126"/>
      <c r="D829" s="127"/>
      <c r="E829" s="35"/>
      <c r="F829" s="128"/>
      <c r="G829" s="128"/>
      <c r="H829" s="128"/>
      <c r="I829" s="127">
        <f t="shared" si="422"/>
        <v>0</v>
      </c>
      <c r="J829" s="88"/>
      <c r="K829" s="129">
        <f t="shared" si="423"/>
        <v>0</v>
      </c>
      <c r="L829" s="130">
        <v>0.0</v>
      </c>
      <c r="M829" s="129">
        <f t="shared" si="424"/>
        <v>0</v>
      </c>
      <c r="N829" s="130">
        <f t="shared" si="425"/>
        <v>1</v>
      </c>
      <c r="O829" s="131"/>
      <c r="P829" s="88"/>
      <c r="Q829" s="132">
        <f t="shared" si="426"/>
        <v>0</v>
      </c>
      <c r="R829" s="132">
        <f t="shared" si="427"/>
        <v>0</v>
      </c>
      <c r="S829" s="132">
        <f t="shared" si="428"/>
        <v>0</v>
      </c>
      <c r="T829" s="133">
        <f t="shared" si="429"/>
        <v>0</v>
      </c>
      <c r="U829" s="134">
        <f t="shared" si="430"/>
        <v>0</v>
      </c>
      <c r="V829" s="135"/>
      <c r="W829" s="136"/>
      <c r="X829" s="2"/>
      <c r="Y829" s="111"/>
      <c r="Z829" s="3"/>
    </row>
    <row r="830" ht="14.25" hidden="1" customHeight="1" outlineLevel="1">
      <c r="A830" s="124"/>
      <c r="B830" s="125"/>
      <c r="C830" s="126"/>
      <c r="D830" s="127"/>
      <c r="E830" s="35"/>
      <c r="F830" s="128"/>
      <c r="G830" s="128"/>
      <c r="H830" s="128"/>
      <c r="I830" s="127">
        <f t="shared" si="422"/>
        <v>0</v>
      </c>
      <c r="J830" s="88"/>
      <c r="K830" s="129">
        <f t="shared" si="423"/>
        <v>0</v>
      </c>
      <c r="L830" s="130">
        <v>0.0</v>
      </c>
      <c r="M830" s="129">
        <f t="shared" si="424"/>
        <v>0</v>
      </c>
      <c r="N830" s="130">
        <f t="shared" si="425"/>
        <v>1</v>
      </c>
      <c r="O830" s="131"/>
      <c r="P830" s="88"/>
      <c r="Q830" s="132">
        <f t="shared" si="426"/>
        <v>0</v>
      </c>
      <c r="R830" s="132">
        <f t="shared" si="427"/>
        <v>0</v>
      </c>
      <c r="S830" s="132">
        <f t="shared" si="428"/>
        <v>0</v>
      </c>
      <c r="T830" s="133">
        <f t="shared" si="429"/>
        <v>0</v>
      </c>
      <c r="U830" s="134">
        <f t="shared" si="430"/>
        <v>0</v>
      </c>
      <c r="V830" s="135"/>
      <c r="W830" s="136"/>
      <c r="X830" s="2"/>
      <c r="Y830" s="111"/>
      <c r="Z830" s="3"/>
    </row>
    <row r="831" ht="14.25" hidden="1" customHeight="1" outlineLevel="1">
      <c r="A831" s="124"/>
      <c r="B831" s="125"/>
      <c r="C831" s="126"/>
      <c r="D831" s="127"/>
      <c r="E831" s="35"/>
      <c r="F831" s="128"/>
      <c r="G831" s="128"/>
      <c r="H831" s="128"/>
      <c r="I831" s="127">
        <f t="shared" si="422"/>
        <v>0</v>
      </c>
      <c r="J831" s="88"/>
      <c r="K831" s="129">
        <f t="shared" si="423"/>
        <v>0</v>
      </c>
      <c r="L831" s="130">
        <v>0.0</v>
      </c>
      <c r="M831" s="129">
        <f t="shared" si="424"/>
        <v>0</v>
      </c>
      <c r="N831" s="130">
        <f t="shared" si="425"/>
        <v>1</v>
      </c>
      <c r="O831" s="131"/>
      <c r="P831" s="88"/>
      <c r="Q831" s="132">
        <f t="shared" si="426"/>
        <v>0</v>
      </c>
      <c r="R831" s="132">
        <f t="shared" si="427"/>
        <v>0</v>
      </c>
      <c r="S831" s="132">
        <f t="shared" si="428"/>
        <v>0</v>
      </c>
      <c r="T831" s="133">
        <f t="shared" si="429"/>
        <v>0</v>
      </c>
      <c r="U831" s="134">
        <f t="shared" si="430"/>
        <v>0</v>
      </c>
      <c r="V831" s="135"/>
      <c r="W831" s="136"/>
      <c r="X831" s="2"/>
      <c r="Y831" s="111"/>
      <c r="Z831" s="3"/>
    </row>
    <row r="832" ht="14.25" hidden="1" customHeight="1" outlineLevel="1">
      <c r="A832" s="124"/>
      <c r="B832" s="125"/>
      <c r="C832" s="126"/>
      <c r="D832" s="127"/>
      <c r="E832" s="35"/>
      <c r="F832" s="128"/>
      <c r="G832" s="128"/>
      <c r="H832" s="128"/>
      <c r="I832" s="127">
        <f t="shared" si="422"/>
        <v>0</v>
      </c>
      <c r="J832" s="88"/>
      <c r="K832" s="129">
        <f t="shared" si="423"/>
        <v>0</v>
      </c>
      <c r="L832" s="130">
        <v>0.0</v>
      </c>
      <c r="M832" s="129">
        <f t="shared" si="424"/>
        <v>0</v>
      </c>
      <c r="N832" s="130">
        <f t="shared" si="425"/>
        <v>1</v>
      </c>
      <c r="O832" s="131"/>
      <c r="P832" s="88"/>
      <c r="Q832" s="132">
        <f t="shared" si="426"/>
        <v>0</v>
      </c>
      <c r="R832" s="132">
        <f t="shared" si="427"/>
        <v>0</v>
      </c>
      <c r="S832" s="132">
        <f t="shared" si="428"/>
        <v>0</v>
      </c>
      <c r="T832" s="133">
        <f t="shared" si="429"/>
        <v>0</v>
      </c>
      <c r="U832" s="134">
        <f t="shared" si="430"/>
        <v>0</v>
      </c>
      <c r="V832" s="135"/>
      <c r="W832" s="136"/>
      <c r="X832" s="2"/>
      <c r="Y832" s="111"/>
      <c r="Z832" s="3"/>
    </row>
    <row r="833" ht="14.25" hidden="1" customHeight="1" outlineLevel="1">
      <c r="A833" s="124"/>
      <c r="B833" s="125"/>
      <c r="C833" s="126"/>
      <c r="D833" s="127"/>
      <c r="E833" s="35"/>
      <c r="F833" s="128"/>
      <c r="G833" s="128"/>
      <c r="H833" s="128"/>
      <c r="I833" s="127">
        <f t="shared" si="422"/>
        <v>0</v>
      </c>
      <c r="J833" s="88"/>
      <c r="K833" s="129">
        <f t="shared" si="423"/>
        <v>0</v>
      </c>
      <c r="L833" s="130">
        <v>0.0</v>
      </c>
      <c r="M833" s="129">
        <f t="shared" si="424"/>
        <v>0</v>
      </c>
      <c r="N833" s="130">
        <f t="shared" si="425"/>
        <v>1</v>
      </c>
      <c r="O833" s="131"/>
      <c r="P833" s="88"/>
      <c r="Q833" s="132">
        <f t="shared" si="426"/>
        <v>0</v>
      </c>
      <c r="R833" s="132">
        <f t="shared" si="427"/>
        <v>0</v>
      </c>
      <c r="S833" s="132">
        <f t="shared" si="428"/>
        <v>0</v>
      </c>
      <c r="T833" s="133">
        <f t="shared" si="429"/>
        <v>0</v>
      </c>
      <c r="U833" s="134">
        <f t="shared" si="430"/>
        <v>0</v>
      </c>
      <c r="V833" s="135"/>
      <c r="W833" s="136"/>
      <c r="X833" s="2"/>
      <c r="Y833" s="111"/>
      <c r="Z833" s="3"/>
    </row>
    <row r="834" ht="14.25" hidden="1" customHeight="1" outlineLevel="1">
      <c r="A834" s="124"/>
      <c r="B834" s="125"/>
      <c r="C834" s="126"/>
      <c r="D834" s="127"/>
      <c r="E834" s="35"/>
      <c r="F834" s="128"/>
      <c r="G834" s="128"/>
      <c r="H834" s="128"/>
      <c r="I834" s="127">
        <f t="shared" si="422"/>
        <v>0</v>
      </c>
      <c r="J834" s="88"/>
      <c r="K834" s="129">
        <f t="shared" si="423"/>
        <v>0</v>
      </c>
      <c r="L834" s="130">
        <v>0.0</v>
      </c>
      <c r="M834" s="129">
        <f t="shared" si="424"/>
        <v>0</v>
      </c>
      <c r="N834" s="130">
        <f t="shared" si="425"/>
        <v>1</v>
      </c>
      <c r="O834" s="131"/>
      <c r="P834" s="88"/>
      <c r="Q834" s="132">
        <f t="shared" si="426"/>
        <v>0</v>
      </c>
      <c r="R834" s="132">
        <f t="shared" si="427"/>
        <v>0</v>
      </c>
      <c r="S834" s="132">
        <f t="shared" si="428"/>
        <v>0</v>
      </c>
      <c r="T834" s="133">
        <f t="shared" si="429"/>
        <v>0</v>
      </c>
      <c r="U834" s="134">
        <f t="shared" si="430"/>
        <v>0</v>
      </c>
      <c r="V834" s="135"/>
      <c r="W834" s="136"/>
      <c r="X834" s="2"/>
      <c r="Y834" s="111"/>
      <c r="Z834" s="3"/>
    </row>
    <row r="835" ht="14.25" hidden="1" customHeight="1" outlineLevel="1">
      <c r="A835" s="124"/>
      <c r="B835" s="125"/>
      <c r="C835" s="126"/>
      <c r="D835" s="127"/>
      <c r="E835" s="35"/>
      <c r="F835" s="128"/>
      <c r="G835" s="128"/>
      <c r="H835" s="128"/>
      <c r="I835" s="127">
        <f t="shared" si="422"/>
        <v>0</v>
      </c>
      <c r="J835" s="88"/>
      <c r="K835" s="129">
        <f t="shared" si="423"/>
        <v>0</v>
      </c>
      <c r="L835" s="130">
        <v>0.0</v>
      </c>
      <c r="M835" s="129">
        <f t="shared" si="424"/>
        <v>0</v>
      </c>
      <c r="N835" s="130">
        <f t="shared" si="425"/>
        <v>1</v>
      </c>
      <c r="O835" s="131"/>
      <c r="P835" s="88"/>
      <c r="Q835" s="132">
        <f t="shared" si="426"/>
        <v>0</v>
      </c>
      <c r="R835" s="132">
        <f t="shared" si="427"/>
        <v>0</v>
      </c>
      <c r="S835" s="132">
        <f t="shared" si="428"/>
        <v>0</v>
      </c>
      <c r="T835" s="133">
        <f t="shared" si="429"/>
        <v>0</v>
      </c>
      <c r="U835" s="134">
        <f t="shared" si="430"/>
        <v>0</v>
      </c>
      <c r="V835" s="135"/>
      <c r="W835" s="136"/>
      <c r="X835" s="2"/>
      <c r="Y835" s="111"/>
      <c r="Z835" s="3"/>
    </row>
    <row r="836" ht="14.25" hidden="1" customHeight="1" outlineLevel="1">
      <c r="A836" s="124"/>
      <c r="B836" s="125"/>
      <c r="C836" s="126"/>
      <c r="D836" s="127"/>
      <c r="E836" s="35"/>
      <c r="F836" s="128"/>
      <c r="G836" s="128"/>
      <c r="H836" s="128"/>
      <c r="I836" s="127">
        <f t="shared" si="422"/>
        <v>0</v>
      </c>
      <c r="J836" s="88"/>
      <c r="K836" s="129">
        <f t="shared" si="423"/>
        <v>0</v>
      </c>
      <c r="L836" s="130">
        <v>0.0</v>
      </c>
      <c r="M836" s="129">
        <f t="shared" si="424"/>
        <v>0</v>
      </c>
      <c r="N836" s="130">
        <f t="shared" si="425"/>
        <v>1</v>
      </c>
      <c r="O836" s="131"/>
      <c r="P836" s="88"/>
      <c r="Q836" s="132">
        <f t="shared" si="426"/>
        <v>0</v>
      </c>
      <c r="R836" s="132">
        <f t="shared" si="427"/>
        <v>0</v>
      </c>
      <c r="S836" s="132">
        <f t="shared" si="428"/>
        <v>0</v>
      </c>
      <c r="T836" s="133">
        <f t="shared" si="429"/>
        <v>0</v>
      </c>
      <c r="U836" s="134">
        <f t="shared" si="430"/>
        <v>0</v>
      </c>
      <c r="V836" s="135"/>
      <c r="W836" s="136"/>
      <c r="X836" s="2"/>
      <c r="Y836" s="111"/>
      <c r="Z836" s="3"/>
    </row>
    <row r="837" ht="14.25" hidden="1" customHeight="1" outlineLevel="1">
      <c r="A837" s="124"/>
      <c r="B837" s="125"/>
      <c r="C837" s="126"/>
      <c r="D837" s="127"/>
      <c r="E837" s="35"/>
      <c r="F837" s="128"/>
      <c r="G837" s="128"/>
      <c r="H837" s="128"/>
      <c r="I837" s="127">
        <f t="shared" si="422"/>
        <v>0</v>
      </c>
      <c r="J837" s="88"/>
      <c r="K837" s="129">
        <f t="shared" si="423"/>
        <v>0</v>
      </c>
      <c r="L837" s="130">
        <v>0.0</v>
      </c>
      <c r="M837" s="129">
        <f t="shared" si="424"/>
        <v>0</v>
      </c>
      <c r="N837" s="130">
        <f t="shared" si="425"/>
        <v>1</v>
      </c>
      <c r="O837" s="131"/>
      <c r="P837" s="88"/>
      <c r="Q837" s="132">
        <f t="shared" si="426"/>
        <v>0</v>
      </c>
      <c r="R837" s="132">
        <f t="shared" si="427"/>
        <v>0</v>
      </c>
      <c r="S837" s="132">
        <f t="shared" si="428"/>
        <v>0</v>
      </c>
      <c r="T837" s="133">
        <f t="shared" si="429"/>
        <v>0</v>
      </c>
      <c r="U837" s="134">
        <f t="shared" si="430"/>
        <v>0</v>
      </c>
      <c r="V837" s="135"/>
      <c r="W837" s="136"/>
      <c r="X837" s="2"/>
      <c r="Y837" s="111"/>
      <c r="Z837" s="3"/>
    </row>
    <row r="838" ht="14.25" hidden="1" customHeight="1" outlineLevel="1">
      <c r="A838" s="124"/>
      <c r="B838" s="125"/>
      <c r="C838" s="126"/>
      <c r="D838" s="127"/>
      <c r="E838" s="35"/>
      <c r="F838" s="128"/>
      <c r="G838" s="128"/>
      <c r="H838" s="128"/>
      <c r="I838" s="127">
        <f t="shared" si="422"/>
        <v>0</v>
      </c>
      <c r="J838" s="88"/>
      <c r="K838" s="129">
        <f t="shared" si="423"/>
        <v>0</v>
      </c>
      <c r="L838" s="130">
        <v>0.0</v>
      </c>
      <c r="M838" s="129">
        <f t="shared" si="424"/>
        <v>0</v>
      </c>
      <c r="N838" s="130">
        <f t="shared" si="425"/>
        <v>1</v>
      </c>
      <c r="O838" s="131"/>
      <c r="P838" s="88"/>
      <c r="Q838" s="132">
        <f t="shared" si="426"/>
        <v>0</v>
      </c>
      <c r="R838" s="132">
        <f t="shared" si="427"/>
        <v>0</v>
      </c>
      <c r="S838" s="132">
        <f t="shared" si="428"/>
        <v>0</v>
      </c>
      <c r="T838" s="133">
        <f t="shared" si="429"/>
        <v>0</v>
      </c>
      <c r="U838" s="134">
        <f t="shared" si="430"/>
        <v>0</v>
      </c>
      <c r="V838" s="135"/>
      <c r="W838" s="136"/>
      <c r="X838" s="2"/>
      <c r="Y838" s="111"/>
      <c r="Z838" s="3"/>
    </row>
    <row r="839" ht="14.25" hidden="1" customHeight="1" outlineLevel="1">
      <c r="A839" s="124"/>
      <c r="B839" s="125"/>
      <c r="C839" s="126"/>
      <c r="D839" s="127"/>
      <c r="E839" s="35"/>
      <c r="F839" s="128"/>
      <c r="G839" s="128"/>
      <c r="H839" s="128"/>
      <c r="I839" s="127">
        <f t="shared" si="422"/>
        <v>0</v>
      </c>
      <c r="J839" s="88"/>
      <c r="K839" s="129">
        <f t="shared" si="423"/>
        <v>0</v>
      </c>
      <c r="L839" s="130">
        <v>0.0</v>
      </c>
      <c r="M839" s="129">
        <f t="shared" si="424"/>
        <v>0</v>
      </c>
      <c r="N839" s="130">
        <f t="shared" si="425"/>
        <v>1</v>
      </c>
      <c r="O839" s="131"/>
      <c r="P839" s="88"/>
      <c r="Q839" s="132">
        <f t="shared" si="426"/>
        <v>0</v>
      </c>
      <c r="R839" s="132">
        <f t="shared" si="427"/>
        <v>0</v>
      </c>
      <c r="S839" s="132">
        <f t="shared" si="428"/>
        <v>0</v>
      </c>
      <c r="T839" s="133">
        <f t="shared" si="429"/>
        <v>0</v>
      </c>
      <c r="U839" s="134">
        <f t="shared" si="430"/>
        <v>0</v>
      </c>
      <c r="V839" s="135"/>
      <c r="W839" s="136"/>
      <c r="X839" s="2"/>
      <c r="Y839" s="111"/>
      <c r="Z839" s="3"/>
    </row>
    <row r="840" ht="14.25" hidden="1" customHeight="1" outlineLevel="1">
      <c r="A840" s="124"/>
      <c r="B840" s="125"/>
      <c r="C840" s="126"/>
      <c r="D840" s="127"/>
      <c r="E840" s="35"/>
      <c r="F840" s="128"/>
      <c r="G840" s="128"/>
      <c r="H840" s="128"/>
      <c r="I840" s="127">
        <f t="shared" si="422"/>
        <v>0</v>
      </c>
      <c r="J840" s="88"/>
      <c r="K840" s="129">
        <f t="shared" si="423"/>
        <v>0</v>
      </c>
      <c r="L840" s="130">
        <v>0.0</v>
      </c>
      <c r="M840" s="129">
        <f t="shared" si="424"/>
        <v>0</v>
      </c>
      <c r="N840" s="130">
        <f t="shared" si="425"/>
        <v>1</v>
      </c>
      <c r="O840" s="131"/>
      <c r="P840" s="88"/>
      <c r="Q840" s="132">
        <f t="shared" si="426"/>
        <v>0</v>
      </c>
      <c r="R840" s="132">
        <f t="shared" si="427"/>
        <v>0</v>
      </c>
      <c r="S840" s="132">
        <f t="shared" si="428"/>
        <v>0</v>
      </c>
      <c r="T840" s="133">
        <f t="shared" si="429"/>
        <v>0</v>
      </c>
      <c r="U840" s="134">
        <f t="shared" si="430"/>
        <v>0</v>
      </c>
      <c r="V840" s="135"/>
      <c r="W840" s="136"/>
      <c r="X840" s="2"/>
      <c r="Y840" s="111"/>
      <c r="Z840" s="3"/>
    </row>
    <row r="841" ht="14.25" hidden="1" customHeight="1" outlineLevel="1">
      <c r="A841" s="124"/>
      <c r="B841" s="125"/>
      <c r="C841" s="126"/>
      <c r="D841" s="127"/>
      <c r="E841" s="35"/>
      <c r="F841" s="128"/>
      <c r="G841" s="128"/>
      <c r="H841" s="128"/>
      <c r="I841" s="127">
        <f t="shared" si="422"/>
        <v>0</v>
      </c>
      <c r="J841" s="88"/>
      <c r="K841" s="129">
        <f t="shared" si="423"/>
        <v>0</v>
      </c>
      <c r="L841" s="130">
        <v>0.0</v>
      </c>
      <c r="M841" s="129">
        <f t="shared" si="424"/>
        <v>0</v>
      </c>
      <c r="N841" s="130">
        <f t="shared" si="425"/>
        <v>1</v>
      </c>
      <c r="O841" s="131"/>
      <c r="P841" s="88"/>
      <c r="Q841" s="132">
        <f t="shared" si="426"/>
        <v>0</v>
      </c>
      <c r="R841" s="132">
        <f t="shared" si="427"/>
        <v>0</v>
      </c>
      <c r="S841" s="132">
        <f t="shared" si="428"/>
        <v>0</v>
      </c>
      <c r="T841" s="133">
        <f t="shared" si="429"/>
        <v>0</v>
      </c>
      <c r="U841" s="134">
        <f t="shared" si="430"/>
        <v>0</v>
      </c>
      <c r="V841" s="135"/>
      <c r="W841" s="136"/>
      <c r="X841" s="2"/>
      <c r="Y841" s="111"/>
      <c r="Z841" s="3"/>
    </row>
    <row r="842" ht="14.25" hidden="1" customHeight="1" outlineLevel="1">
      <c r="A842" s="124"/>
      <c r="B842" s="125"/>
      <c r="C842" s="126"/>
      <c r="D842" s="127"/>
      <c r="E842" s="35"/>
      <c r="F842" s="128"/>
      <c r="G842" s="128"/>
      <c r="H842" s="128"/>
      <c r="I842" s="127">
        <f t="shared" si="422"/>
        <v>0</v>
      </c>
      <c r="J842" s="88"/>
      <c r="K842" s="129">
        <f t="shared" si="423"/>
        <v>0</v>
      </c>
      <c r="L842" s="130">
        <v>0.0</v>
      </c>
      <c r="M842" s="129">
        <f t="shared" si="424"/>
        <v>0</v>
      </c>
      <c r="N842" s="130">
        <f t="shared" si="425"/>
        <v>1</v>
      </c>
      <c r="O842" s="131"/>
      <c r="P842" s="88"/>
      <c r="Q842" s="132">
        <f t="shared" si="426"/>
        <v>0</v>
      </c>
      <c r="R842" s="132">
        <f t="shared" si="427"/>
        <v>0</v>
      </c>
      <c r="S842" s="132">
        <f t="shared" si="428"/>
        <v>0</v>
      </c>
      <c r="T842" s="133">
        <f t="shared" si="429"/>
        <v>0</v>
      </c>
      <c r="U842" s="134">
        <f t="shared" si="430"/>
        <v>0</v>
      </c>
      <c r="V842" s="135"/>
      <c r="W842" s="136"/>
      <c r="X842" s="2"/>
      <c r="Y842" s="111"/>
      <c r="Z842" s="3"/>
    </row>
    <row r="843" ht="14.25" hidden="1" customHeight="1" outlineLevel="1">
      <c r="A843" s="124"/>
      <c r="B843" s="125"/>
      <c r="C843" s="126"/>
      <c r="D843" s="127"/>
      <c r="E843" s="35"/>
      <c r="F843" s="128"/>
      <c r="G843" s="128"/>
      <c r="H843" s="128"/>
      <c r="I843" s="127">
        <f t="shared" si="422"/>
        <v>0</v>
      </c>
      <c r="J843" s="88"/>
      <c r="K843" s="129">
        <f t="shared" si="423"/>
        <v>0</v>
      </c>
      <c r="L843" s="130">
        <v>0.0</v>
      </c>
      <c r="M843" s="129">
        <f t="shared" si="424"/>
        <v>0</v>
      </c>
      <c r="N843" s="130">
        <f t="shared" si="425"/>
        <v>1</v>
      </c>
      <c r="O843" s="131"/>
      <c r="P843" s="88"/>
      <c r="Q843" s="132">
        <f t="shared" si="426"/>
        <v>0</v>
      </c>
      <c r="R843" s="132">
        <f t="shared" si="427"/>
        <v>0</v>
      </c>
      <c r="S843" s="132">
        <f t="shared" si="428"/>
        <v>0</v>
      </c>
      <c r="T843" s="133">
        <f t="shared" si="429"/>
        <v>0</v>
      </c>
      <c r="U843" s="134">
        <f t="shared" si="430"/>
        <v>0</v>
      </c>
      <c r="V843" s="135"/>
      <c r="W843" s="136"/>
      <c r="X843" s="2"/>
      <c r="Y843" s="111"/>
      <c r="Z843" s="3"/>
    </row>
    <row r="844" ht="14.25" hidden="1" customHeight="1" outlineLevel="1">
      <c r="A844" s="124"/>
      <c r="B844" s="125"/>
      <c r="C844" s="126"/>
      <c r="D844" s="127"/>
      <c r="E844" s="35"/>
      <c r="F844" s="128"/>
      <c r="G844" s="128"/>
      <c r="H844" s="128"/>
      <c r="I844" s="127">
        <f t="shared" si="422"/>
        <v>0</v>
      </c>
      <c r="J844" s="88"/>
      <c r="K844" s="129">
        <f t="shared" si="423"/>
        <v>0</v>
      </c>
      <c r="L844" s="130">
        <v>0.0</v>
      </c>
      <c r="M844" s="129">
        <f t="shared" si="424"/>
        <v>0</v>
      </c>
      <c r="N844" s="130">
        <f t="shared" si="425"/>
        <v>1</v>
      </c>
      <c r="O844" s="131"/>
      <c r="P844" s="88"/>
      <c r="Q844" s="132">
        <f t="shared" si="426"/>
        <v>0</v>
      </c>
      <c r="R844" s="132">
        <f t="shared" si="427"/>
        <v>0</v>
      </c>
      <c r="S844" s="132">
        <f t="shared" si="428"/>
        <v>0</v>
      </c>
      <c r="T844" s="133">
        <f t="shared" si="429"/>
        <v>0</v>
      </c>
      <c r="U844" s="134">
        <f t="shared" si="430"/>
        <v>0</v>
      </c>
      <c r="V844" s="135"/>
      <c r="W844" s="136"/>
      <c r="X844" s="2"/>
      <c r="Y844" s="111"/>
      <c r="Z844" s="3"/>
    </row>
    <row r="845" ht="14.25" hidden="1" customHeight="1" outlineLevel="1">
      <c r="A845" s="124"/>
      <c r="B845" s="125"/>
      <c r="C845" s="126"/>
      <c r="D845" s="127"/>
      <c r="E845" s="35"/>
      <c r="F845" s="128"/>
      <c r="G845" s="128"/>
      <c r="H845" s="128"/>
      <c r="I845" s="127">
        <f t="shared" si="422"/>
        <v>0</v>
      </c>
      <c r="J845" s="88"/>
      <c r="K845" s="129">
        <f t="shared" si="423"/>
        <v>0</v>
      </c>
      <c r="L845" s="130">
        <v>0.0</v>
      </c>
      <c r="M845" s="129">
        <f t="shared" si="424"/>
        <v>0</v>
      </c>
      <c r="N845" s="130">
        <f t="shared" si="425"/>
        <v>1</v>
      </c>
      <c r="O845" s="131"/>
      <c r="P845" s="88"/>
      <c r="Q845" s="132">
        <f t="shared" si="426"/>
        <v>0</v>
      </c>
      <c r="R845" s="132">
        <f t="shared" si="427"/>
        <v>0</v>
      </c>
      <c r="S845" s="132">
        <f t="shared" si="428"/>
        <v>0</v>
      </c>
      <c r="T845" s="133">
        <f t="shared" si="429"/>
        <v>0</v>
      </c>
      <c r="U845" s="134">
        <f t="shared" si="430"/>
        <v>0</v>
      </c>
      <c r="V845" s="135"/>
      <c r="W845" s="136"/>
      <c r="X845" s="2"/>
      <c r="Y845" s="111"/>
      <c r="Z845" s="3"/>
    </row>
    <row r="846" ht="14.25" hidden="1" customHeight="1" outlineLevel="1">
      <c r="A846" s="124"/>
      <c r="B846" s="125"/>
      <c r="C846" s="126"/>
      <c r="D846" s="127"/>
      <c r="E846" s="35"/>
      <c r="F846" s="128"/>
      <c r="G846" s="128"/>
      <c r="H846" s="128"/>
      <c r="I846" s="127">
        <f t="shared" si="422"/>
        <v>0</v>
      </c>
      <c r="J846" s="88"/>
      <c r="K846" s="129">
        <f t="shared" si="423"/>
        <v>0</v>
      </c>
      <c r="L846" s="130">
        <v>0.0</v>
      </c>
      <c r="M846" s="129">
        <f t="shared" si="424"/>
        <v>0</v>
      </c>
      <c r="N846" s="130">
        <f t="shared" si="425"/>
        <v>1</v>
      </c>
      <c r="O846" s="131"/>
      <c r="P846" s="88"/>
      <c r="Q846" s="132">
        <f t="shared" si="426"/>
        <v>0</v>
      </c>
      <c r="R846" s="132">
        <f t="shared" si="427"/>
        <v>0</v>
      </c>
      <c r="S846" s="132">
        <f t="shared" si="428"/>
        <v>0</v>
      </c>
      <c r="T846" s="133">
        <f t="shared" si="429"/>
        <v>0</v>
      </c>
      <c r="U846" s="134">
        <f t="shared" si="430"/>
        <v>0</v>
      </c>
      <c r="V846" s="135"/>
      <c r="W846" s="136"/>
      <c r="X846" s="2"/>
      <c r="Y846" s="111"/>
      <c r="Z846" s="3"/>
    </row>
    <row r="847" ht="14.25" hidden="1" customHeight="1" outlineLevel="1">
      <c r="A847" s="124"/>
      <c r="B847" s="125"/>
      <c r="C847" s="126"/>
      <c r="D847" s="127"/>
      <c r="E847" s="35"/>
      <c r="F847" s="128"/>
      <c r="G847" s="128"/>
      <c r="H847" s="128"/>
      <c r="I847" s="127">
        <f t="shared" si="422"/>
        <v>0</v>
      </c>
      <c r="J847" s="88"/>
      <c r="K847" s="129">
        <f t="shared" si="423"/>
        <v>0</v>
      </c>
      <c r="L847" s="130">
        <v>0.0</v>
      </c>
      <c r="M847" s="129">
        <f t="shared" si="424"/>
        <v>0</v>
      </c>
      <c r="N847" s="130">
        <f t="shared" si="425"/>
        <v>1</v>
      </c>
      <c r="O847" s="131"/>
      <c r="P847" s="88"/>
      <c r="Q847" s="132">
        <f t="shared" si="426"/>
        <v>0</v>
      </c>
      <c r="R847" s="132">
        <f t="shared" si="427"/>
        <v>0</v>
      </c>
      <c r="S847" s="132">
        <f t="shared" si="428"/>
        <v>0</v>
      </c>
      <c r="T847" s="133">
        <f t="shared" si="429"/>
        <v>0</v>
      </c>
      <c r="U847" s="134">
        <f t="shared" si="430"/>
        <v>0</v>
      </c>
      <c r="V847" s="135"/>
      <c r="W847" s="136"/>
      <c r="X847" s="2"/>
      <c r="Y847" s="111"/>
      <c r="Z847" s="3"/>
    </row>
    <row r="848" ht="14.25" hidden="1" customHeight="1" outlineLevel="1">
      <c r="A848" s="124"/>
      <c r="B848" s="125"/>
      <c r="C848" s="126"/>
      <c r="D848" s="127"/>
      <c r="E848" s="35"/>
      <c r="F848" s="128"/>
      <c r="G848" s="128"/>
      <c r="H848" s="128"/>
      <c r="I848" s="127">
        <f t="shared" si="422"/>
        <v>0</v>
      </c>
      <c r="J848" s="88"/>
      <c r="K848" s="129">
        <f t="shared" si="423"/>
        <v>0</v>
      </c>
      <c r="L848" s="130">
        <v>0.0</v>
      </c>
      <c r="M848" s="129">
        <f t="shared" si="424"/>
        <v>0</v>
      </c>
      <c r="N848" s="130">
        <f t="shared" si="425"/>
        <v>1</v>
      </c>
      <c r="O848" s="131"/>
      <c r="P848" s="88"/>
      <c r="Q848" s="132">
        <f t="shared" si="426"/>
        <v>0</v>
      </c>
      <c r="R848" s="132">
        <f t="shared" si="427"/>
        <v>0</v>
      </c>
      <c r="S848" s="132">
        <f t="shared" si="428"/>
        <v>0</v>
      </c>
      <c r="T848" s="133">
        <f t="shared" si="429"/>
        <v>0</v>
      </c>
      <c r="U848" s="134">
        <f t="shared" si="430"/>
        <v>0</v>
      </c>
      <c r="V848" s="135"/>
      <c r="W848" s="136"/>
      <c r="X848" s="2"/>
      <c r="Y848" s="111"/>
      <c r="Z848" s="3"/>
    </row>
    <row r="849" ht="14.25" hidden="1" customHeight="1" outlineLevel="1">
      <c r="A849" s="124"/>
      <c r="B849" s="125"/>
      <c r="C849" s="126"/>
      <c r="D849" s="127"/>
      <c r="E849" s="35"/>
      <c r="F849" s="128"/>
      <c r="G849" s="128"/>
      <c r="H849" s="128"/>
      <c r="I849" s="127">
        <f t="shared" si="422"/>
        <v>0</v>
      </c>
      <c r="J849" s="88"/>
      <c r="K849" s="129">
        <f t="shared" si="423"/>
        <v>0</v>
      </c>
      <c r="L849" s="130">
        <v>0.0</v>
      </c>
      <c r="M849" s="129">
        <f t="shared" si="424"/>
        <v>0</v>
      </c>
      <c r="N849" s="130">
        <f t="shared" si="425"/>
        <v>1</v>
      </c>
      <c r="O849" s="131"/>
      <c r="P849" s="88"/>
      <c r="Q849" s="132">
        <f t="shared" si="426"/>
        <v>0</v>
      </c>
      <c r="R849" s="132">
        <f t="shared" si="427"/>
        <v>0</v>
      </c>
      <c r="S849" s="132">
        <f t="shared" si="428"/>
        <v>0</v>
      </c>
      <c r="T849" s="133">
        <f t="shared" si="429"/>
        <v>0</v>
      </c>
      <c r="U849" s="134">
        <f t="shared" si="430"/>
        <v>0</v>
      </c>
      <c r="V849" s="135"/>
      <c r="W849" s="136"/>
      <c r="X849" s="2"/>
      <c r="Y849" s="111"/>
      <c r="Z849" s="3"/>
    </row>
    <row r="850" ht="14.25" hidden="1" customHeight="1" outlineLevel="1">
      <c r="A850" s="124"/>
      <c r="B850" s="125"/>
      <c r="C850" s="126"/>
      <c r="D850" s="127"/>
      <c r="E850" s="35"/>
      <c r="F850" s="128"/>
      <c r="G850" s="128"/>
      <c r="H850" s="128"/>
      <c r="I850" s="127">
        <f t="shared" si="422"/>
        <v>0</v>
      </c>
      <c r="J850" s="88"/>
      <c r="K850" s="129">
        <f t="shared" si="423"/>
        <v>0</v>
      </c>
      <c r="L850" s="130">
        <v>0.0</v>
      </c>
      <c r="M850" s="129">
        <f t="shared" si="424"/>
        <v>0</v>
      </c>
      <c r="N850" s="130">
        <f t="shared" si="425"/>
        <v>1</v>
      </c>
      <c r="O850" s="131"/>
      <c r="P850" s="88"/>
      <c r="Q850" s="132">
        <f t="shared" si="426"/>
        <v>0</v>
      </c>
      <c r="R850" s="132">
        <f t="shared" si="427"/>
        <v>0</v>
      </c>
      <c r="S850" s="132">
        <f t="shared" si="428"/>
        <v>0</v>
      </c>
      <c r="T850" s="133">
        <f t="shared" si="429"/>
        <v>0</v>
      </c>
      <c r="U850" s="134">
        <f t="shared" si="430"/>
        <v>0</v>
      </c>
      <c r="V850" s="135"/>
      <c r="W850" s="136"/>
      <c r="X850" s="2"/>
      <c r="Y850" s="111"/>
      <c r="Z850" s="3"/>
    </row>
    <row r="851" ht="14.25" hidden="1" customHeight="1" outlineLevel="1">
      <c r="A851" s="124"/>
      <c r="B851" s="125"/>
      <c r="C851" s="126"/>
      <c r="D851" s="127"/>
      <c r="E851" s="35"/>
      <c r="F851" s="128"/>
      <c r="G851" s="128"/>
      <c r="H851" s="128"/>
      <c r="I851" s="127">
        <f t="shared" si="422"/>
        <v>0</v>
      </c>
      <c r="J851" s="88"/>
      <c r="K851" s="129">
        <f t="shared" si="423"/>
        <v>0</v>
      </c>
      <c r="L851" s="130">
        <v>0.0</v>
      </c>
      <c r="M851" s="129">
        <f t="shared" si="424"/>
        <v>0</v>
      </c>
      <c r="N851" s="130">
        <f t="shared" si="425"/>
        <v>1</v>
      </c>
      <c r="O851" s="131"/>
      <c r="P851" s="88"/>
      <c r="Q851" s="132">
        <f t="shared" si="426"/>
        <v>0</v>
      </c>
      <c r="R851" s="132">
        <f t="shared" si="427"/>
        <v>0</v>
      </c>
      <c r="S851" s="132">
        <f t="shared" si="428"/>
        <v>0</v>
      </c>
      <c r="T851" s="133">
        <f t="shared" si="429"/>
        <v>0</v>
      </c>
      <c r="U851" s="134">
        <f t="shared" si="430"/>
        <v>0</v>
      </c>
      <c r="V851" s="135"/>
      <c r="W851" s="136"/>
      <c r="X851" s="2"/>
      <c r="Y851" s="111"/>
      <c r="Z851" s="3"/>
    </row>
    <row r="852" ht="14.25" hidden="1" customHeight="1" outlineLevel="1">
      <c r="A852" s="124"/>
      <c r="B852" s="125"/>
      <c r="C852" s="126"/>
      <c r="D852" s="127"/>
      <c r="E852" s="35"/>
      <c r="F852" s="128"/>
      <c r="G852" s="128"/>
      <c r="H852" s="128"/>
      <c r="I852" s="127">
        <f t="shared" si="422"/>
        <v>0</v>
      </c>
      <c r="J852" s="88"/>
      <c r="K852" s="129">
        <f t="shared" si="423"/>
        <v>0</v>
      </c>
      <c r="L852" s="130">
        <v>0.0</v>
      </c>
      <c r="M852" s="129">
        <f t="shared" si="424"/>
        <v>0</v>
      </c>
      <c r="N852" s="130">
        <f t="shared" si="425"/>
        <v>1</v>
      </c>
      <c r="O852" s="131"/>
      <c r="P852" s="88"/>
      <c r="Q852" s="132">
        <f t="shared" si="426"/>
        <v>0</v>
      </c>
      <c r="R852" s="132">
        <f t="shared" si="427"/>
        <v>0</v>
      </c>
      <c r="S852" s="132">
        <f t="shared" si="428"/>
        <v>0</v>
      </c>
      <c r="T852" s="133">
        <f t="shared" si="429"/>
        <v>0</v>
      </c>
      <c r="U852" s="134">
        <f t="shared" si="430"/>
        <v>0</v>
      </c>
      <c r="V852" s="135"/>
      <c r="W852" s="136"/>
      <c r="X852" s="2"/>
      <c r="Y852" s="111"/>
      <c r="Z852" s="3"/>
    </row>
    <row r="853" ht="14.25" hidden="1" customHeight="1" outlineLevel="1">
      <c r="A853" s="124"/>
      <c r="B853" s="125"/>
      <c r="C853" s="126"/>
      <c r="D853" s="127"/>
      <c r="E853" s="35"/>
      <c r="F853" s="128"/>
      <c r="G853" s="128"/>
      <c r="H853" s="128"/>
      <c r="I853" s="127">
        <f t="shared" si="422"/>
        <v>0</v>
      </c>
      <c r="J853" s="88"/>
      <c r="K853" s="129">
        <f t="shared" si="423"/>
        <v>0</v>
      </c>
      <c r="L853" s="130">
        <v>0.0</v>
      </c>
      <c r="M853" s="129">
        <f t="shared" si="424"/>
        <v>0</v>
      </c>
      <c r="N853" s="130">
        <f t="shared" si="425"/>
        <v>1</v>
      </c>
      <c r="O853" s="131"/>
      <c r="P853" s="88"/>
      <c r="Q853" s="132">
        <f t="shared" si="426"/>
        <v>0</v>
      </c>
      <c r="R853" s="132">
        <f t="shared" si="427"/>
        <v>0</v>
      </c>
      <c r="S853" s="132">
        <f t="shared" si="428"/>
        <v>0</v>
      </c>
      <c r="T853" s="133">
        <f t="shared" si="429"/>
        <v>0</v>
      </c>
      <c r="U853" s="134">
        <f t="shared" si="430"/>
        <v>0</v>
      </c>
      <c r="V853" s="135"/>
      <c r="W853" s="136"/>
      <c r="X853" s="2"/>
      <c r="Y853" s="111"/>
      <c r="Z853" s="3"/>
    </row>
    <row r="854" ht="14.25" hidden="1" customHeight="1" outlineLevel="1">
      <c r="A854" s="124"/>
      <c r="B854" s="125"/>
      <c r="C854" s="126"/>
      <c r="D854" s="127"/>
      <c r="E854" s="35"/>
      <c r="F854" s="128"/>
      <c r="G854" s="128"/>
      <c r="H854" s="128"/>
      <c r="I854" s="127">
        <f t="shared" si="422"/>
        <v>0</v>
      </c>
      <c r="J854" s="88"/>
      <c r="K854" s="129">
        <f t="shared" si="423"/>
        <v>0</v>
      </c>
      <c r="L854" s="130">
        <v>0.0</v>
      </c>
      <c r="M854" s="129">
        <f t="shared" si="424"/>
        <v>0</v>
      </c>
      <c r="N854" s="130">
        <f t="shared" si="425"/>
        <v>1</v>
      </c>
      <c r="O854" s="131"/>
      <c r="P854" s="88"/>
      <c r="Q854" s="132">
        <f t="shared" si="426"/>
        <v>0</v>
      </c>
      <c r="R854" s="132">
        <f t="shared" si="427"/>
        <v>0</v>
      </c>
      <c r="S854" s="132">
        <f t="shared" si="428"/>
        <v>0</v>
      </c>
      <c r="T854" s="133">
        <f t="shared" si="429"/>
        <v>0</v>
      </c>
      <c r="U854" s="134">
        <f t="shared" si="430"/>
        <v>0</v>
      </c>
      <c r="V854" s="135"/>
      <c r="W854" s="136"/>
      <c r="X854" s="2"/>
      <c r="Y854" s="111"/>
      <c r="Z854" s="3"/>
    </row>
    <row r="855" ht="14.25" hidden="1" customHeight="1" outlineLevel="1">
      <c r="A855" s="124"/>
      <c r="B855" s="125"/>
      <c r="C855" s="126"/>
      <c r="D855" s="127"/>
      <c r="E855" s="35"/>
      <c r="F855" s="128"/>
      <c r="G855" s="128"/>
      <c r="H855" s="128"/>
      <c r="I855" s="127">
        <f t="shared" si="422"/>
        <v>0</v>
      </c>
      <c r="J855" s="88"/>
      <c r="K855" s="129">
        <f t="shared" si="423"/>
        <v>0</v>
      </c>
      <c r="L855" s="130">
        <v>0.0</v>
      </c>
      <c r="M855" s="129">
        <f t="shared" si="424"/>
        <v>0</v>
      </c>
      <c r="N855" s="130">
        <f t="shared" si="425"/>
        <v>1</v>
      </c>
      <c r="O855" s="131"/>
      <c r="P855" s="88"/>
      <c r="Q855" s="132">
        <f t="shared" si="426"/>
        <v>0</v>
      </c>
      <c r="R855" s="132">
        <f t="shared" si="427"/>
        <v>0</v>
      </c>
      <c r="S855" s="132">
        <f t="shared" si="428"/>
        <v>0</v>
      </c>
      <c r="T855" s="133">
        <f t="shared" si="429"/>
        <v>0</v>
      </c>
      <c r="U855" s="134">
        <f t="shared" si="430"/>
        <v>0</v>
      </c>
      <c r="V855" s="135"/>
      <c r="W855" s="136"/>
      <c r="X855" s="2"/>
      <c r="Y855" s="111"/>
      <c r="Z855" s="3"/>
    </row>
    <row r="856" ht="14.25" hidden="1" customHeight="1" outlineLevel="1">
      <c r="A856" s="124"/>
      <c r="B856" s="125"/>
      <c r="C856" s="126"/>
      <c r="D856" s="127"/>
      <c r="E856" s="35"/>
      <c r="F856" s="128"/>
      <c r="G856" s="128"/>
      <c r="H856" s="128"/>
      <c r="I856" s="127">
        <f t="shared" si="422"/>
        <v>0</v>
      </c>
      <c r="J856" s="88"/>
      <c r="K856" s="129">
        <f t="shared" si="423"/>
        <v>0</v>
      </c>
      <c r="L856" s="130">
        <v>0.0</v>
      </c>
      <c r="M856" s="129">
        <f t="shared" si="424"/>
        <v>0</v>
      </c>
      <c r="N856" s="130">
        <f t="shared" si="425"/>
        <v>1</v>
      </c>
      <c r="O856" s="131"/>
      <c r="P856" s="88"/>
      <c r="Q856" s="132">
        <f t="shared" si="426"/>
        <v>0</v>
      </c>
      <c r="R856" s="132">
        <f t="shared" si="427"/>
        <v>0</v>
      </c>
      <c r="S856" s="132">
        <f t="shared" si="428"/>
        <v>0</v>
      </c>
      <c r="T856" s="133">
        <f t="shared" si="429"/>
        <v>0</v>
      </c>
      <c r="U856" s="134">
        <f t="shared" si="430"/>
        <v>0</v>
      </c>
      <c r="V856" s="135"/>
      <c r="W856" s="136"/>
      <c r="X856" s="2"/>
      <c r="Y856" s="111"/>
      <c r="Z856" s="3"/>
    </row>
    <row r="857" ht="14.25" hidden="1" customHeight="1" outlineLevel="1">
      <c r="A857" s="124"/>
      <c r="B857" s="125"/>
      <c r="C857" s="126"/>
      <c r="D857" s="127"/>
      <c r="E857" s="35"/>
      <c r="F857" s="128"/>
      <c r="G857" s="128"/>
      <c r="H857" s="128"/>
      <c r="I857" s="127">
        <f t="shared" si="422"/>
        <v>0</v>
      </c>
      <c r="J857" s="88"/>
      <c r="K857" s="129">
        <f t="shared" si="423"/>
        <v>0</v>
      </c>
      <c r="L857" s="130">
        <v>0.0</v>
      </c>
      <c r="M857" s="129">
        <f t="shared" si="424"/>
        <v>0</v>
      </c>
      <c r="N857" s="130">
        <f t="shared" si="425"/>
        <v>1</v>
      </c>
      <c r="O857" s="131"/>
      <c r="P857" s="88"/>
      <c r="Q857" s="132">
        <f t="shared" si="426"/>
        <v>0</v>
      </c>
      <c r="R857" s="132">
        <f t="shared" si="427"/>
        <v>0</v>
      </c>
      <c r="S857" s="132">
        <f t="shared" si="428"/>
        <v>0</v>
      </c>
      <c r="T857" s="133">
        <f t="shared" si="429"/>
        <v>0</v>
      </c>
      <c r="U857" s="134">
        <f t="shared" si="430"/>
        <v>0</v>
      </c>
      <c r="V857" s="135"/>
      <c r="W857" s="136"/>
      <c r="X857" s="2"/>
      <c r="Y857" s="111"/>
      <c r="Z857" s="3"/>
    </row>
    <row r="858" ht="14.25" hidden="1" customHeight="1" outlineLevel="1">
      <c r="A858" s="124"/>
      <c r="B858" s="125"/>
      <c r="C858" s="126"/>
      <c r="D858" s="127"/>
      <c r="E858" s="35"/>
      <c r="F858" s="128"/>
      <c r="G858" s="128"/>
      <c r="H858" s="128"/>
      <c r="I858" s="127">
        <f t="shared" si="422"/>
        <v>0</v>
      </c>
      <c r="J858" s="88"/>
      <c r="K858" s="129">
        <f t="shared" si="423"/>
        <v>0</v>
      </c>
      <c r="L858" s="130">
        <v>0.0</v>
      </c>
      <c r="M858" s="129">
        <f t="shared" si="424"/>
        <v>0</v>
      </c>
      <c r="N858" s="130">
        <f t="shared" si="425"/>
        <v>1</v>
      </c>
      <c r="O858" s="131"/>
      <c r="P858" s="88"/>
      <c r="Q858" s="132">
        <f t="shared" si="426"/>
        <v>0</v>
      </c>
      <c r="R858" s="132">
        <f t="shared" si="427"/>
        <v>0</v>
      </c>
      <c r="S858" s="132">
        <f t="shared" si="428"/>
        <v>0</v>
      </c>
      <c r="T858" s="133">
        <f t="shared" si="429"/>
        <v>0</v>
      </c>
      <c r="U858" s="134">
        <f t="shared" si="430"/>
        <v>0</v>
      </c>
      <c r="V858" s="135"/>
      <c r="W858" s="136"/>
      <c r="X858" s="2"/>
      <c r="Y858" s="111"/>
      <c r="Z858" s="3"/>
    </row>
    <row r="859" ht="14.25" hidden="1" customHeight="1" outlineLevel="1">
      <c r="A859" s="124"/>
      <c r="B859" s="125"/>
      <c r="C859" s="126"/>
      <c r="D859" s="127"/>
      <c r="E859" s="35"/>
      <c r="F859" s="128"/>
      <c r="G859" s="128"/>
      <c r="H859" s="128"/>
      <c r="I859" s="127">
        <f t="shared" si="422"/>
        <v>0</v>
      </c>
      <c r="J859" s="88"/>
      <c r="K859" s="129">
        <f t="shared" si="423"/>
        <v>0</v>
      </c>
      <c r="L859" s="130">
        <v>0.0</v>
      </c>
      <c r="M859" s="129">
        <f t="shared" si="424"/>
        <v>0</v>
      </c>
      <c r="N859" s="130">
        <f t="shared" si="425"/>
        <v>1</v>
      </c>
      <c r="O859" s="131"/>
      <c r="P859" s="88"/>
      <c r="Q859" s="132">
        <f t="shared" si="426"/>
        <v>0</v>
      </c>
      <c r="R859" s="132">
        <f t="shared" si="427"/>
        <v>0</v>
      </c>
      <c r="S859" s="132">
        <f t="shared" si="428"/>
        <v>0</v>
      </c>
      <c r="T859" s="133">
        <f t="shared" si="429"/>
        <v>0</v>
      </c>
      <c r="U859" s="134">
        <f t="shared" si="430"/>
        <v>0</v>
      </c>
      <c r="V859" s="135"/>
      <c r="W859" s="136"/>
      <c r="X859" s="2"/>
      <c r="Y859" s="111"/>
      <c r="Z859" s="3"/>
    </row>
    <row r="860" ht="14.25" hidden="1" customHeight="1" outlineLevel="1">
      <c r="A860" s="124"/>
      <c r="B860" s="125"/>
      <c r="C860" s="126"/>
      <c r="D860" s="127"/>
      <c r="E860" s="35"/>
      <c r="F860" s="128"/>
      <c r="G860" s="128"/>
      <c r="H860" s="128"/>
      <c r="I860" s="127">
        <f t="shared" si="422"/>
        <v>0</v>
      </c>
      <c r="J860" s="88"/>
      <c r="K860" s="129">
        <f t="shared" si="423"/>
        <v>0</v>
      </c>
      <c r="L860" s="130">
        <v>0.0</v>
      </c>
      <c r="M860" s="129">
        <f t="shared" si="424"/>
        <v>0</v>
      </c>
      <c r="N860" s="130">
        <f t="shared" si="425"/>
        <v>1</v>
      </c>
      <c r="O860" s="131"/>
      <c r="P860" s="88"/>
      <c r="Q860" s="132">
        <f t="shared" si="426"/>
        <v>0</v>
      </c>
      <c r="R860" s="132">
        <f t="shared" si="427"/>
        <v>0</v>
      </c>
      <c r="S860" s="132">
        <f t="shared" si="428"/>
        <v>0</v>
      </c>
      <c r="T860" s="133">
        <f t="shared" si="429"/>
        <v>0</v>
      </c>
      <c r="U860" s="134">
        <f t="shared" si="430"/>
        <v>0</v>
      </c>
      <c r="V860" s="135"/>
      <c r="W860" s="136"/>
      <c r="X860" s="2"/>
      <c r="Y860" s="111"/>
      <c r="Z860" s="3"/>
    </row>
    <row r="861" ht="14.25" hidden="1" customHeight="1" outlineLevel="1">
      <c r="A861" s="124"/>
      <c r="B861" s="125"/>
      <c r="C861" s="126"/>
      <c r="D861" s="127"/>
      <c r="E861" s="35"/>
      <c r="F861" s="128"/>
      <c r="G861" s="128"/>
      <c r="H861" s="128"/>
      <c r="I861" s="127">
        <f t="shared" si="422"/>
        <v>0</v>
      </c>
      <c r="J861" s="88"/>
      <c r="K861" s="129">
        <f t="shared" si="423"/>
        <v>0</v>
      </c>
      <c r="L861" s="130">
        <v>0.0</v>
      </c>
      <c r="M861" s="129">
        <f t="shared" si="424"/>
        <v>0</v>
      </c>
      <c r="N861" s="130">
        <f t="shared" si="425"/>
        <v>1</v>
      </c>
      <c r="O861" s="131"/>
      <c r="P861" s="88"/>
      <c r="Q861" s="132">
        <f t="shared" si="426"/>
        <v>0</v>
      </c>
      <c r="R861" s="132">
        <f t="shared" si="427"/>
        <v>0</v>
      </c>
      <c r="S861" s="132">
        <f t="shared" si="428"/>
        <v>0</v>
      </c>
      <c r="T861" s="133">
        <f t="shared" si="429"/>
        <v>0</v>
      </c>
      <c r="U861" s="134">
        <f t="shared" si="430"/>
        <v>0</v>
      </c>
      <c r="V861" s="135"/>
      <c r="W861" s="136"/>
      <c r="X861" s="2"/>
      <c r="Y861" s="111"/>
      <c r="Z861" s="3"/>
    </row>
    <row r="862" ht="14.25" hidden="1" customHeight="1" outlineLevel="1">
      <c r="A862" s="124"/>
      <c r="B862" s="125"/>
      <c r="C862" s="126"/>
      <c r="D862" s="127"/>
      <c r="E862" s="35"/>
      <c r="F862" s="128"/>
      <c r="G862" s="128"/>
      <c r="H862" s="128"/>
      <c r="I862" s="127">
        <f t="shared" si="422"/>
        <v>0</v>
      </c>
      <c r="J862" s="88"/>
      <c r="K862" s="129">
        <f t="shared" si="423"/>
        <v>0</v>
      </c>
      <c r="L862" s="130">
        <v>0.0</v>
      </c>
      <c r="M862" s="129">
        <f t="shared" si="424"/>
        <v>0</v>
      </c>
      <c r="N862" s="130">
        <f t="shared" si="425"/>
        <v>1</v>
      </c>
      <c r="O862" s="131"/>
      <c r="P862" s="88"/>
      <c r="Q862" s="132">
        <f t="shared" si="426"/>
        <v>0</v>
      </c>
      <c r="R862" s="132">
        <f t="shared" si="427"/>
        <v>0</v>
      </c>
      <c r="S862" s="132">
        <f t="shared" si="428"/>
        <v>0</v>
      </c>
      <c r="T862" s="133">
        <f t="shared" si="429"/>
        <v>0</v>
      </c>
      <c r="U862" s="134">
        <f t="shared" si="430"/>
        <v>0</v>
      </c>
      <c r="V862" s="135"/>
      <c r="W862" s="136"/>
      <c r="X862" s="2"/>
      <c r="Y862" s="111"/>
      <c r="Z862" s="3"/>
    </row>
    <row r="863" ht="14.25" hidden="1" customHeight="1" outlineLevel="1">
      <c r="A863" s="124"/>
      <c r="B863" s="125"/>
      <c r="C863" s="126"/>
      <c r="D863" s="127"/>
      <c r="E863" s="35"/>
      <c r="F863" s="128"/>
      <c r="G863" s="128"/>
      <c r="H863" s="128"/>
      <c r="I863" s="127">
        <f t="shared" si="422"/>
        <v>0</v>
      </c>
      <c r="J863" s="88"/>
      <c r="K863" s="129">
        <f t="shared" si="423"/>
        <v>0</v>
      </c>
      <c r="L863" s="130">
        <v>0.0</v>
      </c>
      <c r="M863" s="129">
        <f t="shared" si="424"/>
        <v>0</v>
      </c>
      <c r="N863" s="130">
        <f t="shared" si="425"/>
        <v>1</v>
      </c>
      <c r="O863" s="131"/>
      <c r="P863" s="88"/>
      <c r="Q863" s="132">
        <f t="shared" si="426"/>
        <v>0</v>
      </c>
      <c r="R863" s="132">
        <f t="shared" si="427"/>
        <v>0</v>
      </c>
      <c r="S863" s="132">
        <f t="shared" si="428"/>
        <v>0</v>
      </c>
      <c r="T863" s="133">
        <f t="shared" si="429"/>
        <v>0</v>
      </c>
      <c r="U863" s="134">
        <f t="shared" si="430"/>
        <v>0</v>
      </c>
      <c r="V863" s="135"/>
      <c r="W863" s="136"/>
      <c r="X863" s="2"/>
      <c r="Y863" s="111"/>
      <c r="Z863" s="3"/>
    </row>
    <row r="864" ht="14.25" hidden="1" customHeight="1" outlineLevel="1">
      <c r="A864" s="124"/>
      <c r="B864" s="125"/>
      <c r="C864" s="126"/>
      <c r="D864" s="127"/>
      <c r="E864" s="35"/>
      <c r="F864" s="128"/>
      <c r="G864" s="128"/>
      <c r="H864" s="128"/>
      <c r="I864" s="127">
        <f t="shared" si="422"/>
        <v>0</v>
      </c>
      <c r="J864" s="88"/>
      <c r="K864" s="129">
        <f t="shared" si="423"/>
        <v>0</v>
      </c>
      <c r="L864" s="130">
        <v>0.0</v>
      </c>
      <c r="M864" s="129">
        <f t="shared" si="424"/>
        <v>0</v>
      </c>
      <c r="N864" s="130">
        <f t="shared" si="425"/>
        <v>1</v>
      </c>
      <c r="O864" s="131"/>
      <c r="P864" s="88"/>
      <c r="Q864" s="132">
        <f t="shared" si="426"/>
        <v>0</v>
      </c>
      <c r="R864" s="132">
        <f t="shared" si="427"/>
        <v>0</v>
      </c>
      <c r="S864" s="132">
        <f t="shared" si="428"/>
        <v>0</v>
      </c>
      <c r="T864" s="133">
        <f t="shared" si="429"/>
        <v>0</v>
      </c>
      <c r="U864" s="134">
        <f t="shared" si="430"/>
        <v>0</v>
      </c>
      <c r="V864" s="135"/>
      <c r="W864" s="136"/>
      <c r="X864" s="2"/>
      <c r="Y864" s="111"/>
      <c r="Z864" s="3"/>
    </row>
    <row r="865" ht="14.25" hidden="1" customHeight="1" outlineLevel="1">
      <c r="A865" s="124"/>
      <c r="B865" s="125"/>
      <c r="C865" s="126"/>
      <c r="D865" s="127"/>
      <c r="E865" s="35"/>
      <c r="F865" s="128"/>
      <c r="G865" s="128"/>
      <c r="H865" s="128"/>
      <c r="I865" s="127">
        <f t="shared" si="422"/>
        <v>0</v>
      </c>
      <c r="J865" s="88"/>
      <c r="K865" s="129">
        <f t="shared" si="423"/>
        <v>0</v>
      </c>
      <c r="L865" s="130">
        <v>0.0</v>
      </c>
      <c r="M865" s="129">
        <f t="shared" si="424"/>
        <v>0</v>
      </c>
      <c r="N865" s="130">
        <f t="shared" si="425"/>
        <v>1</v>
      </c>
      <c r="O865" s="131"/>
      <c r="P865" s="88"/>
      <c r="Q865" s="132">
        <f t="shared" si="426"/>
        <v>0</v>
      </c>
      <c r="R865" s="132">
        <f t="shared" si="427"/>
        <v>0</v>
      </c>
      <c r="S865" s="132">
        <f t="shared" si="428"/>
        <v>0</v>
      </c>
      <c r="T865" s="133">
        <f t="shared" si="429"/>
        <v>0</v>
      </c>
      <c r="U865" s="134">
        <f t="shared" si="430"/>
        <v>0</v>
      </c>
      <c r="V865" s="135"/>
      <c r="W865" s="136"/>
      <c r="X865" s="2"/>
      <c r="Y865" s="111"/>
      <c r="Z865" s="3"/>
    </row>
    <row r="866" ht="14.25" hidden="1" customHeight="1" outlineLevel="1">
      <c r="A866" s="124"/>
      <c r="B866" s="125"/>
      <c r="C866" s="126"/>
      <c r="D866" s="127"/>
      <c r="E866" s="35"/>
      <c r="F866" s="128"/>
      <c r="G866" s="128"/>
      <c r="H866" s="128"/>
      <c r="I866" s="127">
        <f t="shared" si="422"/>
        <v>0</v>
      </c>
      <c r="J866" s="88"/>
      <c r="K866" s="129">
        <f t="shared" si="423"/>
        <v>0</v>
      </c>
      <c r="L866" s="130">
        <v>0.0</v>
      </c>
      <c r="M866" s="129">
        <f t="shared" si="424"/>
        <v>0</v>
      </c>
      <c r="N866" s="130">
        <f t="shared" si="425"/>
        <v>1</v>
      </c>
      <c r="O866" s="131"/>
      <c r="P866" s="88"/>
      <c r="Q866" s="132">
        <f t="shared" si="426"/>
        <v>0</v>
      </c>
      <c r="R866" s="132">
        <f t="shared" si="427"/>
        <v>0</v>
      </c>
      <c r="S866" s="132">
        <f t="shared" si="428"/>
        <v>0</v>
      </c>
      <c r="T866" s="133">
        <f t="shared" si="429"/>
        <v>0</v>
      </c>
      <c r="U866" s="134">
        <f t="shared" si="430"/>
        <v>0</v>
      </c>
      <c r="V866" s="135"/>
      <c r="W866" s="136"/>
      <c r="X866" s="2"/>
      <c r="Y866" s="111"/>
      <c r="Z866" s="3"/>
    </row>
    <row r="867" ht="14.25" hidden="1" customHeight="1" outlineLevel="1">
      <c r="A867" s="124"/>
      <c r="B867" s="125"/>
      <c r="C867" s="126"/>
      <c r="D867" s="127"/>
      <c r="E867" s="35"/>
      <c r="F867" s="128"/>
      <c r="G867" s="128"/>
      <c r="H867" s="128"/>
      <c r="I867" s="127">
        <f t="shared" si="422"/>
        <v>0</v>
      </c>
      <c r="J867" s="88"/>
      <c r="K867" s="129">
        <f t="shared" si="423"/>
        <v>0</v>
      </c>
      <c r="L867" s="130">
        <v>0.0</v>
      </c>
      <c r="M867" s="129">
        <f t="shared" si="424"/>
        <v>0</v>
      </c>
      <c r="N867" s="130">
        <f t="shared" si="425"/>
        <v>1</v>
      </c>
      <c r="O867" s="131"/>
      <c r="P867" s="88"/>
      <c r="Q867" s="132">
        <f t="shared" si="426"/>
        <v>0</v>
      </c>
      <c r="R867" s="132">
        <f t="shared" si="427"/>
        <v>0</v>
      </c>
      <c r="S867" s="132">
        <f t="shared" si="428"/>
        <v>0</v>
      </c>
      <c r="T867" s="133">
        <f t="shared" si="429"/>
        <v>0</v>
      </c>
      <c r="U867" s="134">
        <f t="shared" si="430"/>
        <v>0</v>
      </c>
      <c r="V867" s="135"/>
      <c r="W867" s="136"/>
      <c r="X867" s="2"/>
      <c r="Y867" s="111"/>
      <c r="Z867" s="3"/>
    </row>
    <row r="868" ht="14.25" hidden="1" customHeight="1" outlineLevel="1">
      <c r="A868" s="124"/>
      <c r="B868" s="125"/>
      <c r="C868" s="126"/>
      <c r="D868" s="127"/>
      <c r="E868" s="35"/>
      <c r="F868" s="128"/>
      <c r="G868" s="128"/>
      <c r="H868" s="128"/>
      <c r="I868" s="127">
        <f t="shared" si="422"/>
        <v>0</v>
      </c>
      <c r="J868" s="88"/>
      <c r="K868" s="129">
        <f t="shared" si="423"/>
        <v>0</v>
      </c>
      <c r="L868" s="130">
        <v>0.0</v>
      </c>
      <c r="M868" s="129">
        <f t="shared" si="424"/>
        <v>0</v>
      </c>
      <c r="N868" s="130">
        <f t="shared" si="425"/>
        <v>1</v>
      </c>
      <c r="O868" s="131"/>
      <c r="P868" s="88"/>
      <c r="Q868" s="132">
        <f t="shared" si="426"/>
        <v>0</v>
      </c>
      <c r="R868" s="132">
        <f t="shared" si="427"/>
        <v>0</v>
      </c>
      <c r="S868" s="132">
        <f t="shared" si="428"/>
        <v>0</v>
      </c>
      <c r="T868" s="133">
        <f t="shared" si="429"/>
        <v>0</v>
      </c>
      <c r="U868" s="134">
        <f t="shared" si="430"/>
        <v>0</v>
      </c>
      <c r="V868" s="135"/>
      <c r="W868" s="136"/>
      <c r="X868" s="2"/>
      <c r="Y868" s="111"/>
      <c r="Z868" s="3"/>
    </row>
    <row r="869" ht="14.25" hidden="1" customHeight="1" outlineLevel="1">
      <c r="A869" s="124"/>
      <c r="B869" s="125"/>
      <c r="C869" s="126"/>
      <c r="D869" s="127"/>
      <c r="E869" s="35"/>
      <c r="F869" s="128"/>
      <c r="G869" s="128"/>
      <c r="H869" s="128"/>
      <c r="I869" s="127">
        <f t="shared" si="422"/>
        <v>0</v>
      </c>
      <c r="J869" s="88"/>
      <c r="K869" s="129">
        <f t="shared" si="423"/>
        <v>0</v>
      </c>
      <c r="L869" s="130">
        <v>0.0</v>
      </c>
      <c r="M869" s="129">
        <f t="shared" si="424"/>
        <v>0</v>
      </c>
      <c r="N869" s="130">
        <f t="shared" si="425"/>
        <v>1</v>
      </c>
      <c r="O869" s="131"/>
      <c r="P869" s="88"/>
      <c r="Q869" s="132">
        <f t="shared" si="426"/>
        <v>0</v>
      </c>
      <c r="R869" s="132">
        <f t="shared" si="427"/>
        <v>0</v>
      </c>
      <c r="S869" s="132">
        <f t="shared" si="428"/>
        <v>0</v>
      </c>
      <c r="T869" s="133">
        <f t="shared" si="429"/>
        <v>0</v>
      </c>
      <c r="U869" s="134">
        <f t="shared" si="430"/>
        <v>0</v>
      </c>
      <c r="V869" s="135"/>
      <c r="W869" s="136"/>
      <c r="X869" s="2"/>
      <c r="Y869" s="111"/>
      <c r="Z869" s="3"/>
    </row>
    <row r="870" ht="14.25" hidden="1" customHeight="1" outlineLevel="1">
      <c r="A870" s="124"/>
      <c r="B870" s="125"/>
      <c r="C870" s="126"/>
      <c r="D870" s="127"/>
      <c r="E870" s="35"/>
      <c r="F870" s="128"/>
      <c r="G870" s="128"/>
      <c r="H870" s="128"/>
      <c r="I870" s="127">
        <f t="shared" si="422"/>
        <v>0</v>
      </c>
      <c r="J870" s="88"/>
      <c r="K870" s="129">
        <f t="shared" si="423"/>
        <v>0</v>
      </c>
      <c r="L870" s="130">
        <v>0.0</v>
      </c>
      <c r="M870" s="129">
        <f t="shared" si="424"/>
        <v>0</v>
      </c>
      <c r="N870" s="130">
        <f t="shared" si="425"/>
        <v>1</v>
      </c>
      <c r="O870" s="131"/>
      <c r="P870" s="88"/>
      <c r="Q870" s="132">
        <f t="shared" si="426"/>
        <v>0</v>
      </c>
      <c r="R870" s="132">
        <f t="shared" si="427"/>
        <v>0</v>
      </c>
      <c r="S870" s="132">
        <f t="shared" si="428"/>
        <v>0</v>
      </c>
      <c r="T870" s="133">
        <f t="shared" si="429"/>
        <v>0</v>
      </c>
      <c r="U870" s="134">
        <f t="shared" si="430"/>
        <v>0</v>
      </c>
      <c r="V870" s="135"/>
      <c r="W870" s="136"/>
      <c r="X870" s="2"/>
      <c r="Y870" s="111"/>
      <c r="Z870" s="3"/>
    </row>
    <row r="871" ht="14.25" customHeight="1">
      <c r="A871" s="3"/>
      <c r="B871" s="3"/>
      <c r="C871" s="3"/>
      <c r="D871" s="3"/>
      <c r="E871" s="3"/>
      <c r="F871" s="3"/>
      <c r="G871" s="3"/>
      <c r="H871" s="3"/>
      <c r="I871" s="3"/>
      <c r="J871" s="3"/>
      <c r="K871" s="3"/>
      <c r="L871" s="3"/>
      <c r="M871" s="3"/>
      <c r="N871" s="3"/>
      <c r="O871" s="3"/>
      <c r="P871" s="3"/>
      <c r="Q871" s="3"/>
      <c r="R871" s="3"/>
      <c r="S871" s="3"/>
      <c r="T871" s="3"/>
      <c r="U871" s="3"/>
      <c r="V871" s="3"/>
      <c r="W871" s="3"/>
      <c r="X871" s="150"/>
      <c r="Y871" s="3"/>
      <c r="Z871" s="3"/>
    </row>
    <row r="872" ht="14.25" customHeight="1">
      <c r="A872" s="3"/>
      <c r="B872" s="3"/>
      <c r="C872" s="3"/>
      <c r="D872" s="3"/>
      <c r="E872" s="3"/>
      <c r="F872" s="3"/>
      <c r="G872" s="3"/>
      <c r="H872" s="3"/>
      <c r="I872" s="3"/>
      <c r="J872" s="3"/>
      <c r="K872" s="3"/>
      <c r="L872" s="3"/>
      <c r="M872" s="3"/>
      <c r="N872" s="3"/>
      <c r="O872" s="3"/>
      <c r="P872" s="3"/>
      <c r="Q872" s="3"/>
      <c r="R872" s="3"/>
      <c r="S872" s="3"/>
      <c r="T872" s="3"/>
      <c r="U872" s="3"/>
      <c r="V872" s="3"/>
      <c r="W872" s="3"/>
      <c r="X872" s="150"/>
      <c r="Y872" s="3"/>
      <c r="Z872" s="3"/>
    </row>
    <row r="873" ht="14.25" customHeight="1">
      <c r="A873" s="3"/>
      <c r="B873" s="3"/>
      <c r="C873" s="3"/>
      <c r="D873" s="3"/>
      <c r="E873" s="3"/>
      <c r="F873" s="3"/>
      <c r="G873" s="3"/>
      <c r="H873" s="3"/>
      <c r="I873" s="3"/>
      <c r="J873" s="3"/>
      <c r="K873" s="3"/>
      <c r="L873" s="3"/>
      <c r="M873" s="3"/>
      <c r="N873" s="3"/>
      <c r="O873" s="3"/>
      <c r="P873" s="3"/>
      <c r="Q873" s="3"/>
      <c r="R873" s="3"/>
      <c r="S873" s="3"/>
      <c r="T873" s="3"/>
      <c r="U873" s="3"/>
      <c r="V873" s="3"/>
      <c r="W873" s="3"/>
      <c r="X873" s="150"/>
      <c r="Y873" s="3"/>
      <c r="Z873" s="3"/>
    </row>
    <row r="874" ht="14.25" customHeight="1">
      <c r="A874" s="3"/>
      <c r="B874" s="3"/>
      <c r="C874" s="3"/>
      <c r="D874" s="3"/>
      <c r="E874" s="3"/>
      <c r="F874" s="3"/>
      <c r="G874" s="3"/>
      <c r="H874" s="3"/>
      <c r="I874" s="3"/>
      <c r="J874" s="3"/>
      <c r="K874" s="3"/>
      <c r="L874" s="3"/>
      <c r="M874" s="3"/>
      <c r="N874" s="3"/>
      <c r="O874" s="3"/>
      <c r="P874" s="3"/>
      <c r="Q874" s="3"/>
      <c r="R874" s="3"/>
      <c r="S874" s="3"/>
      <c r="T874" s="3"/>
      <c r="U874" s="3"/>
      <c r="V874" s="3"/>
      <c r="W874" s="3"/>
      <c r="X874" s="150"/>
      <c r="Y874" s="3"/>
      <c r="Z874" s="3"/>
    </row>
    <row r="875" ht="14.25" customHeight="1">
      <c r="A875" s="3"/>
      <c r="B875" s="3"/>
      <c r="C875" s="3"/>
      <c r="D875" s="3"/>
      <c r="E875" s="3"/>
      <c r="F875" s="3"/>
      <c r="G875" s="3"/>
      <c r="H875" s="3"/>
      <c r="I875" s="3"/>
      <c r="J875" s="3"/>
      <c r="K875" s="3"/>
      <c r="L875" s="3"/>
      <c r="M875" s="3"/>
      <c r="N875" s="3"/>
      <c r="O875" s="3"/>
      <c r="P875" s="3"/>
      <c r="Q875" s="3"/>
      <c r="R875" s="3"/>
      <c r="S875" s="3"/>
      <c r="T875" s="3"/>
      <c r="U875" s="3"/>
      <c r="V875" s="3"/>
      <c r="W875" s="3"/>
      <c r="X875" s="150"/>
      <c r="Y875" s="3"/>
      <c r="Z875" s="3"/>
    </row>
    <row r="876" ht="14.25" customHeight="1">
      <c r="A876" s="3"/>
      <c r="B876" s="3"/>
      <c r="C876" s="3"/>
      <c r="D876" s="3"/>
      <c r="E876" s="3"/>
      <c r="F876" s="3"/>
      <c r="G876" s="3"/>
      <c r="H876" s="3"/>
      <c r="I876" s="3"/>
      <c r="J876" s="3"/>
      <c r="K876" s="3"/>
      <c r="L876" s="3"/>
      <c r="M876" s="3"/>
      <c r="N876" s="3"/>
      <c r="O876" s="3"/>
      <c r="P876" s="3"/>
      <c r="Q876" s="3"/>
      <c r="R876" s="3"/>
      <c r="S876" s="3"/>
      <c r="T876" s="3"/>
      <c r="U876" s="3"/>
      <c r="V876" s="3"/>
      <c r="W876" s="3"/>
      <c r="X876" s="150"/>
      <c r="Y876" s="3"/>
      <c r="Z876" s="3"/>
    </row>
    <row r="877" ht="14.25" customHeight="1">
      <c r="A877" s="3"/>
      <c r="B877" s="3"/>
      <c r="C877" s="3"/>
      <c r="D877" s="3"/>
      <c r="E877" s="3"/>
      <c r="F877" s="3"/>
      <c r="G877" s="3"/>
      <c r="H877" s="3"/>
      <c r="I877" s="3"/>
      <c r="J877" s="3"/>
      <c r="K877" s="3"/>
      <c r="L877" s="3"/>
      <c r="M877" s="3"/>
      <c r="N877" s="3"/>
      <c r="O877" s="3"/>
      <c r="P877" s="3"/>
      <c r="Q877" s="3"/>
      <c r="R877" s="3"/>
      <c r="S877" s="3"/>
      <c r="T877" s="3"/>
      <c r="U877" s="3"/>
      <c r="V877" s="3"/>
      <c r="W877" s="3"/>
      <c r="X877" s="150"/>
      <c r="Y877" s="3"/>
      <c r="Z877" s="3"/>
    </row>
    <row r="878" ht="14.25" customHeight="1">
      <c r="A878" s="3"/>
      <c r="B878" s="3"/>
      <c r="C878" s="3"/>
      <c r="D878" s="3"/>
      <c r="E878" s="3"/>
      <c r="F878" s="3"/>
      <c r="G878" s="3"/>
      <c r="H878" s="3"/>
      <c r="I878" s="3"/>
      <c r="J878" s="3"/>
      <c r="K878" s="3"/>
      <c r="L878" s="3"/>
      <c r="M878" s="3"/>
      <c r="N878" s="3"/>
      <c r="O878" s="3"/>
      <c r="P878" s="3"/>
      <c r="Q878" s="3"/>
      <c r="R878" s="3"/>
      <c r="S878" s="3"/>
      <c r="T878" s="3"/>
      <c r="U878" s="3"/>
      <c r="V878" s="3"/>
      <c r="W878" s="3"/>
      <c r="X878" s="150"/>
      <c r="Y878" s="3"/>
      <c r="Z878" s="3"/>
    </row>
    <row r="879" ht="14.25" customHeight="1">
      <c r="A879" s="3"/>
      <c r="B879" s="3"/>
      <c r="C879" s="3"/>
      <c r="D879" s="3"/>
      <c r="E879" s="3"/>
      <c r="F879" s="3"/>
      <c r="G879" s="3"/>
      <c r="H879" s="3"/>
      <c r="I879" s="3"/>
      <c r="J879" s="3"/>
      <c r="K879" s="3"/>
      <c r="L879" s="3"/>
      <c r="M879" s="3"/>
      <c r="N879" s="3"/>
      <c r="O879" s="3"/>
      <c r="P879" s="3"/>
      <c r="Q879" s="3"/>
      <c r="R879" s="3"/>
      <c r="S879" s="3"/>
      <c r="T879" s="3"/>
      <c r="U879" s="3"/>
      <c r="V879" s="3"/>
      <c r="W879" s="3"/>
      <c r="X879" s="150"/>
      <c r="Y879" s="3"/>
      <c r="Z879" s="3"/>
    </row>
    <row r="880" ht="14.25" customHeight="1">
      <c r="A880" s="3"/>
      <c r="B880" s="3"/>
      <c r="C880" s="3"/>
      <c r="D880" s="3"/>
      <c r="E880" s="3"/>
      <c r="F880" s="3"/>
      <c r="G880" s="3"/>
      <c r="H880" s="3"/>
      <c r="I880" s="3"/>
      <c r="J880" s="3"/>
      <c r="K880" s="3"/>
      <c r="L880" s="3"/>
      <c r="M880" s="3"/>
      <c r="N880" s="3"/>
      <c r="O880" s="3"/>
      <c r="P880" s="3"/>
      <c r="Q880" s="3"/>
      <c r="R880" s="3"/>
      <c r="S880" s="3"/>
      <c r="T880" s="3"/>
      <c r="U880" s="3"/>
      <c r="V880" s="3"/>
      <c r="W880" s="3"/>
      <c r="X880" s="150"/>
      <c r="Y880" s="3"/>
      <c r="Z880" s="3"/>
    </row>
    <row r="881" ht="14.25" customHeight="1">
      <c r="A881" s="3"/>
      <c r="B881" s="3"/>
      <c r="C881" s="3"/>
      <c r="D881" s="3"/>
      <c r="E881" s="3"/>
      <c r="F881" s="3"/>
      <c r="G881" s="3"/>
      <c r="H881" s="3"/>
      <c r="I881" s="3"/>
      <c r="J881" s="3"/>
      <c r="K881" s="3"/>
      <c r="L881" s="3"/>
      <c r="M881" s="3"/>
      <c r="N881" s="3"/>
      <c r="O881" s="3"/>
      <c r="P881" s="3"/>
      <c r="Q881" s="3"/>
      <c r="R881" s="3"/>
      <c r="S881" s="3"/>
      <c r="T881" s="3"/>
      <c r="U881" s="3"/>
      <c r="V881" s="3"/>
      <c r="W881" s="3"/>
      <c r="X881" s="150"/>
      <c r="Y881" s="3"/>
      <c r="Z881" s="3"/>
    </row>
    <row r="882" ht="14.25" customHeight="1">
      <c r="A882" s="3"/>
      <c r="B882" s="3"/>
      <c r="C882" s="3"/>
      <c r="D882" s="3"/>
      <c r="E882" s="3"/>
      <c r="F882" s="3"/>
      <c r="G882" s="3"/>
      <c r="H882" s="3"/>
      <c r="I882" s="3"/>
      <c r="J882" s="3"/>
      <c r="K882" s="3"/>
      <c r="L882" s="3"/>
      <c r="M882" s="3"/>
      <c r="N882" s="3"/>
      <c r="O882" s="3"/>
      <c r="P882" s="3"/>
      <c r="Q882" s="3"/>
      <c r="R882" s="3"/>
      <c r="S882" s="3"/>
      <c r="T882" s="3"/>
      <c r="U882" s="3"/>
      <c r="V882" s="3"/>
      <c r="W882" s="3"/>
      <c r="X882" s="150"/>
      <c r="Y882" s="3"/>
      <c r="Z882" s="3"/>
    </row>
    <row r="883" ht="14.25" customHeight="1">
      <c r="A883" s="3"/>
      <c r="B883" s="3"/>
      <c r="C883" s="3"/>
      <c r="D883" s="3"/>
      <c r="E883" s="3"/>
      <c r="F883" s="3"/>
      <c r="G883" s="3"/>
      <c r="H883" s="3"/>
      <c r="I883" s="3"/>
      <c r="J883" s="3"/>
      <c r="K883" s="3"/>
      <c r="L883" s="3"/>
      <c r="M883" s="3"/>
      <c r="N883" s="3"/>
      <c r="O883" s="3"/>
      <c r="P883" s="3"/>
      <c r="Q883" s="3"/>
      <c r="R883" s="3"/>
      <c r="S883" s="3"/>
      <c r="T883" s="3"/>
      <c r="U883" s="3"/>
      <c r="V883" s="3"/>
      <c r="W883" s="3"/>
      <c r="X883" s="150"/>
      <c r="Y883" s="3"/>
      <c r="Z883" s="3"/>
    </row>
    <row r="884" ht="14.25" customHeight="1">
      <c r="A884" s="3"/>
      <c r="B884" s="3"/>
      <c r="C884" s="3"/>
      <c r="D884" s="3"/>
      <c r="E884" s="3"/>
      <c r="F884" s="3"/>
      <c r="G884" s="3"/>
      <c r="H884" s="3"/>
      <c r="I884" s="3"/>
      <c r="J884" s="3"/>
      <c r="K884" s="3"/>
      <c r="L884" s="3"/>
      <c r="M884" s="3"/>
      <c r="N884" s="3"/>
      <c r="O884" s="3"/>
      <c r="P884" s="3"/>
      <c r="Q884" s="3"/>
      <c r="R884" s="3"/>
      <c r="S884" s="3"/>
      <c r="T884" s="3"/>
      <c r="U884" s="3"/>
      <c r="V884" s="3"/>
      <c r="W884" s="3"/>
      <c r="X884" s="150"/>
      <c r="Y884" s="3"/>
      <c r="Z884" s="3"/>
    </row>
    <row r="885" ht="14.25" customHeight="1">
      <c r="A885" s="3"/>
      <c r="B885" s="3"/>
      <c r="C885" s="3"/>
      <c r="D885" s="3"/>
      <c r="E885" s="3"/>
      <c r="F885" s="3"/>
      <c r="G885" s="3"/>
      <c r="H885" s="3"/>
      <c r="I885" s="3"/>
      <c r="J885" s="3"/>
      <c r="K885" s="3"/>
      <c r="L885" s="3"/>
      <c r="M885" s="3"/>
      <c r="N885" s="3"/>
      <c r="O885" s="3"/>
      <c r="P885" s="3"/>
      <c r="Q885" s="3"/>
      <c r="R885" s="3"/>
      <c r="S885" s="3"/>
      <c r="T885" s="3"/>
      <c r="U885" s="3"/>
      <c r="V885" s="3"/>
      <c r="W885" s="3"/>
      <c r="X885" s="150"/>
      <c r="Y885" s="3"/>
      <c r="Z885" s="3"/>
    </row>
    <row r="886" ht="14.25" customHeight="1">
      <c r="A886" s="3"/>
      <c r="B886" s="3"/>
      <c r="C886" s="3"/>
      <c r="D886" s="3"/>
      <c r="E886" s="3"/>
      <c r="F886" s="3"/>
      <c r="G886" s="3"/>
      <c r="H886" s="3"/>
      <c r="I886" s="3"/>
      <c r="J886" s="3"/>
      <c r="K886" s="3"/>
      <c r="L886" s="3"/>
      <c r="M886" s="3"/>
      <c r="N886" s="3"/>
      <c r="O886" s="3"/>
      <c r="P886" s="3"/>
      <c r="Q886" s="3"/>
      <c r="R886" s="3"/>
      <c r="S886" s="3"/>
      <c r="T886" s="3"/>
      <c r="U886" s="3"/>
      <c r="V886" s="3"/>
      <c r="W886" s="3"/>
      <c r="X886" s="150"/>
      <c r="Y886" s="3"/>
      <c r="Z886" s="3"/>
    </row>
    <row r="887" ht="14.25" customHeight="1">
      <c r="A887" s="3"/>
      <c r="B887" s="3"/>
      <c r="C887" s="3"/>
      <c r="D887" s="3"/>
      <c r="E887" s="3"/>
      <c r="F887" s="3"/>
      <c r="G887" s="3"/>
      <c r="H887" s="3"/>
      <c r="I887" s="3"/>
      <c r="J887" s="3"/>
      <c r="K887" s="3"/>
      <c r="L887" s="3"/>
      <c r="M887" s="3"/>
      <c r="N887" s="3"/>
      <c r="O887" s="3"/>
      <c r="P887" s="3"/>
      <c r="Q887" s="3"/>
      <c r="R887" s="3"/>
      <c r="S887" s="3"/>
      <c r="T887" s="3"/>
      <c r="U887" s="3"/>
      <c r="V887" s="3"/>
      <c r="W887" s="3"/>
      <c r="X887" s="150"/>
      <c r="Y887" s="3"/>
      <c r="Z887" s="3"/>
    </row>
    <row r="888" ht="14.25" customHeight="1">
      <c r="A888" s="3"/>
      <c r="B888" s="3"/>
      <c r="C888" s="3"/>
      <c r="D888" s="3"/>
      <c r="E888" s="3"/>
      <c r="F888" s="3"/>
      <c r="G888" s="3"/>
      <c r="H888" s="3"/>
      <c r="I888" s="3"/>
      <c r="J888" s="3"/>
      <c r="K888" s="3"/>
      <c r="L888" s="3"/>
      <c r="M888" s="3"/>
      <c r="N888" s="3"/>
      <c r="O888" s="3"/>
      <c r="P888" s="3"/>
      <c r="Q888" s="3"/>
      <c r="R888" s="3"/>
      <c r="S888" s="3"/>
      <c r="T888" s="3"/>
      <c r="U888" s="3"/>
      <c r="V888" s="3"/>
      <c r="W888" s="3"/>
      <c r="X888" s="150"/>
      <c r="Y888" s="3"/>
      <c r="Z888" s="3"/>
    </row>
    <row r="889" ht="14.25" customHeight="1">
      <c r="A889" s="3"/>
      <c r="B889" s="3"/>
      <c r="C889" s="3"/>
      <c r="D889" s="3"/>
      <c r="E889" s="3"/>
      <c r="F889" s="3"/>
      <c r="G889" s="3"/>
      <c r="H889" s="3"/>
      <c r="I889" s="3"/>
      <c r="J889" s="3"/>
      <c r="K889" s="3"/>
      <c r="L889" s="3"/>
      <c r="M889" s="3"/>
      <c r="N889" s="3"/>
      <c r="O889" s="3"/>
      <c r="P889" s="3"/>
      <c r="Q889" s="3"/>
      <c r="R889" s="3"/>
      <c r="S889" s="3"/>
      <c r="T889" s="3"/>
      <c r="U889" s="3"/>
      <c r="V889" s="3"/>
      <c r="W889" s="3"/>
      <c r="X889" s="150"/>
      <c r="Y889" s="3"/>
      <c r="Z889" s="3"/>
    </row>
    <row r="890" ht="14.25" customHeight="1">
      <c r="A890" s="3"/>
      <c r="B890" s="3"/>
      <c r="C890" s="3"/>
      <c r="D890" s="3"/>
      <c r="E890" s="3"/>
      <c r="F890" s="3"/>
      <c r="G890" s="3"/>
      <c r="H890" s="3"/>
      <c r="I890" s="3"/>
      <c r="J890" s="3"/>
      <c r="K890" s="3"/>
      <c r="L890" s="3"/>
      <c r="M890" s="3"/>
      <c r="N890" s="3"/>
      <c r="O890" s="3"/>
      <c r="P890" s="3"/>
      <c r="Q890" s="3"/>
      <c r="R890" s="3"/>
      <c r="S890" s="3"/>
      <c r="T890" s="3"/>
      <c r="U890" s="3"/>
      <c r="V890" s="3"/>
      <c r="W890" s="3"/>
      <c r="X890" s="150"/>
      <c r="Y890" s="3"/>
      <c r="Z890" s="3"/>
    </row>
    <row r="891" ht="14.25" customHeight="1">
      <c r="A891" s="3"/>
      <c r="B891" s="3"/>
      <c r="C891" s="3"/>
      <c r="D891" s="3"/>
      <c r="E891" s="3"/>
      <c r="F891" s="3"/>
      <c r="G891" s="3"/>
      <c r="H891" s="3"/>
      <c r="I891" s="3"/>
      <c r="J891" s="3"/>
      <c r="K891" s="3"/>
      <c r="L891" s="3"/>
      <c r="M891" s="3"/>
      <c r="N891" s="3"/>
      <c r="O891" s="3"/>
      <c r="P891" s="3"/>
      <c r="Q891" s="3"/>
      <c r="R891" s="3"/>
      <c r="S891" s="3"/>
      <c r="T891" s="3"/>
      <c r="U891" s="3"/>
      <c r="V891" s="3"/>
      <c r="W891" s="3"/>
      <c r="X891" s="150"/>
      <c r="Y891" s="3"/>
      <c r="Z891" s="3"/>
    </row>
    <row r="892" ht="14.25" customHeight="1">
      <c r="A892" s="3"/>
      <c r="B892" s="3"/>
      <c r="C892" s="3"/>
      <c r="D892" s="3"/>
      <c r="E892" s="3"/>
      <c r="F892" s="3"/>
      <c r="G892" s="3"/>
      <c r="H892" s="3"/>
      <c r="I892" s="3"/>
      <c r="J892" s="3"/>
      <c r="K892" s="3"/>
      <c r="L892" s="3"/>
      <c r="M892" s="3"/>
      <c r="N892" s="3"/>
      <c r="O892" s="3"/>
      <c r="P892" s="3"/>
      <c r="Q892" s="3"/>
      <c r="R892" s="3"/>
      <c r="S892" s="3"/>
      <c r="T892" s="3"/>
      <c r="U892" s="3"/>
      <c r="V892" s="3"/>
      <c r="W892" s="3"/>
      <c r="X892" s="150"/>
      <c r="Y892" s="3"/>
      <c r="Z892" s="3"/>
    </row>
    <row r="893" ht="14.25" customHeight="1">
      <c r="A893" s="3"/>
      <c r="B893" s="3"/>
      <c r="C893" s="3"/>
      <c r="D893" s="3"/>
      <c r="E893" s="3"/>
      <c r="F893" s="3"/>
      <c r="G893" s="3"/>
      <c r="H893" s="3"/>
      <c r="I893" s="3"/>
      <c r="J893" s="3"/>
      <c r="K893" s="3"/>
      <c r="L893" s="3"/>
      <c r="M893" s="3"/>
      <c r="N893" s="3"/>
      <c r="O893" s="3"/>
      <c r="P893" s="3"/>
      <c r="Q893" s="3"/>
      <c r="R893" s="3"/>
      <c r="S893" s="3"/>
      <c r="T893" s="3"/>
      <c r="U893" s="3"/>
      <c r="V893" s="3"/>
      <c r="W893" s="3"/>
      <c r="X893" s="150"/>
      <c r="Y893" s="3"/>
      <c r="Z893" s="3"/>
    </row>
    <row r="894" ht="14.25" customHeight="1">
      <c r="A894" s="3"/>
      <c r="B894" s="3"/>
      <c r="C894" s="3"/>
      <c r="D894" s="3"/>
      <c r="E894" s="3"/>
      <c r="F894" s="3"/>
      <c r="G894" s="3"/>
      <c r="H894" s="3"/>
      <c r="I894" s="3"/>
      <c r="J894" s="3"/>
      <c r="K894" s="3"/>
      <c r="L894" s="3"/>
      <c r="M894" s="3"/>
      <c r="N894" s="3"/>
      <c r="O894" s="3"/>
      <c r="P894" s="3"/>
      <c r="Q894" s="3"/>
      <c r="R894" s="3"/>
      <c r="S894" s="3"/>
      <c r="T894" s="3"/>
      <c r="U894" s="3"/>
      <c r="V894" s="3"/>
      <c r="W894" s="3"/>
      <c r="X894" s="150"/>
      <c r="Y894" s="3"/>
      <c r="Z894" s="3"/>
    </row>
    <row r="895" ht="14.25" customHeight="1">
      <c r="A895" s="3"/>
      <c r="B895" s="3"/>
      <c r="C895" s="3"/>
      <c r="D895" s="3"/>
      <c r="E895" s="3"/>
      <c r="F895" s="3"/>
      <c r="G895" s="3"/>
      <c r="H895" s="3"/>
      <c r="I895" s="3"/>
      <c r="J895" s="3"/>
      <c r="K895" s="3"/>
      <c r="L895" s="3"/>
      <c r="M895" s="3"/>
      <c r="N895" s="3"/>
      <c r="O895" s="3"/>
      <c r="P895" s="3"/>
      <c r="Q895" s="3"/>
      <c r="R895" s="3"/>
      <c r="S895" s="3"/>
      <c r="T895" s="3"/>
      <c r="U895" s="3"/>
      <c r="V895" s="3"/>
      <c r="W895" s="3"/>
      <c r="X895" s="150"/>
      <c r="Y895" s="3"/>
      <c r="Z895" s="3"/>
    </row>
    <row r="896" ht="14.25" customHeight="1">
      <c r="A896" s="3"/>
      <c r="B896" s="3"/>
      <c r="C896" s="3"/>
      <c r="D896" s="3"/>
      <c r="E896" s="3"/>
      <c r="F896" s="3"/>
      <c r="G896" s="3"/>
      <c r="H896" s="3"/>
      <c r="I896" s="3"/>
      <c r="J896" s="3"/>
      <c r="K896" s="3"/>
      <c r="L896" s="3"/>
      <c r="M896" s="3"/>
      <c r="N896" s="3"/>
      <c r="O896" s="3"/>
      <c r="P896" s="3"/>
      <c r="Q896" s="3"/>
      <c r="R896" s="3"/>
      <c r="S896" s="3"/>
      <c r="T896" s="3"/>
      <c r="U896" s="3"/>
      <c r="V896" s="3"/>
      <c r="W896" s="3"/>
      <c r="X896" s="150"/>
      <c r="Y896" s="3"/>
      <c r="Z896" s="3"/>
    </row>
    <row r="897" ht="14.25" customHeight="1">
      <c r="A897" s="3"/>
      <c r="B897" s="3"/>
      <c r="C897" s="3"/>
      <c r="D897" s="3"/>
      <c r="E897" s="3"/>
      <c r="F897" s="3"/>
      <c r="G897" s="3"/>
      <c r="H897" s="3"/>
      <c r="I897" s="3"/>
      <c r="J897" s="3"/>
      <c r="K897" s="3"/>
      <c r="L897" s="3"/>
      <c r="M897" s="3"/>
      <c r="N897" s="3"/>
      <c r="O897" s="3"/>
      <c r="P897" s="3"/>
      <c r="Q897" s="3"/>
      <c r="R897" s="3"/>
      <c r="S897" s="3"/>
      <c r="T897" s="3"/>
      <c r="U897" s="3"/>
      <c r="V897" s="3"/>
      <c r="W897" s="3"/>
      <c r="X897" s="150"/>
      <c r="Y897" s="3"/>
      <c r="Z897" s="3"/>
    </row>
    <row r="898" ht="14.25" customHeight="1">
      <c r="A898" s="3"/>
      <c r="B898" s="3"/>
      <c r="C898" s="3"/>
      <c r="D898" s="3"/>
      <c r="E898" s="3"/>
      <c r="F898" s="3"/>
      <c r="G898" s="3"/>
      <c r="H898" s="3"/>
      <c r="I898" s="3"/>
      <c r="J898" s="3"/>
      <c r="K898" s="3"/>
      <c r="L898" s="3"/>
      <c r="M898" s="3"/>
      <c r="N898" s="3"/>
      <c r="O898" s="3"/>
      <c r="P898" s="3"/>
      <c r="Q898" s="3"/>
      <c r="R898" s="3"/>
      <c r="S898" s="3"/>
      <c r="T898" s="3"/>
      <c r="U898" s="3"/>
      <c r="V898" s="3"/>
      <c r="W898" s="3"/>
      <c r="X898" s="150"/>
      <c r="Y898" s="3"/>
      <c r="Z898" s="3"/>
    </row>
    <row r="899" ht="14.25" customHeight="1">
      <c r="A899" s="3"/>
      <c r="B899" s="3"/>
      <c r="C899" s="3"/>
      <c r="D899" s="3"/>
      <c r="E899" s="3"/>
      <c r="F899" s="3"/>
      <c r="G899" s="3"/>
      <c r="H899" s="3"/>
      <c r="I899" s="3"/>
      <c r="J899" s="3"/>
      <c r="K899" s="3"/>
      <c r="L899" s="3"/>
      <c r="M899" s="3"/>
      <c r="N899" s="3"/>
      <c r="O899" s="3"/>
      <c r="P899" s="3"/>
      <c r="Q899" s="3"/>
      <c r="R899" s="3"/>
      <c r="S899" s="3"/>
      <c r="T899" s="3"/>
      <c r="U899" s="3"/>
      <c r="V899" s="3"/>
      <c r="W899" s="3"/>
      <c r="X899" s="150"/>
      <c r="Y899" s="3"/>
      <c r="Z899" s="3"/>
    </row>
    <row r="900" ht="14.25" customHeight="1">
      <c r="A900" s="3"/>
      <c r="B900" s="3"/>
      <c r="C900" s="3"/>
      <c r="D900" s="3"/>
      <c r="E900" s="3"/>
      <c r="F900" s="3"/>
      <c r="G900" s="3"/>
      <c r="H900" s="3"/>
      <c r="I900" s="3"/>
      <c r="J900" s="3"/>
      <c r="K900" s="3"/>
      <c r="L900" s="3"/>
      <c r="M900" s="3"/>
      <c r="N900" s="3"/>
      <c r="O900" s="3"/>
      <c r="P900" s="3"/>
      <c r="Q900" s="3"/>
      <c r="R900" s="3"/>
      <c r="S900" s="3"/>
      <c r="T900" s="3"/>
      <c r="U900" s="3"/>
      <c r="V900" s="3"/>
      <c r="W900" s="3"/>
      <c r="X900" s="150"/>
      <c r="Y900" s="3"/>
      <c r="Z900" s="3"/>
    </row>
    <row r="901" ht="14.25" customHeight="1">
      <c r="A901" s="3"/>
      <c r="B901" s="3"/>
      <c r="C901" s="3"/>
      <c r="D901" s="3"/>
      <c r="E901" s="3"/>
      <c r="F901" s="3"/>
      <c r="G901" s="3"/>
      <c r="H901" s="3"/>
      <c r="I901" s="3"/>
      <c r="J901" s="3"/>
      <c r="K901" s="3"/>
      <c r="L901" s="3"/>
      <c r="M901" s="3"/>
      <c r="N901" s="3"/>
      <c r="O901" s="3"/>
      <c r="P901" s="3"/>
      <c r="Q901" s="3"/>
      <c r="R901" s="3"/>
      <c r="S901" s="3"/>
      <c r="T901" s="3"/>
      <c r="U901" s="3"/>
      <c r="V901" s="3"/>
      <c r="W901" s="3"/>
      <c r="X901" s="150"/>
      <c r="Y901" s="3"/>
      <c r="Z901" s="3"/>
    </row>
    <row r="902" ht="14.25" customHeight="1">
      <c r="A902" s="3"/>
      <c r="B902" s="3"/>
      <c r="C902" s="3"/>
      <c r="D902" s="3"/>
      <c r="E902" s="3"/>
      <c r="F902" s="3"/>
      <c r="G902" s="3"/>
      <c r="H902" s="3"/>
      <c r="I902" s="3"/>
      <c r="J902" s="3"/>
      <c r="K902" s="3"/>
      <c r="L902" s="3"/>
      <c r="M902" s="3"/>
      <c r="N902" s="3"/>
      <c r="O902" s="3"/>
      <c r="P902" s="3"/>
      <c r="Q902" s="3"/>
      <c r="R902" s="3"/>
      <c r="S902" s="3"/>
      <c r="T902" s="3"/>
      <c r="U902" s="3"/>
      <c r="V902" s="3"/>
      <c r="W902" s="3"/>
      <c r="X902" s="150"/>
      <c r="Y902" s="3"/>
      <c r="Z902" s="3"/>
    </row>
    <row r="903" ht="14.25" customHeight="1">
      <c r="A903" s="3"/>
      <c r="B903" s="3"/>
      <c r="C903" s="3"/>
      <c r="D903" s="3"/>
      <c r="E903" s="3"/>
      <c r="F903" s="3"/>
      <c r="G903" s="3"/>
      <c r="H903" s="3"/>
      <c r="I903" s="3"/>
      <c r="J903" s="3"/>
      <c r="K903" s="3"/>
      <c r="L903" s="3"/>
      <c r="M903" s="3"/>
      <c r="N903" s="3"/>
      <c r="O903" s="3"/>
      <c r="P903" s="3"/>
      <c r="Q903" s="3"/>
      <c r="R903" s="3"/>
      <c r="S903" s="3"/>
      <c r="T903" s="3"/>
      <c r="U903" s="3"/>
      <c r="V903" s="3"/>
      <c r="W903" s="3"/>
      <c r="X903" s="150"/>
      <c r="Y903" s="3"/>
      <c r="Z903" s="3"/>
    </row>
    <row r="904" ht="14.25" customHeight="1">
      <c r="A904" s="3"/>
      <c r="B904" s="3"/>
      <c r="C904" s="3"/>
      <c r="D904" s="3"/>
      <c r="E904" s="3"/>
      <c r="F904" s="3"/>
      <c r="G904" s="3"/>
      <c r="H904" s="3"/>
      <c r="I904" s="3"/>
      <c r="J904" s="3"/>
      <c r="K904" s="3"/>
      <c r="L904" s="3"/>
      <c r="M904" s="3"/>
      <c r="N904" s="3"/>
      <c r="O904" s="3"/>
      <c r="P904" s="3"/>
      <c r="Q904" s="3"/>
      <c r="R904" s="3"/>
      <c r="S904" s="3"/>
      <c r="T904" s="3"/>
      <c r="U904" s="3"/>
      <c r="V904" s="3"/>
      <c r="W904" s="3"/>
      <c r="X904" s="150"/>
      <c r="Y904" s="3"/>
      <c r="Z904" s="3"/>
    </row>
    <row r="905" ht="14.25" customHeight="1">
      <c r="A905" s="3"/>
      <c r="B905" s="3"/>
      <c r="C905" s="3"/>
      <c r="D905" s="3"/>
      <c r="E905" s="3"/>
      <c r="F905" s="3"/>
      <c r="G905" s="3"/>
      <c r="H905" s="3"/>
      <c r="I905" s="3"/>
      <c r="J905" s="3"/>
      <c r="K905" s="3"/>
      <c r="L905" s="3"/>
      <c r="M905" s="3"/>
      <c r="N905" s="3"/>
      <c r="O905" s="3"/>
      <c r="P905" s="3"/>
      <c r="Q905" s="3"/>
      <c r="R905" s="3"/>
      <c r="S905" s="3"/>
      <c r="T905" s="3"/>
      <c r="U905" s="3"/>
      <c r="V905" s="3"/>
      <c r="W905" s="3"/>
      <c r="X905" s="150"/>
      <c r="Y905" s="3"/>
      <c r="Z905" s="3"/>
    </row>
    <row r="906" ht="14.25" customHeight="1">
      <c r="A906" s="3"/>
      <c r="B906" s="3"/>
      <c r="C906" s="3"/>
      <c r="D906" s="3"/>
      <c r="E906" s="3"/>
      <c r="F906" s="3"/>
      <c r="G906" s="3"/>
      <c r="H906" s="3"/>
      <c r="I906" s="3"/>
      <c r="J906" s="3"/>
      <c r="K906" s="3"/>
      <c r="L906" s="3"/>
      <c r="M906" s="3"/>
      <c r="N906" s="3"/>
      <c r="O906" s="3"/>
      <c r="P906" s="3"/>
      <c r="Q906" s="3"/>
      <c r="R906" s="3"/>
      <c r="S906" s="3"/>
      <c r="T906" s="3"/>
      <c r="U906" s="3"/>
      <c r="V906" s="3"/>
      <c r="W906" s="3"/>
      <c r="X906" s="150"/>
      <c r="Y906" s="3"/>
      <c r="Z906" s="3"/>
    </row>
    <row r="907" ht="14.25" customHeight="1">
      <c r="A907" s="3"/>
      <c r="B907" s="3"/>
      <c r="C907" s="3"/>
      <c r="D907" s="3"/>
      <c r="E907" s="3"/>
      <c r="F907" s="3"/>
      <c r="G907" s="3"/>
      <c r="H907" s="3"/>
      <c r="I907" s="3"/>
      <c r="J907" s="3"/>
      <c r="K907" s="3"/>
      <c r="L907" s="3"/>
      <c r="M907" s="3"/>
      <c r="N907" s="3"/>
      <c r="O907" s="3"/>
      <c r="P907" s="3"/>
      <c r="Q907" s="3"/>
      <c r="R907" s="3"/>
      <c r="S907" s="3"/>
      <c r="T907" s="3"/>
      <c r="U907" s="3"/>
      <c r="V907" s="3"/>
      <c r="W907" s="3"/>
      <c r="X907" s="150"/>
      <c r="Y907" s="3"/>
      <c r="Z907" s="3"/>
    </row>
    <row r="908" ht="14.25" customHeight="1">
      <c r="A908" s="3"/>
      <c r="B908" s="3"/>
      <c r="C908" s="3"/>
      <c r="D908" s="3"/>
      <c r="E908" s="3"/>
      <c r="F908" s="3"/>
      <c r="G908" s="3"/>
      <c r="H908" s="3"/>
      <c r="I908" s="3"/>
      <c r="J908" s="3"/>
      <c r="K908" s="3"/>
      <c r="L908" s="3"/>
      <c r="M908" s="3"/>
      <c r="N908" s="3"/>
      <c r="O908" s="3"/>
      <c r="P908" s="3"/>
      <c r="Q908" s="3"/>
      <c r="R908" s="3"/>
      <c r="S908" s="3"/>
      <c r="T908" s="3"/>
      <c r="U908" s="3"/>
      <c r="V908" s="3"/>
      <c r="W908" s="3"/>
      <c r="X908" s="150"/>
      <c r="Y908" s="3"/>
      <c r="Z908" s="3"/>
    </row>
    <row r="909" ht="14.25" customHeight="1">
      <c r="A909" s="3"/>
      <c r="B909" s="3"/>
      <c r="C909" s="3"/>
      <c r="D909" s="3"/>
      <c r="E909" s="3"/>
      <c r="F909" s="3"/>
      <c r="G909" s="3"/>
      <c r="H909" s="3"/>
      <c r="I909" s="3"/>
      <c r="J909" s="3"/>
      <c r="K909" s="3"/>
      <c r="L909" s="3"/>
      <c r="M909" s="3"/>
      <c r="N909" s="3"/>
      <c r="O909" s="3"/>
      <c r="P909" s="3"/>
      <c r="Q909" s="3"/>
      <c r="R909" s="3"/>
      <c r="S909" s="3"/>
      <c r="T909" s="3"/>
      <c r="U909" s="3"/>
      <c r="V909" s="3"/>
      <c r="W909" s="3"/>
      <c r="X909" s="150"/>
      <c r="Y909" s="3"/>
      <c r="Z909" s="3"/>
    </row>
    <row r="910" ht="14.25" customHeight="1">
      <c r="A910" s="3"/>
      <c r="B910" s="3"/>
      <c r="C910" s="3"/>
      <c r="D910" s="3"/>
      <c r="E910" s="3"/>
      <c r="F910" s="3"/>
      <c r="G910" s="3"/>
      <c r="H910" s="3"/>
      <c r="I910" s="3"/>
      <c r="J910" s="3"/>
      <c r="K910" s="3"/>
      <c r="L910" s="3"/>
      <c r="M910" s="3"/>
      <c r="N910" s="3"/>
      <c r="O910" s="3"/>
      <c r="P910" s="3"/>
      <c r="Q910" s="3"/>
      <c r="R910" s="3"/>
      <c r="S910" s="3"/>
      <c r="T910" s="3"/>
      <c r="U910" s="3"/>
      <c r="V910" s="3"/>
      <c r="W910" s="3"/>
      <c r="X910" s="150"/>
      <c r="Y910" s="3"/>
      <c r="Z910" s="3"/>
    </row>
    <row r="911" ht="14.25" customHeight="1">
      <c r="A911" s="3"/>
      <c r="B911" s="3"/>
      <c r="C911" s="3"/>
      <c r="D911" s="3"/>
      <c r="E911" s="3"/>
      <c r="F911" s="3"/>
      <c r="G911" s="3"/>
      <c r="H911" s="3"/>
      <c r="I911" s="3"/>
      <c r="J911" s="3"/>
      <c r="K911" s="3"/>
      <c r="L911" s="3"/>
      <c r="M911" s="3"/>
      <c r="N911" s="3"/>
      <c r="O911" s="3"/>
      <c r="P911" s="3"/>
      <c r="Q911" s="3"/>
      <c r="R911" s="3"/>
      <c r="S911" s="3"/>
      <c r="T911" s="3"/>
      <c r="U911" s="3"/>
      <c r="V911" s="3"/>
      <c r="W911" s="3"/>
      <c r="X911" s="150"/>
      <c r="Y911" s="3"/>
      <c r="Z911" s="3"/>
    </row>
    <row r="912" ht="14.25" customHeight="1">
      <c r="A912" s="3"/>
      <c r="B912" s="3"/>
      <c r="C912" s="3"/>
      <c r="D912" s="3"/>
      <c r="E912" s="3"/>
      <c r="F912" s="3"/>
      <c r="G912" s="3"/>
      <c r="H912" s="3"/>
      <c r="I912" s="3"/>
      <c r="J912" s="3"/>
      <c r="K912" s="3"/>
      <c r="L912" s="3"/>
      <c r="M912" s="3"/>
      <c r="N912" s="3"/>
      <c r="O912" s="3"/>
      <c r="P912" s="3"/>
      <c r="Q912" s="3"/>
      <c r="R912" s="3"/>
      <c r="S912" s="3"/>
      <c r="T912" s="3"/>
      <c r="U912" s="3"/>
      <c r="V912" s="3"/>
      <c r="W912" s="3"/>
      <c r="X912" s="150"/>
      <c r="Y912" s="3"/>
      <c r="Z912" s="3"/>
    </row>
    <row r="913" ht="14.25" customHeight="1">
      <c r="A913" s="3"/>
      <c r="B913" s="3"/>
      <c r="C913" s="3"/>
      <c r="D913" s="3"/>
      <c r="E913" s="3"/>
      <c r="F913" s="3"/>
      <c r="G913" s="3"/>
      <c r="H913" s="3"/>
      <c r="I913" s="3"/>
      <c r="J913" s="3"/>
      <c r="K913" s="3"/>
      <c r="L913" s="3"/>
      <c r="M913" s="3"/>
      <c r="N913" s="3"/>
      <c r="O913" s="3"/>
      <c r="P913" s="3"/>
      <c r="Q913" s="3"/>
      <c r="R913" s="3"/>
      <c r="S913" s="3"/>
      <c r="T913" s="3"/>
      <c r="U913" s="3"/>
      <c r="V913" s="3"/>
      <c r="W913" s="3"/>
      <c r="X913" s="150"/>
      <c r="Y913" s="3"/>
      <c r="Z913" s="3"/>
    </row>
    <row r="914" ht="14.25" customHeight="1">
      <c r="A914" s="3"/>
      <c r="B914" s="3"/>
      <c r="C914" s="3"/>
      <c r="D914" s="3"/>
      <c r="E914" s="3"/>
      <c r="F914" s="3"/>
      <c r="G914" s="3"/>
      <c r="H914" s="3"/>
      <c r="I914" s="3"/>
      <c r="J914" s="3"/>
      <c r="K914" s="3"/>
      <c r="L914" s="3"/>
      <c r="M914" s="3"/>
      <c r="N914" s="3"/>
      <c r="O914" s="3"/>
      <c r="P914" s="3"/>
      <c r="Q914" s="3"/>
      <c r="R914" s="3"/>
      <c r="S914" s="3"/>
      <c r="T914" s="3"/>
      <c r="U914" s="3"/>
      <c r="V914" s="3"/>
      <c r="W914" s="3"/>
      <c r="X914" s="150"/>
      <c r="Y914" s="3"/>
      <c r="Z914" s="3"/>
    </row>
    <row r="915" ht="14.25" customHeight="1">
      <c r="A915" s="3"/>
      <c r="B915" s="3"/>
      <c r="C915" s="3"/>
      <c r="D915" s="3"/>
      <c r="E915" s="3"/>
      <c r="F915" s="3"/>
      <c r="G915" s="3"/>
      <c r="H915" s="3"/>
      <c r="I915" s="3"/>
      <c r="J915" s="3"/>
      <c r="K915" s="3"/>
      <c r="L915" s="3"/>
      <c r="M915" s="3"/>
      <c r="N915" s="3"/>
      <c r="O915" s="3"/>
      <c r="P915" s="3"/>
      <c r="Q915" s="3"/>
      <c r="R915" s="3"/>
      <c r="S915" s="3"/>
      <c r="T915" s="3"/>
      <c r="U915" s="3"/>
      <c r="V915" s="3"/>
      <c r="W915" s="3"/>
      <c r="X915" s="150"/>
      <c r="Y915" s="3"/>
      <c r="Z915" s="3"/>
    </row>
    <row r="916" ht="14.25" customHeight="1">
      <c r="A916" s="3"/>
      <c r="B916" s="3"/>
      <c r="C916" s="3"/>
      <c r="D916" s="3"/>
      <c r="E916" s="3"/>
      <c r="F916" s="3"/>
      <c r="G916" s="3"/>
      <c r="H916" s="3"/>
      <c r="I916" s="3"/>
      <c r="J916" s="3"/>
      <c r="K916" s="3"/>
      <c r="L916" s="3"/>
      <c r="M916" s="3"/>
      <c r="N916" s="3"/>
      <c r="O916" s="3"/>
      <c r="P916" s="3"/>
      <c r="Q916" s="3"/>
      <c r="R916" s="3"/>
      <c r="S916" s="3"/>
      <c r="T916" s="3"/>
      <c r="U916" s="3"/>
      <c r="V916" s="3"/>
      <c r="W916" s="3"/>
      <c r="X916" s="150"/>
      <c r="Y916" s="3"/>
      <c r="Z916" s="3"/>
    </row>
    <row r="917" ht="14.25" customHeight="1">
      <c r="A917" s="3"/>
      <c r="B917" s="3"/>
      <c r="C917" s="3"/>
      <c r="D917" s="3"/>
      <c r="E917" s="3"/>
      <c r="F917" s="3"/>
      <c r="G917" s="3"/>
      <c r="H917" s="3"/>
      <c r="I917" s="3"/>
      <c r="J917" s="3"/>
      <c r="K917" s="3"/>
      <c r="L917" s="3"/>
      <c r="M917" s="3"/>
      <c r="N917" s="3"/>
      <c r="O917" s="3"/>
      <c r="P917" s="3"/>
      <c r="Q917" s="3"/>
      <c r="R917" s="3"/>
      <c r="S917" s="3"/>
      <c r="T917" s="3"/>
      <c r="U917" s="3"/>
      <c r="V917" s="3"/>
      <c r="W917" s="3"/>
      <c r="X917" s="150"/>
      <c r="Y917" s="3"/>
      <c r="Z917" s="3"/>
    </row>
    <row r="918" ht="14.25" customHeight="1">
      <c r="A918" s="3"/>
      <c r="B918" s="3"/>
      <c r="C918" s="3"/>
      <c r="D918" s="3"/>
      <c r="E918" s="3"/>
      <c r="F918" s="3"/>
      <c r="G918" s="3"/>
      <c r="H918" s="3"/>
      <c r="I918" s="3"/>
      <c r="J918" s="3"/>
      <c r="K918" s="3"/>
      <c r="L918" s="3"/>
      <c r="M918" s="3"/>
      <c r="N918" s="3"/>
      <c r="O918" s="3"/>
      <c r="P918" s="3"/>
      <c r="Q918" s="3"/>
      <c r="R918" s="3"/>
      <c r="S918" s="3"/>
      <c r="T918" s="3"/>
      <c r="U918" s="3"/>
      <c r="V918" s="3"/>
      <c r="W918" s="3"/>
      <c r="X918" s="150"/>
      <c r="Y918" s="3"/>
      <c r="Z918" s="3"/>
    </row>
    <row r="919" ht="14.25" customHeight="1">
      <c r="A919" s="3"/>
      <c r="B919" s="3"/>
      <c r="C919" s="3"/>
      <c r="D919" s="3"/>
      <c r="E919" s="3"/>
      <c r="F919" s="3"/>
      <c r="G919" s="3"/>
      <c r="H919" s="3"/>
      <c r="I919" s="3"/>
      <c r="J919" s="3"/>
      <c r="K919" s="3"/>
      <c r="L919" s="3"/>
      <c r="M919" s="3"/>
      <c r="N919" s="3"/>
      <c r="O919" s="3"/>
      <c r="P919" s="3"/>
      <c r="Q919" s="3"/>
      <c r="R919" s="3"/>
      <c r="S919" s="3"/>
      <c r="T919" s="3"/>
      <c r="U919" s="3"/>
      <c r="V919" s="3"/>
      <c r="W919" s="3"/>
      <c r="X919" s="150"/>
      <c r="Y919" s="3"/>
      <c r="Z919" s="3"/>
    </row>
    <row r="920" ht="14.25" customHeight="1">
      <c r="A920" s="3"/>
      <c r="B920" s="3"/>
      <c r="C920" s="3"/>
      <c r="D920" s="3"/>
      <c r="E920" s="3"/>
      <c r="F920" s="3"/>
      <c r="G920" s="3"/>
      <c r="H920" s="3"/>
      <c r="I920" s="3"/>
      <c r="J920" s="3"/>
      <c r="K920" s="3"/>
      <c r="L920" s="3"/>
      <c r="M920" s="3"/>
      <c r="N920" s="3"/>
      <c r="O920" s="3"/>
      <c r="P920" s="3"/>
      <c r="Q920" s="3"/>
      <c r="R920" s="3"/>
      <c r="S920" s="3"/>
      <c r="T920" s="3"/>
      <c r="U920" s="3"/>
      <c r="V920" s="3"/>
      <c r="W920" s="3"/>
      <c r="X920" s="150"/>
      <c r="Y920" s="3"/>
      <c r="Z920" s="3"/>
    </row>
    <row r="921" ht="14.25" customHeight="1">
      <c r="A921" s="3"/>
      <c r="B921" s="3"/>
      <c r="C921" s="3"/>
      <c r="D921" s="3"/>
      <c r="E921" s="3"/>
      <c r="F921" s="3"/>
      <c r="G921" s="3"/>
      <c r="H921" s="3"/>
      <c r="I921" s="3"/>
      <c r="J921" s="3"/>
      <c r="K921" s="3"/>
      <c r="L921" s="3"/>
      <c r="M921" s="3"/>
      <c r="N921" s="3"/>
      <c r="O921" s="3"/>
      <c r="P921" s="3"/>
      <c r="Q921" s="3"/>
      <c r="R921" s="3"/>
      <c r="S921" s="3"/>
      <c r="T921" s="3"/>
      <c r="U921" s="3"/>
      <c r="V921" s="3"/>
      <c r="W921" s="3"/>
      <c r="X921" s="150"/>
      <c r="Y921" s="3"/>
      <c r="Z921" s="3"/>
    </row>
    <row r="922" ht="14.25" customHeight="1">
      <c r="A922" s="3"/>
      <c r="B922" s="3"/>
      <c r="C922" s="3"/>
      <c r="D922" s="3"/>
      <c r="E922" s="3"/>
      <c r="F922" s="3"/>
      <c r="G922" s="3"/>
      <c r="H922" s="3"/>
      <c r="I922" s="3"/>
      <c r="J922" s="3"/>
      <c r="K922" s="3"/>
      <c r="L922" s="3"/>
      <c r="M922" s="3"/>
      <c r="N922" s="3"/>
      <c r="O922" s="3"/>
      <c r="P922" s="3"/>
      <c r="Q922" s="3"/>
      <c r="R922" s="3"/>
      <c r="S922" s="3"/>
      <c r="T922" s="3"/>
      <c r="U922" s="3"/>
      <c r="V922" s="3"/>
      <c r="W922" s="3"/>
      <c r="X922" s="150"/>
      <c r="Y922" s="3"/>
      <c r="Z922" s="3"/>
    </row>
    <row r="923" ht="14.25" customHeight="1">
      <c r="A923" s="3"/>
      <c r="B923" s="3"/>
      <c r="C923" s="3"/>
      <c r="D923" s="3"/>
      <c r="E923" s="3"/>
      <c r="F923" s="3"/>
      <c r="G923" s="3"/>
      <c r="H923" s="3"/>
      <c r="I923" s="3"/>
      <c r="J923" s="3"/>
      <c r="K923" s="3"/>
      <c r="L923" s="3"/>
      <c r="M923" s="3"/>
      <c r="N923" s="3"/>
      <c r="O923" s="3"/>
      <c r="P923" s="3"/>
      <c r="Q923" s="3"/>
      <c r="R923" s="3"/>
      <c r="S923" s="3"/>
      <c r="T923" s="3"/>
      <c r="U923" s="3"/>
      <c r="V923" s="3"/>
      <c r="W923" s="3"/>
      <c r="X923" s="150"/>
      <c r="Y923" s="3"/>
      <c r="Z923" s="3"/>
    </row>
    <row r="924" ht="14.25" customHeight="1">
      <c r="A924" s="3"/>
      <c r="B924" s="3"/>
      <c r="C924" s="3"/>
      <c r="D924" s="3"/>
      <c r="E924" s="3"/>
      <c r="F924" s="3"/>
      <c r="G924" s="3"/>
      <c r="H924" s="3"/>
      <c r="I924" s="3"/>
      <c r="J924" s="3"/>
      <c r="K924" s="3"/>
      <c r="L924" s="3"/>
      <c r="M924" s="3"/>
      <c r="N924" s="3"/>
      <c r="O924" s="3"/>
      <c r="P924" s="3"/>
      <c r="Q924" s="3"/>
      <c r="R924" s="3"/>
      <c r="S924" s="3"/>
      <c r="T924" s="3"/>
      <c r="U924" s="3"/>
      <c r="V924" s="3"/>
      <c r="W924" s="3"/>
      <c r="X924" s="150"/>
      <c r="Y924" s="3"/>
      <c r="Z924" s="3"/>
    </row>
    <row r="925" ht="14.25" customHeight="1">
      <c r="A925" s="3"/>
      <c r="B925" s="3"/>
      <c r="C925" s="3"/>
      <c r="D925" s="3"/>
      <c r="E925" s="3"/>
      <c r="F925" s="3"/>
      <c r="G925" s="3"/>
      <c r="H925" s="3"/>
      <c r="I925" s="3"/>
      <c r="J925" s="3"/>
      <c r="K925" s="3"/>
      <c r="L925" s="3"/>
      <c r="M925" s="3"/>
      <c r="N925" s="3"/>
      <c r="O925" s="3"/>
      <c r="P925" s="3"/>
      <c r="Q925" s="3"/>
      <c r="R925" s="3"/>
      <c r="S925" s="3"/>
      <c r="T925" s="3"/>
      <c r="U925" s="3"/>
      <c r="V925" s="3"/>
      <c r="W925" s="3"/>
      <c r="X925" s="150"/>
      <c r="Y925" s="3"/>
      <c r="Z925" s="3"/>
    </row>
    <row r="926" ht="14.25" customHeight="1">
      <c r="A926" s="3"/>
      <c r="B926" s="3"/>
      <c r="C926" s="3"/>
      <c r="D926" s="3"/>
      <c r="E926" s="3"/>
      <c r="F926" s="3"/>
      <c r="G926" s="3"/>
      <c r="H926" s="3"/>
      <c r="I926" s="3"/>
      <c r="J926" s="3"/>
      <c r="K926" s="3"/>
      <c r="L926" s="3"/>
      <c r="M926" s="3"/>
      <c r="N926" s="3"/>
      <c r="O926" s="3"/>
      <c r="P926" s="3"/>
      <c r="Q926" s="3"/>
      <c r="R926" s="3"/>
      <c r="S926" s="3"/>
      <c r="T926" s="3"/>
      <c r="U926" s="3"/>
      <c r="V926" s="3"/>
      <c r="W926" s="3"/>
      <c r="X926" s="150"/>
      <c r="Y926" s="3"/>
      <c r="Z926" s="3"/>
    </row>
    <row r="927" ht="14.25" customHeight="1">
      <c r="A927" s="3"/>
      <c r="B927" s="3"/>
      <c r="C927" s="3"/>
      <c r="D927" s="3"/>
      <c r="E927" s="3"/>
      <c r="F927" s="3"/>
      <c r="G927" s="3"/>
      <c r="H927" s="3"/>
      <c r="I927" s="3"/>
      <c r="J927" s="3"/>
      <c r="K927" s="3"/>
      <c r="L927" s="3"/>
      <c r="M927" s="3"/>
      <c r="N927" s="3"/>
      <c r="O927" s="3"/>
      <c r="P927" s="3"/>
      <c r="Q927" s="3"/>
      <c r="R927" s="3"/>
      <c r="S927" s="3"/>
      <c r="T927" s="3"/>
      <c r="U927" s="3"/>
      <c r="V927" s="3"/>
      <c r="W927" s="3"/>
      <c r="X927" s="150"/>
      <c r="Y927" s="3"/>
      <c r="Z927" s="3"/>
    </row>
    <row r="928" ht="14.25" customHeight="1">
      <c r="A928" s="3"/>
      <c r="B928" s="3"/>
      <c r="C928" s="3"/>
      <c r="D928" s="3"/>
      <c r="E928" s="3"/>
      <c r="F928" s="3"/>
      <c r="G928" s="3"/>
      <c r="H928" s="3"/>
      <c r="I928" s="3"/>
      <c r="J928" s="3"/>
      <c r="K928" s="3"/>
      <c r="L928" s="3"/>
      <c r="M928" s="3"/>
      <c r="N928" s="3"/>
      <c r="O928" s="3"/>
      <c r="P928" s="3"/>
      <c r="Q928" s="3"/>
      <c r="R928" s="3"/>
      <c r="S928" s="3"/>
      <c r="T928" s="3"/>
      <c r="U928" s="3"/>
      <c r="V928" s="3"/>
      <c r="W928" s="3"/>
      <c r="X928" s="150"/>
      <c r="Y928" s="3"/>
      <c r="Z928" s="3"/>
    </row>
    <row r="929" ht="14.25" customHeight="1">
      <c r="A929" s="3"/>
      <c r="B929" s="3"/>
      <c r="C929" s="3"/>
      <c r="D929" s="3"/>
      <c r="E929" s="3"/>
      <c r="F929" s="3"/>
      <c r="G929" s="3"/>
      <c r="H929" s="3"/>
      <c r="I929" s="3"/>
      <c r="J929" s="3"/>
      <c r="K929" s="3"/>
      <c r="L929" s="3"/>
      <c r="M929" s="3"/>
      <c r="N929" s="3"/>
      <c r="O929" s="3"/>
      <c r="P929" s="3"/>
      <c r="Q929" s="3"/>
      <c r="R929" s="3"/>
      <c r="S929" s="3"/>
      <c r="T929" s="3"/>
      <c r="U929" s="3"/>
      <c r="V929" s="3"/>
      <c r="W929" s="3"/>
      <c r="X929" s="150"/>
      <c r="Y929" s="3"/>
      <c r="Z929" s="3"/>
    </row>
    <row r="930" ht="14.25" customHeight="1">
      <c r="A930" s="3"/>
      <c r="B930" s="3"/>
      <c r="C930" s="3"/>
      <c r="D930" s="3"/>
      <c r="E930" s="3"/>
      <c r="F930" s="3"/>
      <c r="G930" s="3"/>
      <c r="H930" s="3"/>
      <c r="I930" s="3"/>
      <c r="J930" s="3"/>
      <c r="K930" s="3"/>
      <c r="L930" s="3"/>
      <c r="M930" s="3"/>
      <c r="N930" s="3"/>
      <c r="O930" s="3"/>
      <c r="P930" s="3"/>
      <c r="Q930" s="3"/>
      <c r="R930" s="3"/>
      <c r="S930" s="3"/>
      <c r="T930" s="3"/>
      <c r="U930" s="3"/>
      <c r="V930" s="3"/>
      <c r="W930" s="3"/>
      <c r="X930" s="150"/>
      <c r="Y930" s="3"/>
      <c r="Z930" s="3"/>
    </row>
    <row r="931" ht="14.25" customHeight="1">
      <c r="A931" s="3"/>
      <c r="B931" s="3"/>
      <c r="C931" s="3"/>
      <c r="D931" s="3"/>
      <c r="E931" s="3"/>
      <c r="F931" s="3"/>
      <c r="G931" s="3"/>
      <c r="H931" s="3"/>
      <c r="I931" s="3"/>
      <c r="J931" s="3"/>
      <c r="K931" s="3"/>
      <c r="L931" s="3"/>
      <c r="M931" s="3"/>
      <c r="N931" s="3"/>
      <c r="O931" s="3"/>
      <c r="P931" s="3"/>
      <c r="Q931" s="3"/>
      <c r="R931" s="3"/>
      <c r="S931" s="3"/>
      <c r="T931" s="3"/>
      <c r="U931" s="3"/>
      <c r="V931" s="3"/>
      <c r="W931" s="3"/>
      <c r="X931" s="150"/>
      <c r="Y931" s="3"/>
      <c r="Z931" s="3"/>
    </row>
    <row r="932" ht="14.25" customHeight="1">
      <c r="A932" s="3"/>
      <c r="B932" s="3"/>
      <c r="C932" s="3"/>
      <c r="D932" s="3"/>
      <c r="E932" s="3"/>
      <c r="F932" s="3"/>
      <c r="G932" s="3"/>
      <c r="H932" s="3"/>
      <c r="I932" s="3"/>
      <c r="J932" s="3"/>
      <c r="K932" s="3"/>
      <c r="L932" s="3"/>
      <c r="M932" s="3"/>
      <c r="N932" s="3"/>
      <c r="O932" s="3"/>
      <c r="P932" s="3"/>
      <c r="Q932" s="3"/>
      <c r="R932" s="3"/>
      <c r="S932" s="3"/>
      <c r="T932" s="3"/>
      <c r="U932" s="3"/>
      <c r="V932" s="3"/>
      <c r="W932" s="3"/>
      <c r="X932" s="150"/>
      <c r="Y932" s="3"/>
      <c r="Z932" s="3"/>
    </row>
    <row r="933" ht="14.25" customHeight="1">
      <c r="A933" s="3"/>
      <c r="B933" s="3"/>
      <c r="C933" s="3"/>
      <c r="D933" s="3"/>
      <c r="E933" s="3"/>
      <c r="F933" s="3"/>
      <c r="G933" s="3"/>
      <c r="H933" s="3"/>
      <c r="I933" s="3"/>
      <c r="J933" s="3"/>
      <c r="K933" s="3"/>
      <c r="L933" s="3"/>
      <c r="M933" s="3"/>
      <c r="N933" s="3"/>
      <c r="O933" s="3"/>
      <c r="P933" s="3"/>
      <c r="Q933" s="3"/>
      <c r="R933" s="3"/>
      <c r="S933" s="3"/>
      <c r="T933" s="3"/>
      <c r="U933" s="3"/>
      <c r="V933" s="3"/>
      <c r="W933" s="3"/>
      <c r="X933" s="150"/>
      <c r="Y933" s="3"/>
      <c r="Z933" s="3"/>
    </row>
    <row r="934" ht="14.25" customHeight="1">
      <c r="A934" s="3"/>
      <c r="B934" s="3"/>
      <c r="C934" s="3"/>
      <c r="D934" s="3"/>
      <c r="E934" s="3"/>
      <c r="F934" s="3"/>
      <c r="G934" s="3"/>
      <c r="H934" s="3"/>
      <c r="I934" s="3"/>
      <c r="J934" s="3"/>
      <c r="K934" s="3"/>
      <c r="L934" s="3"/>
      <c r="M934" s="3"/>
      <c r="N934" s="3"/>
      <c r="O934" s="3"/>
      <c r="P934" s="3"/>
      <c r="Q934" s="3"/>
      <c r="R934" s="3"/>
      <c r="S934" s="3"/>
      <c r="T934" s="3"/>
      <c r="U934" s="3"/>
      <c r="V934" s="3"/>
      <c r="W934" s="3"/>
      <c r="X934" s="150"/>
      <c r="Y934" s="3"/>
      <c r="Z934" s="3"/>
    </row>
    <row r="935" ht="14.25" customHeight="1">
      <c r="A935" s="3"/>
      <c r="B935" s="3"/>
      <c r="C935" s="3"/>
      <c r="D935" s="3"/>
      <c r="E935" s="3"/>
      <c r="F935" s="3"/>
      <c r="G935" s="3"/>
      <c r="H935" s="3"/>
      <c r="I935" s="3"/>
      <c r="J935" s="3"/>
      <c r="K935" s="3"/>
      <c r="L935" s="3"/>
      <c r="M935" s="3"/>
      <c r="N935" s="3"/>
      <c r="O935" s="3"/>
      <c r="P935" s="3"/>
      <c r="Q935" s="3"/>
      <c r="R935" s="3"/>
      <c r="S935" s="3"/>
      <c r="T935" s="3"/>
      <c r="U935" s="3"/>
      <c r="V935" s="3"/>
      <c r="W935" s="3"/>
      <c r="X935" s="150"/>
      <c r="Y935" s="3"/>
      <c r="Z935" s="3"/>
    </row>
    <row r="936" ht="14.25" customHeight="1">
      <c r="A936" s="3"/>
      <c r="B936" s="3"/>
      <c r="C936" s="3"/>
      <c r="D936" s="3"/>
      <c r="E936" s="3"/>
      <c r="F936" s="3"/>
      <c r="G936" s="3"/>
      <c r="H936" s="3"/>
      <c r="I936" s="3"/>
      <c r="J936" s="3"/>
      <c r="K936" s="3"/>
      <c r="L936" s="3"/>
      <c r="M936" s="3"/>
      <c r="N936" s="3"/>
      <c r="O936" s="3"/>
      <c r="P936" s="3"/>
      <c r="Q936" s="3"/>
      <c r="R936" s="3"/>
      <c r="S936" s="3"/>
      <c r="T936" s="3"/>
      <c r="U936" s="3"/>
      <c r="V936" s="3"/>
      <c r="W936" s="3"/>
      <c r="X936" s="150"/>
      <c r="Y936" s="3"/>
      <c r="Z936" s="3"/>
    </row>
    <row r="937" ht="14.25" customHeight="1">
      <c r="A937" s="3"/>
      <c r="B937" s="3"/>
      <c r="C937" s="3"/>
      <c r="D937" s="3"/>
      <c r="E937" s="3"/>
      <c r="F937" s="3"/>
      <c r="G937" s="3"/>
      <c r="H937" s="3"/>
      <c r="I937" s="3"/>
      <c r="J937" s="3"/>
      <c r="K937" s="3"/>
      <c r="L937" s="3"/>
      <c r="M937" s="3"/>
      <c r="N937" s="3"/>
      <c r="O937" s="3"/>
      <c r="P937" s="3"/>
      <c r="Q937" s="3"/>
      <c r="R937" s="3"/>
      <c r="S937" s="3"/>
      <c r="T937" s="3"/>
      <c r="U937" s="3"/>
      <c r="V937" s="3"/>
      <c r="W937" s="3"/>
      <c r="X937" s="150"/>
      <c r="Y937" s="3"/>
      <c r="Z937" s="3"/>
    </row>
    <row r="938" ht="14.25" customHeight="1">
      <c r="A938" s="3"/>
      <c r="B938" s="3"/>
      <c r="C938" s="3"/>
      <c r="D938" s="3"/>
      <c r="E938" s="3"/>
      <c r="F938" s="3"/>
      <c r="G938" s="3"/>
      <c r="H938" s="3"/>
      <c r="I938" s="3"/>
      <c r="J938" s="3"/>
      <c r="K938" s="3"/>
      <c r="L938" s="3"/>
      <c r="M938" s="3"/>
      <c r="N938" s="3"/>
      <c r="O938" s="3"/>
      <c r="P938" s="3"/>
      <c r="Q938" s="3"/>
      <c r="R938" s="3"/>
      <c r="S938" s="3"/>
      <c r="T938" s="3"/>
      <c r="U938" s="3"/>
      <c r="V938" s="3"/>
      <c r="W938" s="3"/>
      <c r="X938" s="150"/>
      <c r="Y938" s="3"/>
      <c r="Z938" s="3"/>
    </row>
    <row r="939" ht="14.25" customHeight="1">
      <c r="A939" s="3"/>
      <c r="B939" s="3"/>
      <c r="C939" s="3"/>
      <c r="D939" s="3"/>
      <c r="E939" s="3"/>
      <c r="F939" s="3"/>
      <c r="G939" s="3"/>
      <c r="H939" s="3"/>
      <c r="I939" s="3"/>
      <c r="J939" s="3"/>
      <c r="K939" s="3"/>
      <c r="L939" s="3"/>
      <c r="M939" s="3"/>
      <c r="N939" s="3"/>
      <c r="O939" s="3"/>
      <c r="P939" s="3"/>
      <c r="Q939" s="3"/>
      <c r="R939" s="3"/>
      <c r="S939" s="3"/>
      <c r="T939" s="3"/>
      <c r="U939" s="3"/>
      <c r="V939" s="3"/>
      <c r="W939" s="3"/>
      <c r="X939" s="150"/>
      <c r="Y939" s="3"/>
      <c r="Z939" s="3"/>
    </row>
    <row r="940" ht="14.25" customHeight="1">
      <c r="A940" s="3"/>
      <c r="B940" s="3"/>
      <c r="C940" s="3"/>
      <c r="D940" s="3"/>
      <c r="E940" s="3"/>
      <c r="F940" s="3"/>
      <c r="G940" s="3"/>
      <c r="H940" s="3"/>
      <c r="I940" s="3"/>
      <c r="J940" s="3"/>
      <c r="K940" s="3"/>
      <c r="L940" s="3"/>
      <c r="M940" s="3"/>
      <c r="N940" s="3"/>
      <c r="O940" s="3"/>
      <c r="P940" s="3"/>
      <c r="Q940" s="3"/>
      <c r="R940" s="3"/>
      <c r="S940" s="3"/>
      <c r="T940" s="3"/>
      <c r="U940" s="3"/>
      <c r="V940" s="3"/>
      <c r="W940" s="3"/>
      <c r="X940" s="150"/>
      <c r="Y940" s="3"/>
      <c r="Z940" s="3"/>
    </row>
    <row r="941" ht="14.25" customHeight="1">
      <c r="A941" s="3"/>
      <c r="B941" s="3"/>
      <c r="C941" s="3"/>
      <c r="D941" s="3"/>
      <c r="E941" s="3"/>
      <c r="F941" s="3"/>
      <c r="G941" s="3"/>
      <c r="H941" s="3"/>
      <c r="I941" s="3"/>
      <c r="J941" s="3"/>
      <c r="K941" s="3"/>
      <c r="L941" s="3"/>
      <c r="M941" s="3"/>
      <c r="N941" s="3"/>
      <c r="O941" s="3"/>
      <c r="P941" s="3"/>
      <c r="Q941" s="3"/>
      <c r="R941" s="3"/>
      <c r="S941" s="3"/>
      <c r="T941" s="3"/>
      <c r="U941" s="3"/>
      <c r="V941" s="3"/>
      <c r="W941" s="3"/>
      <c r="X941" s="150"/>
      <c r="Y941" s="3"/>
      <c r="Z941" s="3"/>
    </row>
    <row r="942" ht="14.25" customHeight="1">
      <c r="A942" s="3"/>
      <c r="B942" s="3"/>
      <c r="C942" s="3"/>
      <c r="D942" s="3"/>
      <c r="E942" s="3"/>
      <c r="F942" s="3"/>
      <c r="G942" s="3"/>
      <c r="H942" s="3"/>
      <c r="I942" s="3"/>
      <c r="J942" s="3"/>
      <c r="K942" s="3"/>
      <c r="L942" s="3"/>
      <c r="M942" s="3"/>
      <c r="N942" s="3"/>
      <c r="O942" s="3"/>
      <c r="P942" s="3"/>
      <c r="Q942" s="3"/>
      <c r="R942" s="3"/>
      <c r="S942" s="3"/>
      <c r="T942" s="3"/>
      <c r="U942" s="3"/>
      <c r="V942" s="3"/>
      <c r="W942" s="3"/>
      <c r="X942" s="150"/>
      <c r="Y942" s="3"/>
      <c r="Z942" s="3"/>
    </row>
    <row r="943" ht="14.25" customHeight="1">
      <c r="A943" s="3"/>
      <c r="B943" s="3"/>
      <c r="C943" s="3"/>
      <c r="D943" s="3"/>
      <c r="E943" s="3"/>
      <c r="F943" s="3"/>
      <c r="G943" s="3"/>
      <c r="H943" s="3"/>
      <c r="I943" s="3"/>
      <c r="J943" s="3"/>
      <c r="K943" s="3"/>
      <c r="L943" s="3"/>
      <c r="M943" s="3"/>
      <c r="N943" s="3"/>
      <c r="O943" s="3"/>
      <c r="P943" s="3"/>
      <c r="Q943" s="3"/>
      <c r="R943" s="3"/>
      <c r="S943" s="3"/>
      <c r="T943" s="3"/>
      <c r="U943" s="3"/>
      <c r="V943" s="3"/>
      <c r="W943" s="3"/>
      <c r="X943" s="150"/>
      <c r="Y943" s="3"/>
      <c r="Z943" s="3"/>
    </row>
    <row r="944" ht="14.25" customHeight="1">
      <c r="A944" s="3"/>
      <c r="B944" s="3"/>
      <c r="C944" s="3"/>
      <c r="D944" s="3"/>
      <c r="E944" s="3"/>
      <c r="F944" s="3"/>
      <c r="G944" s="3"/>
      <c r="H944" s="3"/>
      <c r="I944" s="3"/>
      <c r="J944" s="3"/>
      <c r="K944" s="3"/>
      <c r="L944" s="3"/>
      <c r="M944" s="3"/>
      <c r="N944" s="3"/>
      <c r="O944" s="3"/>
      <c r="P944" s="3"/>
      <c r="Q944" s="3"/>
      <c r="R944" s="3"/>
      <c r="S944" s="3"/>
      <c r="T944" s="3"/>
      <c r="U944" s="3"/>
      <c r="V944" s="3"/>
      <c r="W944" s="3"/>
      <c r="X944" s="150"/>
      <c r="Y944" s="3"/>
      <c r="Z944" s="3"/>
    </row>
    <row r="945" ht="14.25" customHeight="1">
      <c r="A945" s="3"/>
      <c r="B945" s="3"/>
      <c r="C945" s="3"/>
      <c r="D945" s="3"/>
      <c r="E945" s="3"/>
      <c r="F945" s="3"/>
      <c r="G945" s="3"/>
      <c r="H945" s="3"/>
      <c r="I945" s="3"/>
      <c r="J945" s="3"/>
      <c r="K945" s="3"/>
      <c r="L945" s="3"/>
      <c r="M945" s="3"/>
      <c r="N945" s="3"/>
      <c r="O945" s="3"/>
      <c r="P945" s="3"/>
      <c r="Q945" s="3"/>
      <c r="R945" s="3"/>
      <c r="S945" s="3"/>
      <c r="T945" s="3"/>
      <c r="U945" s="3"/>
      <c r="V945" s="3"/>
      <c r="W945" s="3"/>
      <c r="X945" s="150"/>
      <c r="Y945" s="3"/>
      <c r="Z945" s="3"/>
    </row>
    <row r="946" ht="14.25" customHeight="1">
      <c r="A946" s="3"/>
      <c r="B946" s="3"/>
      <c r="C946" s="3"/>
      <c r="D946" s="3"/>
      <c r="E946" s="3"/>
      <c r="F946" s="3"/>
      <c r="G946" s="3"/>
      <c r="H946" s="3"/>
      <c r="I946" s="3"/>
      <c r="J946" s="3"/>
      <c r="K946" s="3"/>
      <c r="L946" s="3"/>
      <c r="M946" s="3"/>
      <c r="N946" s="3"/>
      <c r="O946" s="3"/>
      <c r="P946" s="3"/>
      <c r="Q946" s="3"/>
      <c r="R946" s="3"/>
      <c r="S946" s="3"/>
      <c r="T946" s="3"/>
      <c r="U946" s="3"/>
      <c r="V946" s="3"/>
      <c r="W946" s="3"/>
      <c r="X946" s="150"/>
      <c r="Y946" s="3"/>
      <c r="Z946" s="3"/>
    </row>
    <row r="947" ht="14.25" customHeight="1">
      <c r="A947" s="3"/>
      <c r="B947" s="3"/>
      <c r="C947" s="3"/>
      <c r="D947" s="3"/>
      <c r="E947" s="3"/>
      <c r="F947" s="3"/>
      <c r="G947" s="3"/>
      <c r="H947" s="3"/>
      <c r="I947" s="3"/>
      <c r="J947" s="3"/>
      <c r="K947" s="3"/>
      <c r="L947" s="3"/>
      <c r="M947" s="3"/>
      <c r="N947" s="3"/>
      <c r="O947" s="3"/>
      <c r="P947" s="3"/>
      <c r="Q947" s="3"/>
      <c r="R947" s="3"/>
      <c r="S947" s="3"/>
      <c r="T947" s="3"/>
      <c r="U947" s="3"/>
      <c r="V947" s="3"/>
      <c r="W947" s="3"/>
      <c r="X947" s="150"/>
      <c r="Y947" s="3"/>
      <c r="Z947" s="3"/>
    </row>
    <row r="948" ht="14.25" customHeight="1">
      <c r="A948" s="3"/>
      <c r="B948" s="3"/>
      <c r="C948" s="3"/>
      <c r="D948" s="3"/>
      <c r="E948" s="3"/>
      <c r="F948" s="3"/>
      <c r="G948" s="3"/>
      <c r="H948" s="3"/>
      <c r="I948" s="3"/>
      <c r="J948" s="3"/>
      <c r="K948" s="3"/>
      <c r="L948" s="3"/>
      <c r="M948" s="3"/>
      <c r="N948" s="3"/>
      <c r="O948" s="3"/>
      <c r="P948" s="3"/>
      <c r="Q948" s="3"/>
      <c r="R948" s="3"/>
      <c r="S948" s="3"/>
      <c r="T948" s="3"/>
      <c r="U948" s="3"/>
      <c r="V948" s="3"/>
      <c r="W948" s="3"/>
      <c r="X948" s="150"/>
      <c r="Y948" s="3"/>
      <c r="Z948" s="3"/>
    </row>
    <row r="949" ht="14.25" customHeight="1">
      <c r="A949" s="3"/>
      <c r="B949" s="3"/>
      <c r="C949" s="3"/>
      <c r="D949" s="3"/>
      <c r="E949" s="3"/>
      <c r="F949" s="3"/>
      <c r="G949" s="3"/>
      <c r="H949" s="3"/>
      <c r="I949" s="3"/>
      <c r="J949" s="3"/>
      <c r="K949" s="3"/>
      <c r="L949" s="3"/>
      <c r="M949" s="3"/>
      <c r="N949" s="3"/>
      <c r="O949" s="3"/>
      <c r="P949" s="3"/>
      <c r="Q949" s="3"/>
      <c r="R949" s="3"/>
      <c r="S949" s="3"/>
      <c r="T949" s="3"/>
      <c r="U949" s="3"/>
      <c r="V949" s="3"/>
      <c r="W949" s="3"/>
      <c r="X949" s="150"/>
      <c r="Y949" s="3"/>
      <c r="Z949" s="3"/>
    </row>
    <row r="950" ht="14.25" customHeight="1">
      <c r="A950" s="3"/>
      <c r="B950" s="3"/>
      <c r="C950" s="3"/>
      <c r="D950" s="3"/>
      <c r="E950" s="3"/>
      <c r="F950" s="3"/>
      <c r="G950" s="3"/>
      <c r="H950" s="3"/>
      <c r="I950" s="3"/>
      <c r="J950" s="3"/>
      <c r="K950" s="3"/>
      <c r="L950" s="3"/>
      <c r="M950" s="3"/>
      <c r="N950" s="3"/>
      <c r="O950" s="3"/>
      <c r="P950" s="3"/>
      <c r="Q950" s="3"/>
      <c r="R950" s="3"/>
      <c r="S950" s="3"/>
      <c r="T950" s="3"/>
      <c r="U950" s="3"/>
      <c r="V950" s="3"/>
      <c r="W950" s="3"/>
      <c r="X950" s="150"/>
      <c r="Y950" s="3"/>
      <c r="Z950" s="3"/>
    </row>
    <row r="951" ht="14.25" customHeight="1">
      <c r="A951" s="3"/>
      <c r="B951" s="3"/>
      <c r="C951" s="3"/>
      <c r="D951" s="3"/>
      <c r="E951" s="3"/>
      <c r="F951" s="3"/>
      <c r="G951" s="3"/>
      <c r="H951" s="3"/>
      <c r="I951" s="3"/>
      <c r="J951" s="3"/>
      <c r="K951" s="3"/>
      <c r="L951" s="3"/>
      <c r="M951" s="3"/>
      <c r="N951" s="3"/>
      <c r="O951" s="3"/>
      <c r="P951" s="3"/>
      <c r="Q951" s="3"/>
      <c r="R951" s="3"/>
      <c r="S951" s="3"/>
      <c r="T951" s="3"/>
      <c r="U951" s="3"/>
      <c r="V951" s="3"/>
      <c r="W951" s="3"/>
      <c r="X951" s="150"/>
      <c r="Y951" s="3"/>
      <c r="Z951" s="3"/>
    </row>
    <row r="952" ht="14.25" customHeight="1">
      <c r="A952" s="3"/>
      <c r="B952" s="3"/>
      <c r="C952" s="3"/>
      <c r="D952" s="3"/>
      <c r="E952" s="3"/>
      <c r="F952" s="3"/>
      <c r="G952" s="3"/>
      <c r="H952" s="3"/>
      <c r="I952" s="3"/>
      <c r="J952" s="3"/>
      <c r="K952" s="3"/>
      <c r="L952" s="3"/>
      <c r="M952" s="3"/>
      <c r="N952" s="3"/>
      <c r="O952" s="3"/>
      <c r="P952" s="3"/>
      <c r="Q952" s="3"/>
      <c r="R952" s="3"/>
      <c r="S952" s="3"/>
      <c r="T952" s="3"/>
      <c r="U952" s="3"/>
      <c r="V952" s="3"/>
      <c r="W952" s="3"/>
      <c r="X952" s="150"/>
      <c r="Y952" s="3"/>
      <c r="Z952" s="3"/>
    </row>
    <row r="953" ht="14.25" customHeight="1">
      <c r="A953" s="3"/>
      <c r="B953" s="3"/>
      <c r="C953" s="3"/>
      <c r="D953" s="3"/>
      <c r="E953" s="3"/>
      <c r="F953" s="3"/>
      <c r="G953" s="3"/>
      <c r="H953" s="3"/>
      <c r="I953" s="3"/>
      <c r="J953" s="3"/>
      <c r="K953" s="3"/>
      <c r="L953" s="3"/>
      <c r="M953" s="3"/>
      <c r="N953" s="3"/>
      <c r="O953" s="3"/>
      <c r="P953" s="3"/>
      <c r="Q953" s="3"/>
      <c r="R953" s="3"/>
      <c r="S953" s="3"/>
      <c r="T953" s="3"/>
      <c r="U953" s="3"/>
      <c r="V953" s="3"/>
      <c r="W953" s="3"/>
      <c r="X953" s="150"/>
      <c r="Y953" s="3"/>
      <c r="Z953" s="3"/>
    </row>
    <row r="954" ht="14.25" customHeight="1">
      <c r="A954" s="3"/>
      <c r="B954" s="3"/>
      <c r="C954" s="3"/>
      <c r="D954" s="3"/>
      <c r="E954" s="3"/>
      <c r="F954" s="3"/>
      <c r="G954" s="3"/>
      <c r="H954" s="3"/>
      <c r="I954" s="3"/>
      <c r="J954" s="3"/>
      <c r="K954" s="3"/>
      <c r="L954" s="3"/>
      <c r="M954" s="3"/>
      <c r="N954" s="3"/>
      <c r="O954" s="3"/>
      <c r="P954" s="3"/>
      <c r="Q954" s="3"/>
      <c r="R954" s="3"/>
      <c r="S954" s="3"/>
      <c r="T954" s="3"/>
      <c r="U954" s="3"/>
      <c r="V954" s="3"/>
      <c r="W954" s="3"/>
      <c r="X954" s="150"/>
      <c r="Y954" s="3"/>
      <c r="Z954" s="3"/>
    </row>
    <row r="955" ht="14.25" customHeight="1">
      <c r="A955" s="3"/>
      <c r="B955" s="3"/>
      <c r="C955" s="3"/>
      <c r="D955" s="3"/>
      <c r="E955" s="3"/>
      <c r="F955" s="3"/>
      <c r="G955" s="3"/>
      <c r="H955" s="3"/>
      <c r="I955" s="3"/>
      <c r="J955" s="3"/>
      <c r="K955" s="3"/>
      <c r="L955" s="3"/>
      <c r="M955" s="3"/>
      <c r="N955" s="3"/>
      <c r="O955" s="3"/>
      <c r="P955" s="3"/>
      <c r="Q955" s="3"/>
      <c r="R955" s="3"/>
      <c r="S955" s="3"/>
      <c r="T955" s="3"/>
      <c r="U955" s="3"/>
      <c r="V955" s="3"/>
      <c r="W955" s="3"/>
      <c r="X955" s="150"/>
      <c r="Y955" s="3"/>
      <c r="Z955" s="3"/>
    </row>
    <row r="956" ht="14.25" customHeight="1">
      <c r="A956" s="3"/>
      <c r="B956" s="3"/>
      <c r="C956" s="3"/>
      <c r="D956" s="3"/>
      <c r="E956" s="3"/>
      <c r="F956" s="3"/>
      <c r="G956" s="3"/>
      <c r="H956" s="3"/>
      <c r="I956" s="3"/>
      <c r="J956" s="3"/>
      <c r="K956" s="3"/>
      <c r="L956" s="3"/>
      <c r="M956" s="3"/>
      <c r="N956" s="3"/>
      <c r="O956" s="3"/>
      <c r="P956" s="3"/>
      <c r="Q956" s="3"/>
      <c r="R956" s="3"/>
      <c r="S956" s="3"/>
      <c r="T956" s="3"/>
      <c r="U956" s="3"/>
      <c r="V956" s="3"/>
      <c r="W956" s="3"/>
      <c r="X956" s="150"/>
      <c r="Y956" s="3"/>
      <c r="Z956" s="3"/>
    </row>
    <row r="957" ht="14.25" customHeight="1">
      <c r="A957" s="3"/>
      <c r="B957" s="3"/>
      <c r="C957" s="3"/>
      <c r="D957" s="3"/>
      <c r="E957" s="3"/>
      <c r="F957" s="3"/>
      <c r="G957" s="3"/>
      <c r="H957" s="3"/>
      <c r="I957" s="3"/>
      <c r="J957" s="3"/>
      <c r="K957" s="3"/>
      <c r="L957" s="3"/>
      <c r="M957" s="3"/>
      <c r="N957" s="3"/>
      <c r="O957" s="3"/>
      <c r="P957" s="3"/>
      <c r="Q957" s="3"/>
      <c r="R957" s="3"/>
      <c r="S957" s="3"/>
      <c r="T957" s="3"/>
      <c r="U957" s="3"/>
      <c r="V957" s="3"/>
      <c r="W957" s="3"/>
      <c r="X957" s="150"/>
      <c r="Y957" s="3"/>
      <c r="Z957" s="3"/>
    </row>
    <row r="958" ht="14.25" customHeight="1">
      <c r="A958" s="3"/>
      <c r="B958" s="3"/>
      <c r="C958" s="3"/>
      <c r="D958" s="3"/>
      <c r="E958" s="3"/>
      <c r="F958" s="3"/>
      <c r="G958" s="3"/>
      <c r="H958" s="3"/>
      <c r="I958" s="3"/>
      <c r="J958" s="3"/>
      <c r="K958" s="3"/>
      <c r="L958" s="3"/>
      <c r="M958" s="3"/>
      <c r="N958" s="3"/>
      <c r="O958" s="3"/>
      <c r="P958" s="3"/>
      <c r="Q958" s="3"/>
      <c r="R958" s="3"/>
      <c r="S958" s="3"/>
      <c r="T958" s="3"/>
      <c r="U958" s="3"/>
      <c r="V958" s="3"/>
      <c r="W958" s="3"/>
      <c r="X958" s="150"/>
      <c r="Y958" s="3"/>
      <c r="Z958" s="3"/>
    </row>
    <row r="959" ht="14.25" customHeight="1">
      <c r="A959" s="3"/>
      <c r="B959" s="3"/>
      <c r="C959" s="3"/>
      <c r="D959" s="3"/>
      <c r="E959" s="3"/>
      <c r="F959" s="3"/>
      <c r="G959" s="3"/>
      <c r="H959" s="3"/>
      <c r="I959" s="3"/>
      <c r="J959" s="3"/>
      <c r="K959" s="3"/>
      <c r="L959" s="3"/>
      <c r="M959" s="3"/>
      <c r="N959" s="3"/>
      <c r="O959" s="3"/>
      <c r="P959" s="3"/>
      <c r="Q959" s="3"/>
      <c r="R959" s="3"/>
      <c r="S959" s="3"/>
      <c r="T959" s="3"/>
      <c r="U959" s="3"/>
      <c r="V959" s="3"/>
      <c r="W959" s="3"/>
      <c r="X959" s="150"/>
      <c r="Y959" s="3"/>
      <c r="Z959" s="3"/>
    </row>
    <row r="960" ht="14.25" customHeight="1">
      <c r="A960" s="3"/>
      <c r="B960" s="3"/>
      <c r="C960" s="3"/>
      <c r="D960" s="3"/>
      <c r="E960" s="3"/>
      <c r="F960" s="3"/>
      <c r="G960" s="3"/>
      <c r="H960" s="3"/>
      <c r="I960" s="3"/>
      <c r="J960" s="3"/>
      <c r="K960" s="3"/>
      <c r="L960" s="3"/>
      <c r="M960" s="3"/>
      <c r="N960" s="3"/>
      <c r="O960" s="3"/>
      <c r="P960" s="3"/>
      <c r="Q960" s="3"/>
      <c r="R960" s="3"/>
      <c r="S960" s="3"/>
      <c r="T960" s="3"/>
      <c r="U960" s="3"/>
      <c r="V960" s="3"/>
      <c r="W960" s="3"/>
      <c r="X960" s="150"/>
      <c r="Y960" s="3"/>
      <c r="Z960" s="3"/>
    </row>
    <row r="961" ht="14.25" customHeight="1">
      <c r="A961" s="3"/>
      <c r="B961" s="3"/>
      <c r="C961" s="3"/>
      <c r="D961" s="3"/>
      <c r="E961" s="3"/>
      <c r="F961" s="3"/>
      <c r="G961" s="3"/>
      <c r="H961" s="3"/>
      <c r="I961" s="3"/>
      <c r="J961" s="3"/>
      <c r="K961" s="3"/>
      <c r="L961" s="3"/>
      <c r="M961" s="3"/>
      <c r="N961" s="3"/>
      <c r="O961" s="3"/>
      <c r="P961" s="3"/>
      <c r="Q961" s="3"/>
      <c r="R961" s="3"/>
      <c r="S961" s="3"/>
      <c r="T961" s="3"/>
      <c r="U961" s="3"/>
      <c r="V961" s="3"/>
      <c r="W961" s="3"/>
      <c r="X961" s="150"/>
      <c r="Y961" s="3"/>
      <c r="Z961" s="3"/>
    </row>
    <row r="962" ht="14.25" customHeight="1">
      <c r="A962" s="3"/>
      <c r="B962" s="3"/>
      <c r="C962" s="3"/>
      <c r="D962" s="3"/>
      <c r="E962" s="3"/>
      <c r="F962" s="3"/>
      <c r="G962" s="3"/>
      <c r="H962" s="3"/>
      <c r="I962" s="3"/>
      <c r="J962" s="3"/>
      <c r="K962" s="3"/>
      <c r="L962" s="3"/>
      <c r="M962" s="3"/>
      <c r="N962" s="3"/>
      <c r="O962" s="3"/>
      <c r="P962" s="3"/>
      <c r="Q962" s="3"/>
      <c r="R962" s="3"/>
      <c r="S962" s="3"/>
      <c r="T962" s="3"/>
      <c r="U962" s="3"/>
      <c r="V962" s="3"/>
      <c r="W962" s="3"/>
      <c r="X962" s="150"/>
      <c r="Y962" s="3"/>
      <c r="Z962" s="3"/>
    </row>
    <row r="963" ht="14.25" customHeight="1">
      <c r="A963" s="3"/>
      <c r="B963" s="3"/>
      <c r="C963" s="3"/>
      <c r="D963" s="3"/>
      <c r="E963" s="3"/>
      <c r="F963" s="3"/>
      <c r="G963" s="3"/>
      <c r="H963" s="3"/>
      <c r="I963" s="3"/>
      <c r="J963" s="3"/>
      <c r="K963" s="3"/>
      <c r="L963" s="3"/>
      <c r="M963" s="3"/>
      <c r="N963" s="3"/>
      <c r="O963" s="3"/>
      <c r="P963" s="3"/>
      <c r="Q963" s="3"/>
      <c r="R963" s="3"/>
      <c r="S963" s="3"/>
      <c r="T963" s="3"/>
      <c r="U963" s="3"/>
      <c r="V963" s="3"/>
      <c r="W963" s="3"/>
      <c r="X963" s="150"/>
      <c r="Y963" s="3"/>
      <c r="Z963" s="3"/>
    </row>
    <row r="964" ht="14.25" customHeight="1">
      <c r="A964" s="3"/>
      <c r="B964" s="3"/>
      <c r="C964" s="3"/>
      <c r="D964" s="3"/>
      <c r="E964" s="3"/>
      <c r="F964" s="3"/>
      <c r="G964" s="3"/>
      <c r="H964" s="3"/>
      <c r="I964" s="3"/>
      <c r="J964" s="3"/>
      <c r="K964" s="3"/>
      <c r="L964" s="3"/>
      <c r="M964" s="3"/>
      <c r="N964" s="3"/>
      <c r="O964" s="3"/>
      <c r="P964" s="3"/>
      <c r="Q964" s="3"/>
      <c r="R964" s="3"/>
      <c r="S964" s="3"/>
      <c r="T964" s="3"/>
      <c r="U964" s="3"/>
      <c r="V964" s="3"/>
      <c r="W964" s="3"/>
      <c r="X964" s="150"/>
      <c r="Y964" s="3"/>
      <c r="Z964" s="3"/>
    </row>
    <row r="965" ht="14.25" customHeight="1">
      <c r="A965" s="3"/>
      <c r="B965" s="3"/>
      <c r="C965" s="3"/>
      <c r="D965" s="3"/>
      <c r="E965" s="3"/>
      <c r="F965" s="3"/>
      <c r="G965" s="3"/>
      <c r="H965" s="3"/>
      <c r="I965" s="3"/>
      <c r="J965" s="3"/>
      <c r="K965" s="3"/>
      <c r="L965" s="3"/>
      <c r="M965" s="3"/>
      <c r="N965" s="3"/>
      <c r="O965" s="3"/>
      <c r="P965" s="3"/>
      <c r="Q965" s="3"/>
      <c r="R965" s="3"/>
      <c r="S965" s="3"/>
      <c r="T965" s="3"/>
      <c r="U965" s="3"/>
      <c r="V965" s="3"/>
      <c r="W965" s="3"/>
      <c r="X965" s="150"/>
      <c r="Y965" s="3"/>
      <c r="Z965" s="3"/>
    </row>
    <row r="966" ht="14.25" customHeight="1">
      <c r="A966" s="3"/>
      <c r="B966" s="3"/>
      <c r="C966" s="3"/>
      <c r="D966" s="3"/>
      <c r="E966" s="3"/>
      <c r="F966" s="3"/>
      <c r="G966" s="3"/>
      <c r="H966" s="3"/>
      <c r="I966" s="3"/>
      <c r="J966" s="3"/>
      <c r="K966" s="3"/>
      <c r="L966" s="3"/>
      <c r="M966" s="3"/>
      <c r="N966" s="3"/>
      <c r="O966" s="3"/>
      <c r="P966" s="3"/>
      <c r="Q966" s="3"/>
      <c r="R966" s="3"/>
      <c r="S966" s="3"/>
      <c r="T966" s="3"/>
      <c r="U966" s="3"/>
      <c r="V966" s="3"/>
      <c r="W966" s="3"/>
      <c r="X966" s="150"/>
      <c r="Y966" s="3"/>
      <c r="Z966" s="3"/>
    </row>
    <row r="967" ht="14.25" customHeight="1">
      <c r="A967" s="3"/>
      <c r="B967" s="3"/>
      <c r="C967" s="3"/>
      <c r="D967" s="3"/>
      <c r="E967" s="3"/>
      <c r="F967" s="3"/>
      <c r="G967" s="3"/>
      <c r="H967" s="3"/>
      <c r="I967" s="3"/>
      <c r="J967" s="3"/>
      <c r="K967" s="3"/>
      <c r="L967" s="3"/>
      <c r="M967" s="3"/>
      <c r="N967" s="3"/>
      <c r="O967" s="3"/>
      <c r="P967" s="3"/>
      <c r="Q967" s="3"/>
      <c r="R967" s="3"/>
      <c r="S967" s="3"/>
      <c r="T967" s="3"/>
      <c r="U967" s="3"/>
      <c r="V967" s="3"/>
      <c r="W967" s="3"/>
      <c r="X967" s="150"/>
      <c r="Y967" s="3"/>
      <c r="Z967" s="3"/>
    </row>
    <row r="968" ht="14.25" customHeight="1">
      <c r="A968" s="3"/>
      <c r="B968" s="3"/>
      <c r="C968" s="3"/>
      <c r="D968" s="3"/>
      <c r="E968" s="3"/>
      <c r="F968" s="3"/>
      <c r="G968" s="3"/>
      <c r="H968" s="3"/>
      <c r="I968" s="3"/>
      <c r="J968" s="3"/>
      <c r="K968" s="3"/>
      <c r="L968" s="3"/>
      <c r="M968" s="3"/>
      <c r="N968" s="3"/>
      <c r="O968" s="3"/>
      <c r="P968" s="3"/>
      <c r="Q968" s="3"/>
      <c r="R968" s="3"/>
      <c r="S968" s="3"/>
      <c r="T968" s="3"/>
      <c r="U968" s="3"/>
      <c r="V968" s="3"/>
      <c r="W968" s="3"/>
      <c r="X968" s="150"/>
      <c r="Y968" s="3"/>
      <c r="Z968" s="3"/>
    </row>
    <row r="969" ht="14.25" customHeight="1">
      <c r="A969" s="3"/>
      <c r="B969" s="3"/>
      <c r="C969" s="3"/>
      <c r="D969" s="3"/>
      <c r="E969" s="3"/>
      <c r="F969" s="3"/>
      <c r="G969" s="3"/>
      <c r="H969" s="3"/>
      <c r="I969" s="3"/>
      <c r="J969" s="3"/>
      <c r="K969" s="3"/>
      <c r="L969" s="3"/>
      <c r="M969" s="3"/>
      <c r="N969" s="3"/>
      <c r="O969" s="3"/>
      <c r="P969" s="3"/>
      <c r="Q969" s="3"/>
      <c r="R969" s="3"/>
      <c r="S969" s="3"/>
      <c r="T969" s="3"/>
      <c r="U969" s="3"/>
      <c r="V969" s="3"/>
      <c r="W969" s="3"/>
      <c r="X969" s="150"/>
      <c r="Y969" s="3"/>
      <c r="Z969" s="3"/>
    </row>
    <row r="970" ht="14.25" customHeight="1">
      <c r="A970" s="3"/>
      <c r="B970" s="3"/>
      <c r="C970" s="3"/>
      <c r="D970" s="3"/>
      <c r="E970" s="3"/>
      <c r="F970" s="3"/>
      <c r="G970" s="3"/>
      <c r="H970" s="3"/>
      <c r="I970" s="3"/>
      <c r="J970" s="3"/>
      <c r="K970" s="3"/>
      <c r="L970" s="3"/>
      <c r="M970" s="3"/>
      <c r="N970" s="3"/>
      <c r="O970" s="3"/>
      <c r="P970" s="3"/>
      <c r="Q970" s="3"/>
      <c r="R970" s="3"/>
      <c r="S970" s="3"/>
      <c r="T970" s="3"/>
      <c r="U970" s="3"/>
      <c r="V970" s="3"/>
      <c r="W970" s="3"/>
      <c r="X970" s="150"/>
      <c r="Y970" s="3"/>
      <c r="Z970" s="3"/>
    </row>
    <row r="971" ht="14.25" customHeight="1">
      <c r="A971" s="3"/>
      <c r="B971" s="3"/>
      <c r="C971" s="3"/>
      <c r="D971" s="3"/>
      <c r="E971" s="3"/>
      <c r="F971" s="3"/>
      <c r="G971" s="3"/>
      <c r="H971" s="3"/>
      <c r="I971" s="3"/>
      <c r="J971" s="3"/>
      <c r="K971" s="3"/>
      <c r="L971" s="3"/>
      <c r="M971" s="3"/>
      <c r="N971" s="3"/>
      <c r="O971" s="3"/>
      <c r="P971" s="3"/>
      <c r="Q971" s="3"/>
      <c r="R971" s="3"/>
      <c r="S971" s="3"/>
      <c r="T971" s="3"/>
      <c r="U971" s="3"/>
      <c r="V971" s="3"/>
      <c r="W971" s="3"/>
      <c r="X971" s="150"/>
      <c r="Y971" s="3"/>
      <c r="Z971" s="3"/>
    </row>
    <row r="972" ht="14.25" customHeight="1">
      <c r="A972" s="3"/>
      <c r="B972" s="3"/>
      <c r="C972" s="3"/>
      <c r="D972" s="3"/>
      <c r="E972" s="3"/>
      <c r="F972" s="3"/>
      <c r="G972" s="3"/>
      <c r="H972" s="3"/>
      <c r="I972" s="3"/>
      <c r="J972" s="3"/>
      <c r="K972" s="3"/>
      <c r="L972" s="3"/>
      <c r="M972" s="3"/>
      <c r="N972" s="3"/>
      <c r="O972" s="3"/>
      <c r="P972" s="3"/>
      <c r="Q972" s="3"/>
      <c r="R972" s="3"/>
      <c r="S972" s="3"/>
      <c r="T972" s="3"/>
      <c r="U972" s="3"/>
      <c r="V972" s="3"/>
      <c r="W972" s="3"/>
      <c r="X972" s="150"/>
      <c r="Y972" s="3"/>
      <c r="Z972" s="3"/>
    </row>
    <row r="973" ht="14.25" customHeight="1">
      <c r="A973" s="3"/>
      <c r="B973" s="3"/>
      <c r="C973" s="3"/>
      <c r="D973" s="3"/>
      <c r="E973" s="3"/>
      <c r="F973" s="3"/>
      <c r="G973" s="3"/>
      <c r="H973" s="3"/>
      <c r="I973" s="3"/>
      <c r="J973" s="3"/>
      <c r="K973" s="3"/>
      <c r="L973" s="3"/>
      <c r="M973" s="3"/>
      <c r="N973" s="3"/>
      <c r="O973" s="3"/>
      <c r="P973" s="3"/>
      <c r="Q973" s="3"/>
      <c r="R973" s="3"/>
      <c r="S973" s="3"/>
      <c r="T973" s="3"/>
      <c r="U973" s="3"/>
      <c r="V973" s="3"/>
      <c r="W973" s="3"/>
      <c r="X973" s="150"/>
      <c r="Y973" s="3"/>
      <c r="Z973" s="3"/>
    </row>
    <row r="974" ht="14.25" customHeight="1">
      <c r="A974" s="3"/>
      <c r="B974" s="3"/>
      <c r="C974" s="3"/>
      <c r="D974" s="3"/>
      <c r="E974" s="3"/>
      <c r="F974" s="3"/>
      <c r="G974" s="3"/>
      <c r="H974" s="3"/>
      <c r="I974" s="3"/>
      <c r="J974" s="3"/>
      <c r="K974" s="3"/>
      <c r="L974" s="3"/>
      <c r="M974" s="3"/>
      <c r="N974" s="3"/>
      <c r="O974" s="3"/>
      <c r="P974" s="3"/>
      <c r="Q974" s="3"/>
      <c r="R974" s="3"/>
      <c r="S974" s="3"/>
      <c r="T974" s="3"/>
      <c r="U974" s="3"/>
      <c r="V974" s="3"/>
      <c r="W974" s="3"/>
      <c r="X974" s="150"/>
      <c r="Y974" s="3"/>
      <c r="Z974" s="3"/>
    </row>
    <row r="975" ht="14.25" customHeight="1">
      <c r="A975" s="3"/>
      <c r="B975" s="3"/>
      <c r="C975" s="3"/>
      <c r="D975" s="3"/>
      <c r="E975" s="3"/>
      <c r="F975" s="3"/>
      <c r="G975" s="3"/>
      <c r="H975" s="3"/>
      <c r="I975" s="3"/>
      <c r="J975" s="3"/>
      <c r="K975" s="3"/>
      <c r="L975" s="3"/>
      <c r="M975" s="3"/>
      <c r="N975" s="3"/>
      <c r="O975" s="3"/>
      <c r="P975" s="3"/>
      <c r="Q975" s="3"/>
      <c r="R975" s="3"/>
      <c r="S975" s="3"/>
      <c r="T975" s="3"/>
      <c r="U975" s="3"/>
      <c r="V975" s="3"/>
      <c r="W975" s="3"/>
      <c r="X975" s="150"/>
      <c r="Y975" s="3"/>
      <c r="Z975" s="3"/>
    </row>
    <row r="976" ht="14.25" customHeight="1">
      <c r="A976" s="3"/>
      <c r="B976" s="3"/>
      <c r="C976" s="3"/>
      <c r="D976" s="3"/>
      <c r="E976" s="3"/>
      <c r="F976" s="3"/>
      <c r="G976" s="3"/>
      <c r="H976" s="3"/>
      <c r="I976" s="3"/>
      <c r="J976" s="3"/>
      <c r="K976" s="3"/>
      <c r="L976" s="3"/>
      <c r="M976" s="3"/>
      <c r="N976" s="3"/>
      <c r="O976" s="3"/>
      <c r="P976" s="3"/>
      <c r="Q976" s="3"/>
      <c r="R976" s="3"/>
      <c r="S976" s="3"/>
      <c r="T976" s="3"/>
      <c r="U976" s="3"/>
      <c r="V976" s="3"/>
      <c r="W976" s="3"/>
      <c r="X976" s="150"/>
      <c r="Y976" s="3"/>
      <c r="Z976" s="3"/>
    </row>
    <row r="977" ht="14.25" customHeight="1">
      <c r="A977" s="3"/>
      <c r="B977" s="3"/>
      <c r="C977" s="3"/>
      <c r="D977" s="3"/>
      <c r="E977" s="3"/>
      <c r="F977" s="3"/>
      <c r="G977" s="3"/>
      <c r="H977" s="3"/>
      <c r="I977" s="3"/>
      <c r="J977" s="3"/>
      <c r="K977" s="3"/>
      <c r="L977" s="3"/>
      <c r="M977" s="3"/>
      <c r="N977" s="3"/>
      <c r="O977" s="3"/>
      <c r="P977" s="3"/>
      <c r="Q977" s="3"/>
      <c r="R977" s="3"/>
      <c r="S977" s="3"/>
      <c r="T977" s="3"/>
      <c r="U977" s="3"/>
      <c r="V977" s="3"/>
      <c r="W977" s="3"/>
      <c r="X977" s="150"/>
      <c r="Y977" s="3"/>
      <c r="Z977" s="3"/>
    </row>
    <row r="978" ht="14.25" customHeight="1">
      <c r="A978" s="3"/>
      <c r="B978" s="3"/>
      <c r="C978" s="3"/>
      <c r="D978" s="3"/>
      <c r="E978" s="3"/>
      <c r="F978" s="3"/>
      <c r="G978" s="3"/>
      <c r="H978" s="3"/>
      <c r="I978" s="3"/>
      <c r="J978" s="3"/>
      <c r="K978" s="3"/>
      <c r="L978" s="3"/>
      <c r="M978" s="3"/>
      <c r="N978" s="3"/>
      <c r="O978" s="3"/>
      <c r="P978" s="3"/>
      <c r="Q978" s="3"/>
      <c r="R978" s="3"/>
      <c r="S978" s="3"/>
      <c r="T978" s="3"/>
      <c r="U978" s="3"/>
      <c r="V978" s="3"/>
      <c r="W978" s="3"/>
      <c r="X978" s="150"/>
      <c r="Y978" s="3"/>
      <c r="Z978" s="3"/>
    </row>
    <row r="979" ht="14.25" customHeight="1">
      <c r="A979" s="3"/>
      <c r="B979" s="3"/>
      <c r="C979" s="3"/>
      <c r="D979" s="3"/>
      <c r="E979" s="3"/>
      <c r="F979" s="3"/>
      <c r="G979" s="3"/>
      <c r="H979" s="3"/>
      <c r="I979" s="3"/>
      <c r="J979" s="3"/>
      <c r="K979" s="3"/>
      <c r="L979" s="3"/>
      <c r="M979" s="3"/>
      <c r="N979" s="3"/>
      <c r="O979" s="3"/>
      <c r="P979" s="3"/>
      <c r="Q979" s="3"/>
      <c r="R979" s="3"/>
      <c r="S979" s="3"/>
      <c r="T979" s="3"/>
      <c r="U979" s="3"/>
      <c r="V979" s="3"/>
      <c r="W979" s="3"/>
      <c r="X979" s="150"/>
      <c r="Y979" s="3"/>
      <c r="Z979" s="3"/>
    </row>
    <row r="980" ht="14.25" customHeight="1">
      <c r="A980" s="3"/>
      <c r="B980" s="3"/>
      <c r="C980" s="3"/>
      <c r="D980" s="3"/>
      <c r="E980" s="3"/>
      <c r="F980" s="3"/>
      <c r="G980" s="3"/>
      <c r="H980" s="3"/>
      <c r="I980" s="3"/>
      <c r="J980" s="3"/>
      <c r="K980" s="3"/>
      <c r="L980" s="3"/>
      <c r="M980" s="3"/>
      <c r="N980" s="3"/>
      <c r="O980" s="3"/>
      <c r="P980" s="3"/>
      <c r="Q980" s="3"/>
      <c r="R980" s="3"/>
      <c r="S980" s="3"/>
      <c r="T980" s="3"/>
      <c r="U980" s="3"/>
      <c r="V980" s="3"/>
      <c r="W980" s="3"/>
      <c r="X980" s="150"/>
      <c r="Y980" s="3"/>
      <c r="Z980" s="3"/>
    </row>
    <row r="981" ht="14.25" customHeight="1">
      <c r="A981" s="3"/>
      <c r="B981" s="3"/>
      <c r="C981" s="3"/>
      <c r="D981" s="3"/>
      <c r="E981" s="3"/>
      <c r="F981" s="3"/>
      <c r="G981" s="3"/>
      <c r="H981" s="3"/>
      <c r="I981" s="3"/>
      <c r="J981" s="3"/>
      <c r="K981" s="3"/>
      <c r="L981" s="3"/>
      <c r="M981" s="3"/>
      <c r="N981" s="3"/>
      <c r="O981" s="3"/>
      <c r="P981" s="3"/>
      <c r="Q981" s="3"/>
      <c r="R981" s="3"/>
      <c r="S981" s="3"/>
      <c r="T981" s="3"/>
      <c r="U981" s="3"/>
      <c r="V981" s="3"/>
      <c r="W981" s="3"/>
      <c r="X981" s="150"/>
      <c r="Y981" s="3"/>
      <c r="Z981" s="3"/>
    </row>
    <row r="982" ht="14.25" customHeight="1">
      <c r="A982" s="3"/>
      <c r="B982" s="3"/>
      <c r="C982" s="3"/>
      <c r="D982" s="3"/>
      <c r="E982" s="3"/>
      <c r="F982" s="3"/>
      <c r="G982" s="3"/>
      <c r="H982" s="3"/>
      <c r="I982" s="3"/>
      <c r="J982" s="3"/>
      <c r="K982" s="3"/>
      <c r="L982" s="3"/>
      <c r="M982" s="3"/>
      <c r="N982" s="3"/>
      <c r="O982" s="3"/>
      <c r="P982" s="3"/>
      <c r="Q982" s="3"/>
      <c r="R982" s="3"/>
      <c r="S982" s="3"/>
      <c r="T982" s="3"/>
      <c r="U982" s="3"/>
      <c r="V982" s="3"/>
      <c r="W982" s="3"/>
      <c r="X982" s="150"/>
      <c r="Y982" s="3"/>
      <c r="Z982" s="3"/>
    </row>
    <row r="983" ht="14.25" customHeight="1">
      <c r="A983" s="3"/>
      <c r="B983" s="3"/>
      <c r="C983" s="3"/>
      <c r="D983" s="3"/>
      <c r="E983" s="3"/>
      <c r="F983" s="3"/>
      <c r="G983" s="3"/>
      <c r="H983" s="3"/>
      <c r="I983" s="3"/>
      <c r="J983" s="3"/>
      <c r="K983" s="3"/>
      <c r="L983" s="3"/>
      <c r="M983" s="3"/>
      <c r="N983" s="3"/>
      <c r="O983" s="3"/>
      <c r="P983" s="3"/>
      <c r="Q983" s="3"/>
      <c r="R983" s="3"/>
      <c r="S983" s="3"/>
      <c r="T983" s="3"/>
      <c r="U983" s="3"/>
      <c r="V983" s="3"/>
      <c r="W983" s="3"/>
      <c r="X983" s="150"/>
      <c r="Y983" s="3"/>
      <c r="Z983" s="3"/>
    </row>
    <row r="984" ht="14.25" customHeight="1">
      <c r="A984" s="3"/>
      <c r="B984" s="3"/>
      <c r="C984" s="3"/>
      <c r="D984" s="3"/>
      <c r="E984" s="3"/>
      <c r="F984" s="3"/>
      <c r="G984" s="3"/>
      <c r="H984" s="3"/>
      <c r="I984" s="3"/>
      <c r="J984" s="3"/>
      <c r="K984" s="3"/>
      <c r="L984" s="3"/>
      <c r="M984" s="3"/>
      <c r="N984" s="3"/>
      <c r="O984" s="3"/>
      <c r="P984" s="3"/>
      <c r="Q984" s="3"/>
      <c r="R984" s="3"/>
      <c r="S984" s="3"/>
      <c r="T984" s="3"/>
      <c r="U984" s="3"/>
      <c r="V984" s="3"/>
      <c r="W984" s="3"/>
      <c r="X984" s="150"/>
      <c r="Y984" s="3"/>
      <c r="Z984" s="3"/>
    </row>
    <row r="985" ht="14.25" customHeight="1">
      <c r="A985" s="3"/>
      <c r="B985" s="3"/>
      <c r="C985" s="3"/>
      <c r="D985" s="3"/>
      <c r="E985" s="3"/>
      <c r="F985" s="3"/>
      <c r="G985" s="3"/>
      <c r="H985" s="3"/>
      <c r="I985" s="3"/>
      <c r="J985" s="3"/>
      <c r="K985" s="3"/>
      <c r="L985" s="3"/>
      <c r="M985" s="3"/>
      <c r="N985" s="3"/>
      <c r="O985" s="3"/>
      <c r="P985" s="3"/>
      <c r="Q985" s="3"/>
      <c r="R985" s="3"/>
      <c r="S985" s="3"/>
      <c r="T985" s="3"/>
      <c r="U985" s="3"/>
      <c r="V985" s="3"/>
      <c r="W985" s="3"/>
      <c r="X985" s="150"/>
      <c r="Y985" s="3"/>
      <c r="Z985" s="3"/>
    </row>
    <row r="986" ht="14.25" customHeight="1">
      <c r="A986" s="3"/>
      <c r="B986" s="3"/>
      <c r="C986" s="3"/>
      <c r="D986" s="3"/>
      <c r="E986" s="3"/>
      <c r="F986" s="3"/>
      <c r="G986" s="3"/>
      <c r="H986" s="3"/>
      <c r="I986" s="3"/>
      <c r="J986" s="3"/>
      <c r="K986" s="3"/>
      <c r="L986" s="3"/>
      <c r="M986" s="3"/>
      <c r="N986" s="3"/>
      <c r="O986" s="3"/>
      <c r="P986" s="3"/>
      <c r="Q986" s="3"/>
      <c r="R986" s="3"/>
      <c r="S986" s="3"/>
      <c r="T986" s="3"/>
      <c r="U986" s="3"/>
      <c r="V986" s="3"/>
      <c r="W986" s="3"/>
      <c r="X986" s="150"/>
      <c r="Y986" s="3"/>
      <c r="Z986" s="3"/>
    </row>
    <row r="987" ht="14.25" customHeight="1">
      <c r="A987" s="3"/>
      <c r="B987" s="3"/>
      <c r="C987" s="3"/>
      <c r="D987" s="3"/>
      <c r="E987" s="3"/>
      <c r="F987" s="3"/>
      <c r="G987" s="3"/>
      <c r="H987" s="3"/>
      <c r="I987" s="3"/>
      <c r="J987" s="3"/>
      <c r="K987" s="3"/>
      <c r="L987" s="3"/>
      <c r="M987" s="3"/>
      <c r="N987" s="3"/>
      <c r="O987" s="3"/>
      <c r="P987" s="3"/>
      <c r="Q987" s="3"/>
      <c r="R987" s="3"/>
      <c r="S987" s="3"/>
      <c r="T987" s="3"/>
      <c r="U987" s="3"/>
      <c r="V987" s="3"/>
      <c r="W987" s="3"/>
      <c r="X987" s="150"/>
      <c r="Y987" s="3"/>
      <c r="Z987" s="3"/>
    </row>
    <row r="988" ht="14.25" customHeight="1">
      <c r="A988" s="3"/>
      <c r="B988" s="3"/>
      <c r="C988" s="3"/>
      <c r="D988" s="3"/>
      <c r="E988" s="3"/>
      <c r="F988" s="3"/>
      <c r="G988" s="3"/>
      <c r="H988" s="3"/>
      <c r="I988" s="3"/>
      <c r="J988" s="3"/>
      <c r="K988" s="3"/>
      <c r="L988" s="3"/>
      <c r="M988" s="3"/>
      <c r="N988" s="3"/>
      <c r="O988" s="3"/>
      <c r="P988" s="3"/>
      <c r="Q988" s="3"/>
      <c r="R988" s="3"/>
      <c r="S988" s="3"/>
      <c r="T988" s="3"/>
      <c r="U988" s="3"/>
      <c r="V988" s="3"/>
      <c r="W988" s="3"/>
      <c r="X988" s="150"/>
      <c r="Y988" s="3"/>
      <c r="Z988" s="3"/>
    </row>
    <row r="989" ht="14.25" customHeight="1">
      <c r="A989" s="3"/>
      <c r="B989" s="3"/>
      <c r="C989" s="3"/>
      <c r="D989" s="3"/>
      <c r="E989" s="3"/>
      <c r="F989" s="3"/>
      <c r="G989" s="3"/>
      <c r="H989" s="3"/>
      <c r="I989" s="3"/>
      <c r="J989" s="3"/>
      <c r="K989" s="3"/>
      <c r="L989" s="3"/>
      <c r="M989" s="3"/>
      <c r="N989" s="3"/>
      <c r="O989" s="3"/>
      <c r="P989" s="3"/>
      <c r="Q989" s="3"/>
      <c r="R989" s="3"/>
      <c r="S989" s="3"/>
      <c r="T989" s="3"/>
      <c r="U989" s="3"/>
      <c r="V989" s="3"/>
      <c r="W989" s="3"/>
      <c r="X989" s="150"/>
      <c r="Y989" s="3"/>
      <c r="Z989" s="3"/>
    </row>
    <row r="990" ht="14.25" customHeight="1">
      <c r="A990" s="3"/>
      <c r="B990" s="3"/>
      <c r="C990" s="3"/>
      <c r="D990" s="3"/>
      <c r="E990" s="3"/>
      <c r="F990" s="3"/>
      <c r="G990" s="3"/>
      <c r="H990" s="3"/>
      <c r="I990" s="3"/>
      <c r="J990" s="3"/>
      <c r="K990" s="3"/>
      <c r="L990" s="3"/>
      <c r="M990" s="3"/>
      <c r="N990" s="3"/>
      <c r="O990" s="3"/>
      <c r="P990" s="3"/>
      <c r="Q990" s="3"/>
      <c r="R990" s="3"/>
      <c r="S990" s="3"/>
      <c r="T990" s="3"/>
      <c r="U990" s="3"/>
      <c r="V990" s="3"/>
      <c r="W990" s="3"/>
      <c r="X990" s="150"/>
      <c r="Y990" s="3"/>
      <c r="Z990" s="3"/>
    </row>
    <row r="991" ht="14.25" customHeight="1">
      <c r="A991" s="3"/>
      <c r="B991" s="3"/>
      <c r="C991" s="3"/>
      <c r="D991" s="3"/>
      <c r="E991" s="3"/>
      <c r="F991" s="3"/>
      <c r="G991" s="3"/>
      <c r="H991" s="3"/>
      <c r="I991" s="3"/>
      <c r="J991" s="3"/>
      <c r="K991" s="3"/>
      <c r="L991" s="3"/>
      <c r="M991" s="3"/>
      <c r="N991" s="3"/>
      <c r="O991" s="3"/>
      <c r="P991" s="3"/>
      <c r="Q991" s="3"/>
      <c r="R991" s="3"/>
      <c r="S991" s="3"/>
      <c r="T991" s="3"/>
      <c r="U991" s="3"/>
      <c r="V991" s="3"/>
      <c r="W991" s="3"/>
      <c r="X991" s="150"/>
      <c r="Y991" s="3"/>
      <c r="Z991" s="3"/>
    </row>
    <row r="992" ht="14.25" customHeight="1">
      <c r="A992" s="3"/>
      <c r="B992" s="3"/>
      <c r="C992" s="3"/>
      <c r="D992" s="3"/>
      <c r="E992" s="3"/>
      <c r="F992" s="3"/>
      <c r="G992" s="3"/>
      <c r="H992" s="3"/>
      <c r="I992" s="3"/>
      <c r="J992" s="3"/>
      <c r="K992" s="3"/>
      <c r="L992" s="3"/>
      <c r="M992" s="3"/>
      <c r="N992" s="3"/>
      <c r="O992" s="3"/>
      <c r="P992" s="3"/>
      <c r="Q992" s="3"/>
      <c r="R992" s="3"/>
      <c r="S992" s="3"/>
      <c r="T992" s="3"/>
      <c r="U992" s="3"/>
      <c r="V992" s="3"/>
      <c r="W992" s="3"/>
      <c r="X992" s="150"/>
      <c r="Y992" s="3"/>
      <c r="Z992" s="3"/>
    </row>
    <row r="993" ht="14.25" customHeight="1">
      <c r="A993" s="3"/>
      <c r="B993" s="3"/>
      <c r="C993" s="3"/>
      <c r="D993" s="3"/>
      <c r="E993" s="3"/>
      <c r="F993" s="3"/>
      <c r="G993" s="3"/>
      <c r="H993" s="3"/>
      <c r="I993" s="3"/>
      <c r="J993" s="3"/>
      <c r="K993" s="3"/>
      <c r="L993" s="3"/>
      <c r="M993" s="3"/>
      <c r="N993" s="3"/>
      <c r="O993" s="3"/>
      <c r="P993" s="3"/>
      <c r="Q993" s="3"/>
      <c r="R993" s="3"/>
      <c r="S993" s="3"/>
      <c r="T993" s="3"/>
      <c r="U993" s="3"/>
      <c r="V993" s="3"/>
      <c r="W993" s="3"/>
      <c r="X993" s="150"/>
      <c r="Y993" s="3"/>
      <c r="Z993" s="3"/>
    </row>
    <row r="994" ht="14.25" customHeight="1">
      <c r="A994" s="3"/>
      <c r="B994" s="3"/>
      <c r="C994" s="3"/>
      <c r="D994" s="3"/>
      <c r="E994" s="3"/>
      <c r="F994" s="3"/>
      <c r="G994" s="3"/>
      <c r="H994" s="3"/>
      <c r="I994" s="3"/>
      <c r="J994" s="3"/>
      <c r="K994" s="3"/>
      <c r="L994" s="3"/>
      <c r="M994" s="3"/>
      <c r="N994" s="3"/>
      <c r="O994" s="3"/>
      <c r="P994" s="3"/>
      <c r="Q994" s="3"/>
      <c r="R994" s="3"/>
      <c r="S994" s="3"/>
      <c r="T994" s="3"/>
      <c r="U994" s="3"/>
      <c r="V994" s="3"/>
      <c r="W994" s="3"/>
      <c r="X994" s="150"/>
      <c r="Y994" s="3"/>
      <c r="Z994" s="3"/>
    </row>
    <row r="995" ht="14.25" customHeight="1">
      <c r="A995" s="3"/>
      <c r="B995" s="3"/>
      <c r="C995" s="3"/>
      <c r="D995" s="3"/>
      <c r="E995" s="3"/>
      <c r="F995" s="3"/>
      <c r="G995" s="3"/>
      <c r="H995" s="3"/>
      <c r="I995" s="3"/>
      <c r="J995" s="3"/>
      <c r="K995" s="3"/>
      <c r="L995" s="3"/>
      <c r="M995" s="3"/>
      <c r="N995" s="3"/>
      <c r="O995" s="3"/>
      <c r="P995" s="3"/>
      <c r="Q995" s="3"/>
      <c r="R995" s="3"/>
      <c r="S995" s="3"/>
      <c r="T995" s="3"/>
      <c r="U995" s="3"/>
      <c r="V995" s="3"/>
      <c r="W995" s="3"/>
      <c r="X995" s="150"/>
      <c r="Y995" s="3"/>
      <c r="Z995" s="3"/>
    </row>
    <row r="996" ht="14.25" customHeight="1">
      <c r="A996" s="3"/>
      <c r="B996" s="3"/>
      <c r="C996" s="3"/>
      <c r="D996" s="3"/>
      <c r="E996" s="3"/>
      <c r="F996" s="3"/>
      <c r="G996" s="3"/>
      <c r="H996" s="3"/>
      <c r="I996" s="3"/>
      <c r="J996" s="3"/>
      <c r="K996" s="3"/>
      <c r="L996" s="3"/>
      <c r="M996" s="3"/>
      <c r="N996" s="3"/>
      <c r="O996" s="3"/>
      <c r="P996" s="3"/>
      <c r="Q996" s="3"/>
      <c r="R996" s="3"/>
      <c r="S996" s="3"/>
      <c r="T996" s="3"/>
      <c r="U996" s="3"/>
      <c r="V996" s="3"/>
      <c r="W996" s="3"/>
      <c r="X996" s="150"/>
      <c r="Y996" s="3"/>
      <c r="Z996" s="3"/>
    </row>
    <row r="997" ht="14.25" customHeight="1">
      <c r="A997" s="3"/>
      <c r="B997" s="3"/>
      <c r="C997" s="3"/>
      <c r="D997" s="3"/>
      <c r="E997" s="3"/>
      <c r="F997" s="3"/>
      <c r="G997" s="3"/>
      <c r="H997" s="3"/>
      <c r="I997" s="3"/>
      <c r="J997" s="3"/>
      <c r="K997" s="3"/>
      <c r="L997" s="3"/>
      <c r="M997" s="3"/>
      <c r="N997" s="3"/>
      <c r="O997" s="3"/>
      <c r="P997" s="3"/>
      <c r="Q997" s="3"/>
      <c r="R997" s="3"/>
      <c r="S997" s="3"/>
      <c r="T997" s="3"/>
      <c r="U997" s="3"/>
      <c r="V997" s="3"/>
      <c r="W997" s="3"/>
      <c r="X997" s="150"/>
      <c r="Y997" s="3"/>
      <c r="Z997" s="3"/>
    </row>
    <row r="998" ht="14.25" customHeight="1">
      <c r="A998" s="3"/>
      <c r="B998" s="3"/>
      <c r="C998" s="3"/>
      <c r="D998" s="3"/>
      <c r="E998" s="3"/>
      <c r="F998" s="3"/>
      <c r="G998" s="3"/>
      <c r="H998" s="3"/>
      <c r="I998" s="3"/>
      <c r="J998" s="3"/>
      <c r="K998" s="3"/>
      <c r="L998" s="3"/>
      <c r="M998" s="3"/>
      <c r="N998" s="3"/>
      <c r="O998" s="3"/>
      <c r="P998" s="3"/>
      <c r="Q998" s="3"/>
      <c r="R998" s="3"/>
      <c r="S998" s="3"/>
      <c r="T998" s="3"/>
      <c r="U998" s="3"/>
      <c r="V998" s="3"/>
      <c r="W998" s="3"/>
      <c r="X998" s="150"/>
      <c r="Y998" s="3"/>
      <c r="Z998" s="3"/>
    </row>
    <row r="999" ht="14.25" customHeight="1">
      <c r="A999" s="3"/>
      <c r="B999" s="3"/>
      <c r="C999" s="3"/>
      <c r="D999" s="3"/>
      <c r="E999" s="3"/>
      <c r="F999" s="3"/>
      <c r="G999" s="3"/>
      <c r="H999" s="3"/>
      <c r="I999" s="3"/>
      <c r="J999" s="3"/>
      <c r="K999" s="3"/>
      <c r="L999" s="3"/>
      <c r="M999" s="3"/>
      <c r="N999" s="3"/>
      <c r="O999" s="3"/>
      <c r="P999" s="3"/>
      <c r="Q999" s="3"/>
      <c r="R999" s="3"/>
      <c r="S999" s="3"/>
      <c r="T999" s="3"/>
      <c r="U999" s="3"/>
      <c r="V999" s="3"/>
      <c r="W999" s="3"/>
      <c r="X999" s="150"/>
      <c r="Y999" s="3"/>
      <c r="Z999" s="3"/>
    </row>
    <row r="1000" ht="14.2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150"/>
      <c r="Y1000" s="3"/>
      <c r="Z1000" s="3"/>
    </row>
  </sheetData>
  <autoFilter ref="$B$17:$X$870">
    <filterColumn colId="19">
      <filters>
        <filter val="R$  780.00"/>
        <filter val="R$  1,890.00"/>
        <filter val="R$  570.00"/>
        <filter val="R$  270.00"/>
        <filter val="R$  19,243.56"/>
      </filters>
    </filterColumn>
  </autoFilter>
  <mergeCells count="9">
    <mergeCell ref="Q15:S15"/>
    <mergeCell ref="W15:W16"/>
    <mergeCell ref="C2:C4"/>
    <mergeCell ref="F2:H2"/>
    <mergeCell ref="K2:M2"/>
    <mergeCell ref="O2:Q2"/>
    <mergeCell ref="F11:H11"/>
    <mergeCell ref="F15:I15"/>
    <mergeCell ref="K15:O15"/>
  </mergeCells>
  <conditionalFormatting sqref="B7">
    <cfRule type="containsText" dxfId="0" priority="1" operator="containsText" text="RAIA">
      <formula>NOT(ISERROR(SEARCH(("RAIA"),(B7))))</formula>
    </cfRule>
  </conditionalFormatting>
  <conditionalFormatting sqref="B7">
    <cfRule type="containsText" dxfId="1" priority="2" operator="containsText" text="DROGASIL">
      <formula>NOT(ISERROR(SEARCH(("DROGASIL"),(B7))))</formula>
    </cfRule>
  </conditionalFormatting>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7F7F7F"/>
    <pageSetUpPr/>
  </sheetPr>
  <sheetViews>
    <sheetView showGridLines="0" workbookViewId="0">
      <pane xSplit="4.0" ySplit="6.0" topLeftCell="E7" activePane="bottomRight" state="frozen"/>
      <selection activeCell="E1" sqref="E1" pane="topRight"/>
      <selection activeCell="A7" sqref="A7" pane="bottomLeft"/>
      <selection activeCell="E7" sqref="E7" pane="bottomRight"/>
    </sheetView>
  </sheetViews>
  <sheetFormatPr customHeight="1" defaultColWidth="14.43" defaultRowHeight="15.0"/>
  <cols>
    <col customWidth="1" min="1" max="1" width="1.29"/>
    <col customWidth="1" min="2" max="2" width="9.29"/>
    <col customWidth="1" min="3" max="3" width="127.86"/>
    <col customWidth="1" min="4" max="4" width="5.71"/>
    <col customWidth="1" min="5" max="5" width="0.71"/>
    <col customWidth="1" min="6" max="6" width="15.71"/>
    <col customWidth="1" min="7" max="7" width="0.71"/>
    <col customWidth="1" min="8" max="8" width="15.71"/>
    <col customWidth="1" min="9" max="9" width="0.71"/>
    <col customWidth="1" min="10" max="10" width="15.71"/>
    <col customWidth="1" min="11" max="11" width="0.71"/>
    <col customWidth="1" min="12" max="12" width="15.71"/>
    <col customWidth="1" min="13" max="13" width="0.71"/>
    <col customWidth="1" min="14" max="14" width="15.71"/>
    <col customWidth="1" min="15" max="15" width="6.57"/>
    <col customWidth="1" min="16" max="26" width="8.71"/>
  </cols>
  <sheetData>
    <row r="1" ht="12.75" customHeight="1">
      <c r="A1" s="151"/>
      <c r="B1" s="151"/>
      <c r="C1" s="151"/>
      <c r="D1" s="151"/>
      <c r="E1" s="151"/>
      <c r="F1" s="151"/>
      <c r="G1" s="151"/>
      <c r="H1" s="151"/>
      <c r="I1" s="151"/>
      <c r="J1" s="151"/>
      <c r="K1" s="151"/>
      <c r="L1" s="151"/>
      <c r="M1" s="151"/>
      <c r="N1" s="151"/>
      <c r="O1" s="151"/>
      <c r="P1" s="151"/>
      <c r="Q1" s="151"/>
      <c r="R1" s="151"/>
      <c r="S1" s="151"/>
      <c r="T1" s="151"/>
      <c r="U1" s="151"/>
      <c r="V1" s="151"/>
      <c r="W1" s="151"/>
      <c r="X1" s="151"/>
      <c r="Y1" s="151"/>
      <c r="Z1" s="151"/>
    </row>
    <row r="2" ht="12.75" customHeight="1">
      <c r="A2" s="151"/>
      <c r="B2" s="151"/>
      <c r="C2" s="151"/>
      <c r="D2" s="151"/>
      <c r="E2" s="151"/>
      <c r="F2" s="152">
        <f>SUM(F7:F785)</f>
        <v>456549.2429</v>
      </c>
      <c r="G2" s="152"/>
      <c r="H2" s="152">
        <f>SUM(H7:H785)</f>
        <v>466580.6727</v>
      </c>
      <c r="I2" s="152"/>
      <c r="J2" s="152">
        <f>SUM(J7:J785)</f>
        <v>477615.0655</v>
      </c>
      <c r="K2" s="152"/>
      <c r="L2" s="152">
        <f>SUM(L7:L785)</f>
        <v>466563.6422</v>
      </c>
      <c r="M2" s="152"/>
      <c r="N2" s="152">
        <f>SUM(N7:N785)</f>
        <v>466602.8862</v>
      </c>
      <c r="O2" s="152"/>
      <c r="P2" s="151"/>
      <c r="Q2" s="151"/>
      <c r="R2" s="151"/>
      <c r="S2" s="151"/>
      <c r="T2" s="151"/>
      <c r="U2" s="151"/>
      <c r="V2" s="151"/>
      <c r="W2" s="151"/>
      <c r="X2" s="151"/>
      <c r="Y2" s="151"/>
      <c r="Z2" s="151"/>
    </row>
    <row r="3" ht="12.75" customHeight="1">
      <c r="A3" s="151"/>
      <c r="B3" s="151"/>
      <c r="C3" s="153" t="s">
        <v>1637</v>
      </c>
      <c r="D3" s="154" t="s">
        <v>1638</v>
      </c>
      <c r="E3" s="151"/>
      <c r="F3" s="155" t="s">
        <v>1639</v>
      </c>
      <c r="G3" s="156"/>
      <c r="H3" s="155" t="s">
        <v>1640</v>
      </c>
      <c r="I3" s="156"/>
      <c r="J3" s="155" t="s">
        <v>1641</v>
      </c>
      <c r="K3" s="156"/>
      <c r="L3" s="155" t="s">
        <v>1642</v>
      </c>
      <c r="M3" s="156"/>
      <c r="N3" s="155" t="s">
        <v>1643</v>
      </c>
      <c r="O3" s="156"/>
      <c r="P3" s="151"/>
      <c r="Q3" s="151"/>
      <c r="R3" s="151"/>
      <c r="S3" s="151"/>
      <c r="T3" s="151"/>
      <c r="U3" s="151"/>
      <c r="V3" s="151"/>
      <c r="W3" s="151"/>
      <c r="X3" s="151"/>
      <c r="Y3" s="151"/>
      <c r="Z3" s="151"/>
    </row>
    <row r="4" ht="12.75" customHeight="1">
      <c r="A4" s="151"/>
      <c r="B4" s="151"/>
      <c r="C4" s="157" t="s">
        <v>1644</v>
      </c>
      <c r="D4" s="158"/>
      <c r="E4" s="151"/>
      <c r="F4" s="22"/>
      <c r="G4" s="156"/>
      <c r="H4" s="22"/>
      <c r="I4" s="156"/>
      <c r="J4" s="22"/>
      <c r="K4" s="156"/>
      <c r="L4" s="22"/>
      <c r="M4" s="156"/>
      <c r="N4" s="22"/>
      <c r="O4" s="156"/>
      <c r="P4" s="151"/>
      <c r="Q4" s="151"/>
      <c r="R4" s="151"/>
      <c r="S4" s="151"/>
      <c r="T4" s="151"/>
      <c r="U4" s="151"/>
      <c r="V4" s="151"/>
      <c r="W4" s="151"/>
      <c r="X4" s="151"/>
      <c r="Y4" s="151"/>
      <c r="Z4" s="151"/>
    </row>
    <row r="5" ht="12.75" customHeight="1">
      <c r="A5" s="151"/>
      <c r="B5" s="101" t="s">
        <v>58</v>
      </c>
      <c r="C5" s="102" t="s">
        <v>59</v>
      </c>
      <c r="D5" s="103"/>
      <c r="E5" s="151"/>
      <c r="F5" s="159"/>
      <c r="G5" s="160"/>
      <c r="H5" s="159"/>
      <c r="I5" s="160"/>
      <c r="J5" s="159"/>
      <c r="K5" s="160"/>
      <c r="L5" s="159"/>
      <c r="M5" s="160"/>
      <c r="N5" s="159"/>
      <c r="O5" s="160"/>
      <c r="P5" s="151"/>
      <c r="Q5" s="151"/>
      <c r="R5" s="151"/>
      <c r="S5" s="151"/>
      <c r="T5" s="151"/>
      <c r="U5" s="151"/>
      <c r="V5" s="151"/>
      <c r="W5" s="151"/>
      <c r="X5" s="151"/>
      <c r="Y5" s="151"/>
      <c r="Z5" s="151"/>
    </row>
    <row r="6" ht="12.75" customHeight="1">
      <c r="A6" s="151"/>
      <c r="B6" s="113" t="s">
        <v>60</v>
      </c>
      <c r="C6" s="114" t="s">
        <v>61</v>
      </c>
      <c r="D6" s="115"/>
      <c r="E6" s="151"/>
      <c r="F6" s="161"/>
      <c r="G6" s="162"/>
      <c r="H6" s="161"/>
      <c r="I6" s="162"/>
      <c r="J6" s="161"/>
      <c r="K6" s="162"/>
      <c r="L6" s="161"/>
      <c r="M6" s="162"/>
      <c r="N6" s="161"/>
      <c r="O6" s="162"/>
      <c r="P6" s="151"/>
      <c r="Q6" s="151"/>
      <c r="R6" s="151"/>
      <c r="S6" s="151"/>
      <c r="T6" s="151"/>
      <c r="U6" s="151"/>
      <c r="V6" s="151"/>
      <c r="W6" s="151"/>
      <c r="X6" s="151"/>
      <c r="Y6" s="151"/>
      <c r="Z6" s="151"/>
    </row>
    <row r="7" ht="12.75" customHeight="1">
      <c r="A7" s="151"/>
      <c r="B7" s="125" t="s">
        <v>62</v>
      </c>
      <c r="C7" s="126" t="s">
        <v>63</v>
      </c>
      <c r="D7" s="127" t="s">
        <v>64</v>
      </c>
      <c r="E7" s="151"/>
      <c r="F7" s="163">
        <v>2100.0</v>
      </c>
      <c r="G7" s="164"/>
      <c r="H7" s="163">
        <v>2100.0</v>
      </c>
      <c r="I7" s="164"/>
      <c r="J7" s="163">
        <v>2100.0</v>
      </c>
      <c r="K7" s="164"/>
      <c r="L7" s="163">
        <v>2100.0</v>
      </c>
      <c r="M7" s="164"/>
      <c r="N7" s="163">
        <v>2100.0</v>
      </c>
      <c r="O7" s="164"/>
      <c r="P7" s="151"/>
      <c r="Q7" s="151"/>
      <c r="R7" s="151"/>
      <c r="S7" s="151"/>
      <c r="T7" s="151"/>
      <c r="U7" s="151"/>
      <c r="V7" s="151"/>
      <c r="W7" s="151"/>
      <c r="X7" s="151"/>
      <c r="Y7" s="151"/>
      <c r="Z7" s="151"/>
    </row>
    <row r="8" ht="12.75" customHeight="1">
      <c r="A8" s="151"/>
      <c r="B8" s="125" t="s">
        <v>65</v>
      </c>
      <c r="C8" s="165" t="s">
        <v>66</v>
      </c>
      <c r="D8" s="127" t="s">
        <v>64</v>
      </c>
      <c r="E8" s="151"/>
      <c r="F8" s="163">
        <v>2886.573579939764</v>
      </c>
      <c r="G8" s="164"/>
      <c r="H8" s="163">
        <v>2886.573579939764</v>
      </c>
      <c r="I8" s="164"/>
      <c r="J8" s="163">
        <v>2886.573579939764</v>
      </c>
      <c r="K8" s="164"/>
      <c r="L8" s="163">
        <v>2886.573579939764</v>
      </c>
      <c r="M8" s="164"/>
      <c r="N8" s="163">
        <v>2886.573579939764</v>
      </c>
      <c r="O8" s="164"/>
      <c r="P8" s="151"/>
      <c r="Q8" s="151"/>
      <c r="R8" s="151"/>
      <c r="S8" s="151"/>
      <c r="T8" s="151"/>
      <c r="U8" s="151"/>
      <c r="V8" s="151"/>
      <c r="W8" s="151"/>
      <c r="X8" s="151"/>
      <c r="Y8" s="151"/>
      <c r="Z8" s="151"/>
    </row>
    <row r="9" ht="12.75" customHeight="1">
      <c r="A9" s="151"/>
      <c r="B9" s="125" t="s">
        <v>67</v>
      </c>
      <c r="C9" s="126" t="s">
        <v>68</v>
      </c>
      <c r="D9" s="127" t="s">
        <v>64</v>
      </c>
      <c r="E9" s="151"/>
      <c r="F9" s="163">
        <v>2900.0</v>
      </c>
      <c r="G9" s="164"/>
      <c r="H9" s="163">
        <v>2770.0</v>
      </c>
      <c r="I9" s="164"/>
      <c r="J9" s="163">
        <v>2640.0</v>
      </c>
      <c r="K9" s="164"/>
      <c r="L9" s="163">
        <v>2770.0</v>
      </c>
      <c r="M9" s="164"/>
      <c r="N9" s="163">
        <v>2770.0</v>
      </c>
      <c r="O9" s="164"/>
      <c r="P9" s="151"/>
      <c r="Q9" s="151"/>
      <c r="R9" s="151"/>
      <c r="S9" s="151"/>
      <c r="T9" s="151"/>
      <c r="U9" s="151"/>
      <c r="V9" s="151"/>
      <c r="W9" s="151"/>
      <c r="X9" s="151"/>
      <c r="Y9" s="151"/>
      <c r="Z9" s="151"/>
    </row>
    <row r="10" ht="12.75" customHeight="1">
      <c r="A10" s="151"/>
      <c r="B10" s="113" t="s">
        <v>69</v>
      </c>
      <c r="C10" s="114" t="s">
        <v>70</v>
      </c>
      <c r="D10" s="115"/>
      <c r="E10" s="151"/>
      <c r="F10" s="161"/>
      <c r="G10" s="162"/>
      <c r="H10" s="161"/>
      <c r="I10" s="162"/>
      <c r="J10" s="161"/>
      <c r="K10" s="162"/>
      <c r="L10" s="161"/>
      <c r="M10" s="162"/>
      <c r="N10" s="161"/>
      <c r="O10" s="162"/>
      <c r="P10" s="151"/>
      <c r="Q10" s="151"/>
      <c r="R10" s="151"/>
      <c r="S10" s="151"/>
      <c r="T10" s="151"/>
      <c r="U10" s="151"/>
      <c r="V10" s="151"/>
      <c r="W10" s="151"/>
      <c r="X10" s="151"/>
      <c r="Y10" s="151"/>
      <c r="Z10" s="151"/>
    </row>
    <row r="11" ht="12.75" customHeight="1">
      <c r="A11" s="151"/>
      <c r="B11" s="125" t="s">
        <v>71</v>
      </c>
      <c r="C11" s="126" t="s">
        <v>72</v>
      </c>
      <c r="D11" s="127" t="s">
        <v>73</v>
      </c>
      <c r="E11" s="151"/>
      <c r="F11" s="163">
        <v>1496.8668359626522</v>
      </c>
      <c r="G11" s="164"/>
      <c r="H11" s="163">
        <v>1394.8082721559163</v>
      </c>
      <c r="I11" s="164"/>
      <c r="J11" s="163">
        <v>1292.74970834918</v>
      </c>
      <c r="K11" s="164"/>
      <c r="L11" s="163">
        <v>1394.8082721559163</v>
      </c>
      <c r="M11" s="164"/>
      <c r="N11" s="163">
        <v>1394.8082721559163</v>
      </c>
      <c r="O11" s="164"/>
      <c r="P11" s="151"/>
      <c r="Q11" s="151"/>
      <c r="R11" s="151"/>
      <c r="S11" s="151"/>
      <c r="T11" s="151"/>
      <c r="U11" s="151"/>
      <c r="V11" s="151"/>
      <c r="W11" s="151"/>
      <c r="X11" s="151"/>
      <c r="Y11" s="151"/>
      <c r="Z11" s="151"/>
    </row>
    <row r="12" ht="12.75" customHeight="1">
      <c r="A12" s="151"/>
      <c r="B12" s="125" t="s">
        <v>74</v>
      </c>
      <c r="C12" s="126" t="s">
        <v>75</v>
      </c>
      <c r="D12" s="127" t="s">
        <v>76</v>
      </c>
      <c r="E12" s="151"/>
      <c r="F12" s="163">
        <v>267.10642095257475</v>
      </c>
      <c r="G12" s="164"/>
      <c r="H12" s="163">
        <v>256.2682104762874</v>
      </c>
      <c r="I12" s="164"/>
      <c r="J12" s="163">
        <v>245.43</v>
      </c>
      <c r="K12" s="164"/>
      <c r="L12" s="163">
        <v>256.2682104762874</v>
      </c>
      <c r="M12" s="164"/>
      <c r="N12" s="163">
        <v>256.2682104762874</v>
      </c>
      <c r="O12" s="164"/>
      <c r="P12" s="151"/>
      <c r="Q12" s="151"/>
      <c r="R12" s="151"/>
      <c r="S12" s="151"/>
      <c r="T12" s="151"/>
      <c r="U12" s="151"/>
      <c r="V12" s="151"/>
      <c r="W12" s="151"/>
      <c r="X12" s="151"/>
      <c r="Y12" s="151"/>
      <c r="Z12" s="151"/>
    </row>
    <row r="13" ht="12.75" customHeight="1">
      <c r="A13" s="151"/>
      <c r="B13" s="125" t="s">
        <v>77</v>
      </c>
      <c r="C13" s="126" t="s">
        <v>78</v>
      </c>
      <c r="D13" s="127" t="s">
        <v>76</v>
      </c>
      <c r="E13" s="151"/>
      <c r="F13" s="163">
        <v>29.72</v>
      </c>
      <c r="G13" s="164"/>
      <c r="H13" s="163">
        <v>28.770000000000003</v>
      </c>
      <c r="I13" s="164"/>
      <c r="J13" s="163">
        <v>30.799969200000003</v>
      </c>
      <c r="K13" s="164"/>
      <c r="L13" s="163">
        <v>28.770000000000003</v>
      </c>
      <c r="M13" s="164"/>
      <c r="N13" s="163">
        <v>28.770000000000003</v>
      </c>
      <c r="O13" s="164"/>
      <c r="P13" s="151"/>
      <c r="Q13" s="151"/>
      <c r="R13" s="151"/>
      <c r="S13" s="151"/>
      <c r="T13" s="151"/>
      <c r="U13" s="151"/>
      <c r="V13" s="151"/>
      <c r="W13" s="151"/>
      <c r="X13" s="151"/>
      <c r="Y13" s="151"/>
      <c r="Z13" s="151"/>
    </row>
    <row r="14" ht="12.75" customHeight="1">
      <c r="A14" s="151"/>
      <c r="B14" s="125" t="s">
        <v>79</v>
      </c>
      <c r="C14" s="126" t="s">
        <v>80</v>
      </c>
      <c r="D14" s="127" t="s">
        <v>73</v>
      </c>
      <c r="E14" s="151"/>
      <c r="F14" s="163">
        <v>3075.73</v>
      </c>
      <c r="G14" s="164"/>
      <c r="H14" s="163">
        <v>3444.2024539999998</v>
      </c>
      <c r="I14" s="164"/>
      <c r="J14" s="163">
        <v>3812.6749079999995</v>
      </c>
      <c r="K14" s="164"/>
      <c r="L14" s="163">
        <v>3444.2024539999998</v>
      </c>
      <c r="M14" s="164"/>
      <c r="N14" s="163">
        <v>3444.2024539999998</v>
      </c>
      <c r="O14" s="164"/>
      <c r="P14" s="151"/>
      <c r="Q14" s="151"/>
      <c r="R14" s="151"/>
      <c r="S14" s="151"/>
      <c r="T14" s="151"/>
      <c r="U14" s="151"/>
      <c r="V14" s="151"/>
      <c r="W14" s="151"/>
      <c r="X14" s="151"/>
      <c r="Y14" s="151"/>
      <c r="Z14" s="151"/>
    </row>
    <row r="15" ht="12.75" customHeight="1">
      <c r="A15" s="151"/>
      <c r="B15" s="125" t="s">
        <v>81</v>
      </c>
      <c r="C15" s="126" t="s">
        <v>82</v>
      </c>
      <c r="D15" s="127" t="s">
        <v>73</v>
      </c>
      <c r="E15" s="151"/>
      <c r="F15" s="163">
        <v>3913.0</v>
      </c>
      <c r="G15" s="164"/>
      <c r="H15" s="163">
        <v>4381.7774</v>
      </c>
      <c r="I15" s="164"/>
      <c r="J15" s="163">
        <v>4850.5548</v>
      </c>
      <c r="K15" s="164"/>
      <c r="L15" s="163">
        <v>4381.7774</v>
      </c>
      <c r="M15" s="164"/>
      <c r="N15" s="163">
        <v>4381.7774</v>
      </c>
      <c r="O15" s="164"/>
      <c r="P15" s="151"/>
      <c r="Q15" s="151"/>
      <c r="R15" s="151"/>
      <c r="S15" s="151"/>
      <c r="T15" s="151"/>
      <c r="U15" s="151"/>
      <c r="V15" s="151"/>
      <c r="W15" s="151"/>
      <c r="X15" s="151"/>
      <c r="Y15" s="151"/>
      <c r="Z15" s="151"/>
    </row>
    <row r="16" ht="12.75" customHeight="1">
      <c r="A16" s="151"/>
      <c r="B16" s="125" t="s">
        <v>83</v>
      </c>
      <c r="C16" s="126" t="s">
        <v>84</v>
      </c>
      <c r="D16" s="127" t="s">
        <v>73</v>
      </c>
      <c r="E16" s="151"/>
      <c r="F16" s="163">
        <v>4837.639999999999</v>
      </c>
      <c r="G16" s="164"/>
      <c r="H16" s="163">
        <v>5079.521999999999</v>
      </c>
      <c r="I16" s="164"/>
      <c r="J16" s="163">
        <v>5321.4039999999995</v>
      </c>
      <c r="K16" s="164"/>
      <c r="L16" s="163">
        <v>5079.521999999999</v>
      </c>
      <c r="M16" s="164"/>
      <c r="N16" s="163">
        <v>5079.521999999999</v>
      </c>
      <c r="O16" s="164"/>
      <c r="P16" s="151"/>
      <c r="Q16" s="151"/>
      <c r="R16" s="151"/>
      <c r="S16" s="151"/>
      <c r="T16" s="151"/>
      <c r="U16" s="151"/>
      <c r="V16" s="151"/>
      <c r="W16" s="151"/>
      <c r="X16" s="151"/>
      <c r="Y16" s="151"/>
      <c r="Z16" s="151"/>
    </row>
    <row r="17" ht="12.75" customHeight="1">
      <c r="A17" s="151"/>
      <c r="B17" s="125" t="s">
        <v>85</v>
      </c>
      <c r="C17" s="126" t="s">
        <v>86</v>
      </c>
      <c r="D17" s="127" t="s">
        <v>76</v>
      </c>
      <c r="E17" s="151"/>
      <c r="F17" s="163">
        <v>6.216923999999999</v>
      </c>
      <c r="G17" s="164"/>
      <c r="H17" s="163">
        <v>6.145961999999999</v>
      </c>
      <c r="I17" s="164"/>
      <c r="J17" s="163">
        <v>6.075</v>
      </c>
      <c r="K17" s="164"/>
      <c r="L17" s="163">
        <v>6.145961999999999</v>
      </c>
      <c r="M17" s="164"/>
      <c r="N17" s="163">
        <v>6.145961999999999</v>
      </c>
      <c r="O17" s="164"/>
      <c r="P17" s="151"/>
      <c r="Q17" s="151"/>
      <c r="R17" s="151"/>
      <c r="S17" s="151"/>
      <c r="T17" s="151"/>
      <c r="U17" s="151"/>
      <c r="V17" s="151"/>
      <c r="W17" s="151"/>
      <c r="X17" s="151"/>
      <c r="Y17" s="151"/>
      <c r="Z17" s="151"/>
    </row>
    <row r="18" ht="12.75" customHeight="1">
      <c r="A18" s="151"/>
      <c r="B18" s="125" t="s">
        <v>87</v>
      </c>
      <c r="C18" s="126" t="s">
        <v>88</v>
      </c>
      <c r="D18" s="127" t="s">
        <v>76</v>
      </c>
      <c r="E18" s="151"/>
      <c r="F18" s="163">
        <v>11.866666666666664</v>
      </c>
      <c r="G18" s="164"/>
      <c r="H18" s="163">
        <v>11.933333333333332</v>
      </c>
      <c r="I18" s="164"/>
      <c r="J18" s="163">
        <v>12.0</v>
      </c>
      <c r="K18" s="164"/>
      <c r="L18" s="163">
        <v>11.933333333333332</v>
      </c>
      <c r="M18" s="164"/>
      <c r="N18" s="163">
        <v>11.933333333333332</v>
      </c>
      <c r="O18" s="164"/>
      <c r="P18" s="151"/>
      <c r="Q18" s="151"/>
      <c r="R18" s="151"/>
      <c r="S18" s="151"/>
      <c r="T18" s="151"/>
      <c r="U18" s="151"/>
      <c r="V18" s="151"/>
      <c r="W18" s="151"/>
      <c r="X18" s="151"/>
      <c r="Y18" s="151"/>
      <c r="Z18" s="151"/>
    </row>
    <row r="19" ht="12.75" customHeight="1">
      <c r="A19" s="151"/>
      <c r="B19" s="125" t="s">
        <v>89</v>
      </c>
      <c r="C19" s="126" t="s">
        <v>90</v>
      </c>
      <c r="D19" s="127" t="s">
        <v>76</v>
      </c>
      <c r="E19" s="151"/>
      <c r="F19" s="163">
        <v>89.3</v>
      </c>
      <c r="G19" s="164"/>
      <c r="H19" s="163">
        <v>89.3</v>
      </c>
      <c r="I19" s="164"/>
      <c r="J19" s="163">
        <v>89.3</v>
      </c>
      <c r="K19" s="164"/>
      <c r="L19" s="163">
        <v>89.3</v>
      </c>
      <c r="M19" s="164"/>
      <c r="N19" s="163">
        <v>89.3</v>
      </c>
      <c r="O19" s="164"/>
      <c r="P19" s="151"/>
      <c r="Q19" s="151"/>
      <c r="R19" s="151"/>
      <c r="S19" s="151"/>
      <c r="T19" s="151"/>
      <c r="U19" s="151"/>
      <c r="V19" s="151"/>
      <c r="W19" s="151"/>
      <c r="X19" s="151"/>
      <c r="Y19" s="151"/>
      <c r="Z19" s="151"/>
    </row>
    <row r="20" ht="12.75" customHeight="1">
      <c r="A20" s="151"/>
      <c r="B20" s="125" t="s">
        <v>91</v>
      </c>
      <c r="C20" s="126" t="s">
        <v>92</v>
      </c>
      <c r="D20" s="127" t="s">
        <v>76</v>
      </c>
      <c r="E20" s="151"/>
      <c r="F20" s="163">
        <v>54.0259</v>
      </c>
      <c r="G20" s="164"/>
      <c r="H20" s="163">
        <v>54.0259</v>
      </c>
      <c r="I20" s="164"/>
      <c r="J20" s="163">
        <v>54.0259</v>
      </c>
      <c r="K20" s="164"/>
      <c r="L20" s="163">
        <v>54.0259</v>
      </c>
      <c r="M20" s="164"/>
      <c r="N20" s="163">
        <v>54.0259</v>
      </c>
      <c r="O20" s="164"/>
      <c r="P20" s="151"/>
      <c r="Q20" s="151"/>
      <c r="R20" s="151"/>
      <c r="S20" s="151"/>
      <c r="T20" s="151"/>
      <c r="U20" s="151"/>
      <c r="V20" s="151"/>
      <c r="W20" s="151"/>
      <c r="X20" s="151"/>
      <c r="Y20" s="151"/>
      <c r="Z20" s="151"/>
    </row>
    <row r="21" ht="12.75" customHeight="1">
      <c r="A21" s="151"/>
      <c r="B21" s="125" t="s">
        <v>93</v>
      </c>
      <c r="C21" s="126" t="s">
        <v>94</v>
      </c>
      <c r="D21" s="127" t="s">
        <v>76</v>
      </c>
      <c r="E21" s="151"/>
      <c r="F21" s="163">
        <v>105.45</v>
      </c>
      <c r="G21" s="164"/>
      <c r="H21" s="163">
        <v>101.63</v>
      </c>
      <c r="I21" s="164"/>
      <c r="J21" s="163">
        <v>97.81</v>
      </c>
      <c r="K21" s="164"/>
      <c r="L21" s="163">
        <v>101.63</v>
      </c>
      <c r="M21" s="164"/>
      <c r="N21" s="163">
        <v>101.63</v>
      </c>
      <c r="O21" s="164"/>
      <c r="P21" s="151"/>
      <c r="Q21" s="151"/>
      <c r="R21" s="151"/>
      <c r="S21" s="151"/>
      <c r="T21" s="151"/>
      <c r="U21" s="151"/>
      <c r="V21" s="151"/>
      <c r="W21" s="151"/>
      <c r="X21" s="151"/>
      <c r="Y21" s="151"/>
      <c r="Z21" s="151"/>
    </row>
    <row r="22" ht="12.75" customHeight="1">
      <c r="A22" s="151"/>
      <c r="B22" s="125" t="s">
        <v>95</v>
      </c>
      <c r="C22" s="126" t="s">
        <v>96</v>
      </c>
      <c r="D22" s="127" t="s">
        <v>76</v>
      </c>
      <c r="E22" s="151"/>
      <c r="F22" s="163">
        <v>83.59</v>
      </c>
      <c r="G22" s="164"/>
      <c r="H22" s="163">
        <v>81.74001335091015</v>
      </c>
      <c r="I22" s="164"/>
      <c r="J22" s="163">
        <v>79.89002670182028</v>
      </c>
      <c r="K22" s="164"/>
      <c r="L22" s="163">
        <v>81.74001335091015</v>
      </c>
      <c r="M22" s="164"/>
      <c r="N22" s="163">
        <v>81.74001335091015</v>
      </c>
      <c r="O22" s="164"/>
      <c r="P22" s="151"/>
      <c r="Q22" s="151"/>
      <c r="R22" s="151"/>
      <c r="S22" s="151"/>
      <c r="T22" s="151"/>
      <c r="U22" s="151"/>
      <c r="V22" s="151"/>
      <c r="W22" s="151"/>
      <c r="X22" s="151"/>
      <c r="Y22" s="151"/>
      <c r="Z22" s="151"/>
    </row>
    <row r="23" ht="12.75" customHeight="1">
      <c r="A23" s="151"/>
      <c r="B23" s="125" t="s">
        <v>97</v>
      </c>
      <c r="C23" s="126" t="s">
        <v>98</v>
      </c>
      <c r="D23" s="127" t="s">
        <v>76</v>
      </c>
      <c r="E23" s="151"/>
      <c r="F23" s="163">
        <v>122.35</v>
      </c>
      <c r="G23" s="164"/>
      <c r="H23" s="163">
        <v>122.31493886</v>
      </c>
      <c r="I23" s="164"/>
      <c r="J23" s="163">
        <v>122.27987772</v>
      </c>
      <c r="K23" s="164"/>
      <c r="L23" s="163">
        <v>122.31493886</v>
      </c>
      <c r="M23" s="164"/>
      <c r="N23" s="163">
        <v>122.31493886</v>
      </c>
      <c r="O23" s="164"/>
      <c r="P23" s="151"/>
      <c r="Q23" s="151"/>
      <c r="R23" s="151"/>
      <c r="S23" s="151"/>
      <c r="T23" s="151"/>
      <c r="U23" s="151"/>
      <c r="V23" s="151"/>
      <c r="W23" s="151"/>
      <c r="X23" s="151"/>
      <c r="Y23" s="151"/>
      <c r="Z23" s="151"/>
    </row>
    <row r="24" ht="12.75" customHeight="1">
      <c r="A24" s="151"/>
      <c r="B24" s="125" t="s">
        <v>99</v>
      </c>
      <c r="C24" s="126" t="s">
        <v>100</v>
      </c>
      <c r="D24" s="127" t="s">
        <v>76</v>
      </c>
      <c r="E24" s="151"/>
      <c r="F24" s="163">
        <v>27.839374669952047</v>
      </c>
      <c r="G24" s="164"/>
      <c r="H24" s="163">
        <v>25.516763814685113</v>
      </c>
      <c r="I24" s="164"/>
      <c r="J24" s="163">
        <v>23.194152959418183</v>
      </c>
      <c r="K24" s="164"/>
      <c r="L24" s="163">
        <v>25.516763814685113</v>
      </c>
      <c r="M24" s="164"/>
      <c r="N24" s="163">
        <v>25.516763814685113</v>
      </c>
      <c r="O24" s="164"/>
      <c r="P24" s="151"/>
      <c r="Q24" s="151"/>
      <c r="R24" s="151"/>
      <c r="S24" s="151"/>
      <c r="T24" s="151"/>
      <c r="U24" s="151"/>
      <c r="V24" s="151"/>
      <c r="W24" s="151"/>
      <c r="X24" s="151"/>
      <c r="Y24" s="151"/>
      <c r="Z24" s="151"/>
    </row>
    <row r="25" ht="12.75" customHeight="1">
      <c r="A25" s="151"/>
      <c r="B25" s="125" t="s">
        <v>101</v>
      </c>
      <c r="C25" s="126" t="s">
        <v>102</v>
      </c>
      <c r="D25" s="127" t="s">
        <v>76</v>
      </c>
      <c r="E25" s="151"/>
      <c r="F25" s="163">
        <v>26.845084443771043</v>
      </c>
      <c r="G25" s="164"/>
      <c r="H25" s="163">
        <v>25.019618701594617</v>
      </c>
      <c r="I25" s="164"/>
      <c r="J25" s="163">
        <v>23.194152959418183</v>
      </c>
      <c r="K25" s="164"/>
      <c r="L25" s="163">
        <v>25.019618701594617</v>
      </c>
      <c r="M25" s="164"/>
      <c r="N25" s="163">
        <v>25.019618701594617</v>
      </c>
      <c r="O25" s="164"/>
      <c r="P25" s="151"/>
      <c r="Q25" s="151"/>
      <c r="R25" s="151"/>
      <c r="S25" s="151"/>
      <c r="T25" s="151"/>
      <c r="U25" s="151"/>
      <c r="V25" s="151"/>
      <c r="W25" s="151"/>
      <c r="X25" s="151"/>
      <c r="Y25" s="151"/>
      <c r="Z25" s="151"/>
    </row>
    <row r="26" ht="12.75" customHeight="1">
      <c r="A26" s="151"/>
      <c r="B26" s="125" t="s">
        <v>103</v>
      </c>
      <c r="C26" s="126" t="s">
        <v>104</v>
      </c>
      <c r="D26" s="127" t="s">
        <v>105</v>
      </c>
      <c r="E26" s="151"/>
      <c r="F26" s="163">
        <v>5.3</v>
      </c>
      <c r="G26" s="164"/>
      <c r="H26" s="163">
        <v>6.824999999999999</v>
      </c>
      <c r="I26" s="164"/>
      <c r="J26" s="163">
        <v>8.35</v>
      </c>
      <c r="K26" s="164"/>
      <c r="L26" s="163">
        <v>6.824999999999999</v>
      </c>
      <c r="M26" s="164"/>
      <c r="N26" s="163">
        <v>6.824999999999999</v>
      </c>
      <c r="O26" s="164"/>
      <c r="P26" s="151"/>
      <c r="Q26" s="151"/>
      <c r="R26" s="151"/>
      <c r="S26" s="151"/>
      <c r="T26" s="151"/>
      <c r="U26" s="151"/>
      <c r="V26" s="151"/>
      <c r="W26" s="151"/>
      <c r="X26" s="151"/>
      <c r="Y26" s="151"/>
      <c r="Z26" s="151"/>
    </row>
    <row r="27" ht="12.75" customHeight="1">
      <c r="A27" s="151"/>
      <c r="B27" s="113" t="s">
        <v>106</v>
      </c>
      <c r="C27" s="114" t="s">
        <v>107</v>
      </c>
      <c r="D27" s="115"/>
      <c r="E27" s="151"/>
      <c r="F27" s="161"/>
      <c r="G27" s="162"/>
      <c r="H27" s="161"/>
      <c r="I27" s="162"/>
      <c r="J27" s="161"/>
      <c r="K27" s="162"/>
      <c r="L27" s="161"/>
      <c r="M27" s="162"/>
      <c r="N27" s="161"/>
      <c r="O27" s="162"/>
      <c r="P27" s="151"/>
      <c r="Q27" s="151"/>
      <c r="R27" s="151"/>
      <c r="S27" s="151"/>
      <c r="T27" s="151"/>
      <c r="U27" s="151"/>
      <c r="V27" s="151"/>
      <c r="W27" s="151"/>
      <c r="X27" s="151"/>
      <c r="Y27" s="151"/>
      <c r="Z27" s="151"/>
    </row>
    <row r="28" ht="12.75" customHeight="1">
      <c r="A28" s="151"/>
      <c r="B28" s="125" t="s">
        <v>108</v>
      </c>
      <c r="C28" s="126" t="s">
        <v>109</v>
      </c>
      <c r="D28" s="127" t="s">
        <v>76</v>
      </c>
      <c r="E28" s="151"/>
      <c r="F28" s="163">
        <v>19.36280503097805</v>
      </c>
      <c r="G28" s="164"/>
      <c r="H28" s="163">
        <v>19.142902515489023</v>
      </c>
      <c r="I28" s="164"/>
      <c r="J28" s="163">
        <v>18.923000000000002</v>
      </c>
      <c r="K28" s="164"/>
      <c r="L28" s="163">
        <v>19.142902515489023</v>
      </c>
      <c r="M28" s="164"/>
      <c r="N28" s="163">
        <v>19.142902515489023</v>
      </c>
      <c r="O28" s="164"/>
      <c r="P28" s="151"/>
      <c r="Q28" s="151"/>
      <c r="R28" s="151"/>
      <c r="S28" s="151"/>
      <c r="T28" s="151"/>
      <c r="U28" s="151"/>
      <c r="V28" s="151"/>
      <c r="W28" s="151"/>
      <c r="X28" s="151"/>
      <c r="Y28" s="151"/>
      <c r="Z28" s="151"/>
    </row>
    <row r="29" ht="12.75" customHeight="1">
      <c r="A29" s="151"/>
      <c r="B29" s="125" t="s">
        <v>110</v>
      </c>
      <c r="C29" s="126" t="s">
        <v>111</v>
      </c>
      <c r="D29" s="127" t="s">
        <v>76</v>
      </c>
      <c r="E29" s="151"/>
      <c r="F29" s="163">
        <v>13.46681802419092</v>
      </c>
      <c r="G29" s="164"/>
      <c r="H29" s="163">
        <v>13.463813379384092</v>
      </c>
      <c r="I29" s="164"/>
      <c r="J29" s="163">
        <v>13.460808734577268</v>
      </c>
      <c r="K29" s="164"/>
      <c r="L29" s="163">
        <v>13.463813379384092</v>
      </c>
      <c r="M29" s="164"/>
      <c r="N29" s="163">
        <v>13.463813379384092</v>
      </c>
      <c r="O29" s="164"/>
      <c r="P29" s="151"/>
      <c r="Q29" s="151"/>
      <c r="R29" s="151"/>
      <c r="S29" s="151"/>
      <c r="T29" s="151"/>
      <c r="U29" s="151"/>
      <c r="V29" s="151"/>
      <c r="W29" s="151"/>
      <c r="X29" s="151"/>
      <c r="Y29" s="151"/>
      <c r="Z29" s="151"/>
    </row>
    <row r="30" ht="12.75" customHeight="1">
      <c r="A30" s="151"/>
      <c r="B30" s="125" t="s">
        <v>112</v>
      </c>
      <c r="C30" s="126" t="s">
        <v>113</v>
      </c>
      <c r="D30" s="127" t="s">
        <v>76</v>
      </c>
      <c r="E30" s="151"/>
      <c r="F30" s="163">
        <v>19.54</v>
      </c>
      <c r="G30" s="164"/>
      <c r="H30" s="163">
        <v>19.54</v>
      </c>
      <c r="I30" s="164"/>
      <c r="J30" s="163">
        <v>19.54</v>
      </c>
      <c r="K30" s="164"/>
      <c r="L30" s="163">
        <v>19.54</v>
      </c>
      <c r="M30" s="164"/>
      <c r="N30" s="163">
        <v>19.54</v>
      </c>
      <c r="O30" s="164"/>
      <c r="P30" s="151"/>
      <c r="Q30" s="151"/>
      <c r="R30" s="151"/>
      <c r="S30" s="151"/>
      <c r="T30" s="151"/>
      <c r="U30" s="151"/>
      <c r="V30" s="151"/>
      <c r="W30" s="151"/>
      <c r="X30" s="151"/>
      <c r="Y30" s="151"/>
      <c r="Z30" s="151"/>
    </row>
    <row r="31" ht="12.75" customHeight="1">
      <c r="A31" s="151"/>
      <c r="B31" s="125" t="s">
        <v>114</v>
      </c>
      <c r="C31" s="126" t="s">
        <v>115</v>
      </c>
      <c r="D31" s="127" t="s">
        <v>76</v>
      </c>
      <c r="E31" s="151"/>
      <c r="F31" s="163">
        <v>25.0</v>
      </c>
      <c r="G31" s="164"/>
      <c r="H31" s="163">
        <v>25.0</v>
      </c>
      <c r="I31" s="164"/>
      <c r="J31" s="163">
        <v>25.0</v>
      </c>
      <c r="K31" s="164"/>
      <c r="L31" s="163">
        <v>25.0</v>
      </c>
      <c r="M31" s="164"/>
      <c r="N31" s="163">
        <v>25.0</v>
      </c>
      <c r="O31" s="164"/>
      <c r="P31" s="151"/>
      <c r="Q31" s="151"/>
      <c r="R31" s="151"/>
      <c r="S31" s="151"/>
      <c r="T31" s="151"/>
      <c r="U31" s="151"/>
      <c r="V31" s="151"/>
      <c r="W31" s="151"/>
      <c r="X31" s="151"/>
      <c r="Y31" s="151"/>
      <c r="Z31" s="151"/>
    </row>
    <row r="32" ht="12.75" customHeight="1">
      <c r="A32" s="151"/>
      <c r="B32" s="125" t="s">
        <v>116</v>
      </c>
      <c r="C32" s="126" t="s">
        <v>117</v>
      </c>
      <c r="D32" s="127" t="s">
        <v>76</v>
      </c>
      <c r="E32" s="151"/>
      <c r="F32" s="163">
        <v>29.04341660657126</v>
      </c>
      <c r="G32" s="164"/>
      <c r="H32" s="163">
        <v>30.878960536106568</v>
      </c>
      <c r="I32" s="164"/>
      <c r="J32" s="163">
        <v>32.714504465641866</v>
      </c>
      <c r="K32" s="164"/>
      <c r="L32" s="163">
        <v>30.878960536106568</v>
      </c>
      <c r="M32" s="164"/>
      <c r="N32" s="163">
        <v>30.878960536106568</v>
      </c>
      <c r="O32" s="164"/>
      <c r="P32" s="151"/>
      <c r="Q32" s="151"/>
      <c r="R32" s="151"/>
      <c r="S32" s="151"/>
      <c r="T32" s="151"/>
      <c r="U32" s="151"/>
      <c r="V32" s="151"/>
      <c r="W32" s="151"/>
      <c r="X32" s="151"/>
      <c r="Y32" s="151"/>
      <c r="Z32" s="151"/>
    </row>
    <row r="33" ht="12.75" customHeight="1">
      <c r="A33" s="151"/>
      <c r="B33" s="125" t="s">
        <v>118</v>
      </c>
      <c r="C33" s="126" t="s">
        <v>119</v>
      </c>
      <c r="D33" s="127" t="s">
        <v>120</v>
      </c>
      <c r="E33" s="151"/>
      <c r="F33" s="163">
        <v>105.96899329081118</v>
      </c>
      <c r="G33" s="164"/>
      <c r="H33" s="163">
        <v>135.6424466454056</v>
      </c>
      <c r="I33" s="164"/>
      <c r="J33" s="163">
        <v>165.3159</v>
      </c>
      <c r="K33" s="164"/>
      <c r="L33" s="163">
        <v>135.6424466454056</v>
      </c>
      <c r="M33" s="164"/>
      <c r="N33" s="163">
        <v>135.6424466454056</v>
      </c>
      <c r="O33" s="164"/>
      <c r="P33" s="151"/>
      <c r="Q33" s="151"/>
      <c r="R33" s="151"/>
      <c r="S33" s="151"/>
      <c r="T33" s="151"/>
      <c r="U33" s="151"/>
      <c r="V33" s="151"/>
      <c r="W33" s="151"/>
      <c r="X33" s="151"/>
      <c r="Y33" s="151"/>
      <c r="Z33" s="151"/>
    </row>
    <row r="34" ht="12.75" customHeight="1">
      <c r="A34" s="151"/>
      <c r="B34" s="125" t="s">
        <v>121</v>
      </c>
      <c r="C34" s="126" t="s">
        <v>122</v>
      </c>
      <c r="D34" s="127" t="s">
        <v>76</v>
      </c>
      <c r="E34" s="151"/>
      <c r="F34" s="163">
        <v>17.036865942028985</v>
      </c>
      <c r="G34" s="164"/>
      <c r="H34" s="163">
        <v>17.922782971014495</v>
      </c>
      <c r="I34" s="164"/>
      <c r="J34" s="163">
        <v>18.8087</v>
      </c>
      <c r="K34" s="164"/>
      <c r="L34" s="163">
        <v>17.922782971014495</v>
      </c>
      <c r="M34" s="164"/>
      <c r="N34" s="163">
        <v>17.922782971014495</v>
      </c>
      <c r="O34" s="164"/>
      <c r="P34" s="151"/>
      <c r="Q34" s="151"/>
      <c r="R34" s="151"/>
      <c r="S34" s="151"/>
      <c r="T34" s="151"/>
      <c r="U34" s="151"/>
      <c r="V34" s="151"/>
      <c r="W34" s="151"/>
      <c r="X34" s="151"/>
      <c r="Y34" s="151"/>
      <c r="Z34" s="151"/>
    </row>
    <row r="35" ht="12.75" customHeight="1">
      <c r="A35" s="151"/>
      <c r="B35" s="125" t="s">
        <v>123</v>
      </c>
      <c r="C35" s="126" t="s">
        <v>124</v>
      </c>
      <c r="D35" s="127" t="s">
        <v>76</v>
      </c>
      <c r="E35" s="151"/>
      <c r="F35" s="163">
        <v>21.134134943181817</v>
      </c>
      <c r="G35" s="164"/>
      <c r="H35" s="163">
        <v>22.96575997159091</v>
      </c>
      <c r="I35" s="164"/>
      <c r="J35" s="163">
        <v>24.797385</v>
      </c>
      <c r="K35" s="164"/>
      <c r="L35" s="163">
        <v>22.96575997159091</v>
      </c>
      <c r="M35" s="164"/>
      <c r="N35" s="163">
        <v>22.96575997159091</v>
      </c>
      <c r="O35" s="164"/>
      <c r="P35" s="151"/>
      <c r="Q35" s="151"/>
      <c r="R35" s="151"/>
      <c r="S35" s="151"/>
      <c r="T35" s="151"/>
      <c r="U35" s="151"/>
      <c r="V35" s="151"/>
      <c r="W35" s="151"/>
      <c r="X35" s="151"/>
      <c r="Y35" s="151"/>
      <c r="Z35" s="151"/>
    </row>
    <row r="36" ht="12.75" customHeight="1">
      <c r="A36" s="151"/>
      <c r="B36" s="125" t="s">
        <v>125</v>
      </c>
      <c r="C36" s="126" t="s">
        <v>126</v>
      </c>
      <c r="D36" s="127" t="s">
        <v>76</v>
      </c>
      <c r="E36" s="151"/>
      <c r="F36" s="163">
        <v>103.75361470684145</v>
      </c>
      <c r="G36" s="164"/>
      <c r="H36" s="163">
        <v>105.52160735342072</v>
      </c>
      <c r="I36" s="164"/>
      <c r="J36" s="163">
        <v>107.28960000000001</v>
      </c>
      <c r="K36" s="164"/>
      <c r="L36" s="163">
        <v>105.52160735342072</v>
      </c>
      <c r="M36" s="164"/>
      <c r="N36" s="163">
        <v>105.52160735342072</v>
      </c>
      <c r="O36" s="164"/>
      <c r="P36" s="151"/>
      <c r="Q36" s="151"/>
      <c r="R36" s="151"/>
      <c r="S36" s="151"/>
      <c r="T36" s="151"/>
      <c r="U36" s="151"/>
      <c r="V36" s="151"/>
      <c r="W36" s="151"/>
      <c r="X36" s="151"/>
      <c r="Y36" s="151"/>
      <c r="Z36" s="151"/>
    </row>
    <row r="37" ht="12.75" customHeight="1">
      <c r="A37" s="151"/>
      <c r="B37" s="125" t="s">
        <v>127</v>
      </c>
      <c r="C37" s="126" t="s">
        <v>128</v>
      </c>
      <c r="D37" s="127" t="s">
        <v>76</v>
      </c>
      <c r="E37" s="151"/>
      <c r="F37" s="163">
        <v>17.456844090528083</v>
      </c>
      <c r="G37" s="164"/>
      <c r="H37" s="163">
        <v>21.073422045264046</v>
      </c>
      <c r="I37" s="164"/>
      <c r="J37" s="163">
        <v>24.69</v>
      </c>
      <c r="K37" s="164"/>
      <c r="L37" s="163">
        <v>21.073422045264046</v>
      </c>
      <c r="M37" s="164"/>
      <c r="N37" s="163">
        <v>21.073422045264046</v>
      </c>
      <c r="O37" s="164"/>
      <c r="P37" s="151"/>
      <c r="Q37" s="151"/>
      <c r="R37" s="151"/>
      <c r="S37" s="151"/>
      <c r="T37" s="151"/>
      <c r="U37" s="151"/>
      <c r="V37" s="151"/>
      <c r="W37" s="151"/>
      <c r="X37" s="151"/>
      <c r="Y37" s="151"/>
      <c r="Z37" s="151"/>
    </row>
    <row r="38" ht="12.75" customHeight="1">
      <c r="A38" s="151"/>
      <c r="B38" s="125" t="s">
        <v>129</v>
      </c>
      <c r="C38" s="126" t="s">
        <v>130</v>
      </c>
      <c r="D38" s="127" t="s">
        <v>76</v>
      </c>
      <c r="E38" s="151"/>
      <c r="F38" s="163">
        <v>13.415818181818183</v>
      </c>
      <c r="G38" s="164"/>
      <c r="H38" s="163">
        <v>15.140709090909091</v>
      </c>
      <c r="I38" s="164"/>
      <c r="J38" s="163">
        <v>16.8656</v>
      </c>
      <c r="K38" s="164"/>
      <c r="L38" s="163">
        <v>15.140709090909091</v>
      </c>
      <c r="M38" s="164"/>
      <c r="N38" s="163">
        <v>15.140709090909091</v>
      </c>
      <c r="O38" s="164"/>
      <c r="P38" s="151"/>
      <c r="Q38" s="151"/>
      <c r="R38" s="151"/>
      <c r="S38" s="151"/>
      <c r="T38" s="151"/>
      <c r="U38" s="151"/>
      <c r="V38" s="151"/>
      <c r="W38" s="151"/>
      <c r="X38" s="151"/>
      <c r="Y38" s="151"/>
      <c r="Z38" s="151"/>
    </row>
    <row r="39" ht="12.75" customHeight="1">
      <c r="A39" s="151"/>
      <c r="B39" s="125" t="s">
        <v>131</v>
      </c>
      <c r="C39" s="126" t="s">
        <v>132</v>
      </c>
      <c r="D39" s="127" t="s">
        <v>76</v>
      </c>
      <c r="E39" s="151"/>
      <c r="F39" s="163">
        <v>19.656590100000003</v>
      </c>
      <c r="G39" s="164"/>
      <c r="H39" s="163">
        <v>22.183865970000003</v>
      </c>
      <c r="I39" s="164"/>
      <c r="J39" s="163">
        <v>24.711141840000003</v>
      </c>
      <c r="K39" s="164"/>
      <c r="L39" s="163">
        <v>22.183865970000003</v>
      </c>
      <c r="M39" s="164"/>
      <c r="N39" s="163">
        <v>22.183865970000003</v>
      </c>
      <c r="O39" s="164"/>
      <c r="P39" s="151"/>
      <c r="Q39" s="151"/>
      <c r="R39" s="151"/>
      <c r="S39" s="151"/>
      <c r="T39" s="151"/>
      <c r="U39" s="151"/>
      <c r="V39" s="151"/>
      <c r="W39" s="151"/>
      <c r="X39" s="151"/>
      <c r="Y39" s="151"/>
      <c r="Z39" s="151"/>
    </row>
    <row r="40" ht="12.75" customHeight="1">
      <c r="A40" s="151"/>
      <c r="B40" s="125" t="s">
        <v>133</v>
      </c>
      <c r="C40" s="126" t="s">
        <v>134</v>
      </c>
      <c r="D40" s="127" t="s">
        <v>135</v>
      </c>
      <c r="E40" s="151"/>
      <c r="F40" s="163">
        <v>3.7337999999999996</v>
      </c>
      <c r="G40" s="164"/>
      <c r="H40" s="163">
        <v>3.7337999999999996</v>
      </c>
      <c r="I40" s="164"/>
      <c r="J40" s="163">
        <v>3.7338</v>
      </c>
      <c r="K40" s="164"/>
      <c r="L40" s="163">
        <v>3.7337999999999996</v>
      </c>
      <c r="M40" s="164"/>
      <c r="N40" s="163">
        <v>3.7337999999999996</v>
      </c>
      <c r="O40" s="164"/>
      <c r="P40" s="151"/>
      <c r="Q40" s="151"/>
      <c r="R40" s="151"/>
      <c r="S40" s="151"/>
      <c r="T40" s="151"/>
      <c r="U40" s="151"/>
      <c r="V40" s="151"/>
      <c r="W40" s="151"/>
      <c r="X40" s="151"/>
      <c r="Y40" s="151"/>
      <c r="Z40" s="151"/>
    </row>
    <row r="41" ht="12.75" customHeight="1">
      <c r="A41" s="151"/>
      <c r="B41" s="125" t="s">
        <v>136</v>
      </c>
      <c r="C41" s="126" t="s">
        <v>137</v>
      </c>
      <c r="D41" s="127" t="s">
        <v>76</v>
      </c>
      <c r="E41" s="151"/>
      <c r="F41" s="163">
        <v>4.4429547235724</v>
      </c>
      <c r="G41" s="164"/>
      <c r="H41" s="163">
        <v>4.441201141786199</v>
      </c>
      <c r="I41" s="164"/>
      <c r="J41" s="163">
        <v>4.43944756</v>
      </c>
      <c r="K41" s="164"/>
      <c r="L41" s="163">
        <v>4.441201141786199</v>
      </c>
      <c r="M41" s="164"/>
      <c r="N41" s="163">
        <v>4.441201141786199</v>
      </c>
      <c r="O41" s="164"/>
      <c r="P41" s="151"/>
      <c r="Q41" s="151"/>
      <c r="R41" s="151"/>
      <c r="S41" s="151"/>
      <c r="T41" s="151"/>
      <c r="U41" s="151"/>
      <c r="V41" s="151"/>
      <c r="W41" s="151"/>
      <c r="X41" s="151"/>
      <c r="Y41" s="151"/>
      <c r="Z41" s="151"/>
    </row>
    <row r="42" ht="12.75" customHeight="1">
      <c r="A42" s="151"/>
      <c r="B42" s="125" t="s">
        <v>138</v>
      </c>
      <c r="C42" s="126" t="s">
        <v>139</v>
      </c>
      <c r="D42" s="127" t="s">
        <v>76</v>
      </c>
      <c r="E42" s="151"/>
      <c r="F42" s="163">
        <v>18.885999999999996</v>
      </c>
      <c r="G42" s="164"/>
      <c r="H42" s="163">
        <v>18.67299077</v>
      </c>
      <c r="I42" s="164"/>
      <c r="J42" s="163">
        <v>18.45998154</v>
      </c>
      <c r="K42" s="164"/>
      <c r="L42" s="163">
        <v>18.67299077</v>
      </c>
      <c r="M42" s="164"/>
      <c r="N42" s="163">
        <v>18.67299077</v>
      </c>
      <c r="O42" s="164"/>
      <c r="P42" s="151"/>
      <c r="Q42" s="151"/>
      <c r="R42" s="151"/>
      <c r="S42" s="151"/>
      <c r="T42" s="151"/>
      <c r="U42" s="151"/>
      <c r="V42" s="151"/>
      <c r="W42" s="151"/>
      <c r="X42" s="151"/>
      <c r="Y42" s="151"/>
      <c r="Z42" s="151"/>
    </row>
    <row r="43" ht="12.75" customHeight="1">
      <c r="A43" s="151"/>
      <c r="B43" s="125" t="s">
        <v>140</v>
      </c>
      <c r="C43" s="126" t="s">
        <v>141</v>
      </c>
      <c r="D43" s="127" t="s">
        <v>142</v>
      </c>
      <c r="E43" s="151"/>
      <c r="F43" s="163">
        <v>29.308347323053198</v>
      </c>
      <c r="G43" s="164"/>
      <c r="H43" s="163">
        <v>28.9791736615266</v>
      </c>
      <c r="I43" s="164"/>
      <c r="J43" s="163">
        <v>28.65</v>
      </c>
      <c r="K43" s="164"/>
      <c r="L43" s="163">
        <v>28.9791736615266</v>
      </c>
      <c r="M43" s="164"/>
      <c r="N43" s="163">
        <v>28.9791736615266</v>
      </c>
      <c r="O43" s="164"/>
      <c r="P43" s="151"/>
      <c r="Q43" s="151"/>
      <c r="R43" s="151"/>
      <c r="S43" s="151"/>
      <c r="T43" s="151"/>
      <c r="U43" s="151"/>
      <c r="V43" s="151"/>
      <c r="W43" s="151"/>
      <c r="X43" s="151"/>
      <c r="Y43" s="151"/>
      <c r="Z43" s="151"/>
    </row>
    <row r="44" ht="12.75" customHeight="1">
      <c r="A44" s="151"/>
      <c r="B44" s="125" t="s">
        <v>143</v>
      </c>
      <c r="C44" s="126" t="s">
        <v>144</v>
      </c>
      <c r="D44" s="127" t="s">
        <v>76</v>
      </c>
      <c r="E44" s="151"/>
      <c r="F44" s="163">
        <v>16.299999999999997</v>
      </c>
      <c r="G44" s="164"/>
      <c r="H44" s="163">
        <v>16.13999201</v>
      </c>
      <c r="I44" s="164"/>
      <c r="J44" s="163">
        <v>15.97998402</v>
      </c>
      <c r="K44" s="164"/>
      <c r="L44" s="163">
        <v>16.13999201</v>
      </c>
      <c r="M44" s="164"/>
      <c r="N44" s="163">
        <v>16.13999201</v>
      </c>
      <c r="O44" s="164"/>
      <c r="P44" s="151"/>
      <c r="Q44" s="151"/>
      <c r="R44" s="151"/>
      <c r="S44" s="151"/>
      <c r="T44" s="151"/>
      <c r="U44" s="151"/>
      <c r="V44" s="151"/>
      <c r="W44" s="151"/>
      <c r="X44" s="151"/>
      <c r="Y44" s="151"/>
      <c r="Z44" s="151"/>
    </row>
    <row r="45" ht="12.75" customHeight="1">
      <c r="A45" s="151"/>
      <c r="B45" s="125" t="s">
        <v>145</v>
      </c>
      <c r="C45" s="126" t="s">
        <v>146</v>
      </c>
      <c r="D45" s="127" t="s">
        <v>76</v>
      </c>
      <c r="E45" s="151"/>
      <c r="F45" s="163">
        <v>19.250606796116507</v>
      </c>
      <c r="G45" s="164"/>
      <c r="H45" s="163">
        <v>19.250303398058254</v>
      </c>
      <c r="I45" s="164"/>
      <c r="J45" s="163">
        <v>19.25</v>
      </c>
      <c r="K45" s="164"/>
      <c r="L45" s="163">
        <v>19.250303398058254</v>
      </c>
      <c r="M45" s="164"/>
      <c r="N45" s="163">
        <v>19.250303398058254</v>
      </c>
      <c r="O45" s="164"/>
      <c r="P45" s="151"/>
      <c r="Q45" s="151"/>
      <c r="R45" s="151"/>
      <c r="S45" s="151"/>
      <c r="T45" s="151"/>
      <c r="U45" s="151"/>
      <c r="V45" s="151"/>
      <c r="W45" s="151"/>
      <c r="X45" s="151"/>
      <c r="Y45" s="151"/>
      <c r="Z45" s="151"/>
    </row>
    <row r="46" ht="12.75" customHeight="1">
      <c r="A46" s="151"/>
      <c r="B46" s="125" t="s">
        <v>147</v>
      </c>
      <c r="C46" s="126" t="s">
        <v>148</v>
      </c>
      <c r="D46" s="127" t="s">
        <v>64</v>
      </c>
      <c r="E46" s="151"/>
      <c r="F46" s="163">
        <v>1084.125</v>
      </c>
      <c r="G46" s="164"/>
      <c r="H46" s="163">
        <v>1085.025</v>
      </c>
      <c r="I46" s="164"/>
      <c r="J46" s="163">
        <v>1085.925</v>
      </c>
      <c r="K46" s="164"/>
      <c r="L46" s="163">
        <v>1085.025</v>
      </c>
      <c r="M46" s="164"/>
      <c r="N46" s="163">
        <v>1085.025</v>
      </c>
      <c r="O46" s="164"/>
      <c r="P46" s="151"/>
      <c r="Q46" s="151"/>
      <c r="R46" s="151"/>
      <c r="S46" s="151"/>
      <c r="T46" s="151"/>
      <c r="U46" s="151"/>
      <c r="V46" s="151"/>
      <c r="W46" s="151"/>
      <c r="X46" s="151"/>
      <c r="Y46" s="151"/>
      <c r="Z46" s="151"/>
    </row>
    <row r="47" ht="12.75" customHeight="1">
      <c r="A47" s="151"/>
      <c r="B47" s="125" t="s">
        <v>149</v>
      </c>
      <c r="C47" s="126" t="s">
        <v>150</v>
      </c>
      <c r="D47" s="127" t="s">
        <v>64</v>
      </c>
      <c r="E47" s="151"/>
      <c r="F47" s="163">
        <v>525.0</v>
      </c>
      <c r="G47" s="164"/>
      <c r="H47" s="163">
        <v>671.0875</v>
      </c>
      <c r="I47" s="164"/>
      <c r="J47" s="163">
        <v>817.175</v>
      </c>
      <c r="K47" s="164"/>
      <c r="L47" s="163">
        <v>671.0875</v>
      </c>
      <c r="M47" s="164"/>
      <c r="N47" s="163">
        <v>671.0875</v>
      </c>
      <c r="O47" s="164"/>
      <c r="P47" s="151"/>
      <c r="Q47" s="151"/>
      <c r="R47" s="151"/>
      <c r="S47" s="151"/>
      <c r="T47" s="151"/>
      <c r="U47" s="151"/>
      <c r="V47" s="151"/>
      <c r="W47" s="151"/>
      <c r="X47" s="151"/>
      <c r="Y47" s="151"/>
      <c r="Z47" s="151"/>
    </row>
    <row r="48" ht="12.75" customHeight="1">
      <c r="A48" s="151"/>
      <c r="B48" s="113" t="s">
        <v>151</v>
      </c>
      <c r="C48" s="114" t="s">
        <v>152</v>
      </c>
      <c r="D48" s="115"/>
      <c r="E48" s="151"/>
      <c r="F48" s="161"/>
      <c r="G48" s="162"/>
      <c r="H48" s="161"/>
      <c r="I48" s="162"/>
      <c r="J48" s="161"/>
      <c r="K48" s="162"/>
      <c r="L48" s="161"/>
      <c r="M48" s="162"/>
      <c r="N48" s="161"/>
      <c r="O48" s="162"/>
      <c r="P48" s="151"/>
      <c r="Q48" s="151"/>
      <c r="R48" s="151"/>
      <c r="S48" s="151"/>
      <c r="T48" s="151"/>
      <c r="U48" s="151"/>
      <c r="V48" s="151"/>
      <c r="W48" s="151"/>
      <c r="X48" s="151"/>
      <c r="Y48" s="151"/>
      <c r="Z48" s="151"/>
    </row>
    <row r="49" ht="12.75" customHeight="1">
      <c r="A49" s="151"/>
      <c r="B49" s="125" t="s">
        <v>153</v>
      </c>
      <c r="C49" s="126" t="s">
        <v>154</v>
      </c>
      <c r="D49" s="127" t="s">
        <v>120</v>
      </c>
      <c r="E49" s="151"/>
      <c r="F49" s="163">
        <v>56.14814814814814</v>
      </c>
      <c r="G49" s="164"/>
      <c r="H49" s="163">
        <v>58.39407407407407</v>
      </c>
      <c r="I49" s="164"/>
      <c r="J49" s="163">
        <v>60.64</v>
      </c>
      <c r="K49" s="164"/>
      <c r="L49" s="163">
        <v>58.39407407407407</v>
      </c>
      <c r="M49" s="164"/>
      <c r="N49" s="163">
        <v>58.39407407407407</v>
      </c>
      <c r="O49" s="164"/>
      <c r="P49" s="151"/>
      <c r="Q49" s="151"/>
      <c r="R49" s="151"/>
      <c r="S49" s="151"/>
      <c r="T49" s="151"/>
      <c r="U49" s="151"/>
      <c r="V49" s="151"/>
      <c r="W49" s="151"/>
      <c r="X49" s="151"/>
      <c r="Y49" s="151"/>
      <c r="Z49" s="151"/>
    </row>
    <row r="50" ht="12.75" customHeight="1">
      <c r="A50" s="151"/>
      <c r="B50" s="125" t="s">
        <v>155</v>
      </c>
      <c r="C50" s="126" t="s">
        <v>156</v>
      </c>
      <c r="D50" s="127" t="s">
        <v>120</v>
      </c>
      <c r="E50" s="151"/>
      <c r="F50" s="163">
        <v>39.325705323307155</v>
      </c>
      <c r="G50" s="164"/>
      <c r="H50" s="163">
        <v>40.89873353623945</v>
      </c>
      <c r="I50" s="164"/>
      <c r="J50" s="163">
        <v>42.47176174917173</v>
      </c>
      <c r="K50" s="164"/>
      <c r="L50" s="163">
        <v>40.89873353623945</v>
      </c>
      <c r="M50" s="164"/>
      <c r="N50" s="163">
        <v>40.89873353623945</v>
      </c>
      <c r="O50" s="164"/>
      <c r="P50" s="151"/>
      <c r="Q50" s="151"/>
      <c r="R50" s="151"/>
      <c r="S50" s="151"/>
      <c r="T50" s="151"/>
      <c r="U50" s="151"/>
      <c r="V50" s="151"/>
      <c r="W50" s="151"/>
      <c r="X50" s="151"/>
      <c r="Y50" s="151"/>
      <c r="Z50" s="151"/>
    </row>
    <row r="51" ht="12.75" customHeight="1">
      <c r="A51" s="151"/>
      <c r="B51" s="125" t="s">
        <v>157</v>
      </c>
      <c r="C51" s="126" t="s">
        <v>158</v>
      </c>
      <c r="D51" s="127" t="s">
        <v>120</v>
      </c>
      <c r="E51" s="151"/>
      <c r="F51" s="163">
        <v>20.451964109979794</v>
      </c>
      <c r="G51" s="164"/>
      <c r="H51" s="163">
        <v>21.27004267437899</v>
      </c>
      <c r="I51" s="164"/>
      <c r="J51" s="163">
        <v>22.088121238778182</v>
      </c>
      <c r="K51" s="164"/>
      <c r="L51" s="163">
        <v>21.27004267437899</v>
      </c>
      <c r="M51" s="164"/>
      <c r="N51" s="163">
        <v>21.27004267437899</v>
      </c>
      <c r="O51" s="164"/>
      <c r="P51" s="151"/>
      <c r="Q51" s="151"/>
      <c r="R51" s="151"/>
      <c r="S51" s="151"/>
      <c r="T51" s="151"/>
      <c r="U51" s="151"/>
      <c r="V51" s="151"/>
      <c r="W51" s="151"/>
      <c r="X51" s="151"/>
      <c r="Y51" s="151"/>
      <c r="Z51" s="151"/>
    </row>
    <row r="52" ht="12.75" customHeight="1">
      <c r="A52" s="151"/>
      <c r="B52" s="125" t="s">
        <v>159</v>
      </c>
      <c r="C52" s="126" t="s">
        <v>160</v>
      </c>
      <c r="D52" s="127" t="s">
        <v>76</v>
      </c>
      <c r="E52" s="151"/>
      <c r="F52" s="163">
        <v>4.074583333333333</v>
      </c>
      <c r="G52" s="164"/>
      <c r="H52" s="163">
        <v>4.237566666666666</v>
      </c>
      <c r="I52" s="164"/>
      <c r="J52" s="163">
        <v>4.40055</v>
      </c>
      <c r="K52" s="164"/>
      <c r="L52" s="163">
        <v>4.237566666666666</v>
      </c>
      <c r="M52" s="164"/>
      <c r="N52" s="163">
        <v>4.237566666666666</v>
      </c>
      <c r="O52" s="164"/>
      <c r="P52" s="151"/>
      <c r="Q52" s="151"/>
      <c r="R52" s="151"/>
      <c r="S52" s="151"/>
      <c r="T52" s="151"/>
      <c r="U52" s="151"/>
      <c r="V52" s="151"/>
      <c r="W52" s="151"/>
      <c r="X52" s="151"/>
      <c r="Y52" s="151"/>
      <c r="Z52" s="151"/>
    </row>
    <row r="53" ht="12.75" customHeight="1">
      <c r="A53" s="151"/>
      <c r="B53" s="125" t="s">
        <v>161</v>
      </c>
      <c r="C53" s="126" t="s">
        <v>162</v>
      </c>
      <c r="D53" s="127" t="s">
        <v>76</v>
      </c>
      <c r="E53" s="151"/>
      <c r="F53" s="163">
        <v>15.6328</v>
      </c>
      <c r="G53" s="164"/>
      <c r="H53" s="163">
        <v>16.41444</v>
      </c>
      <c r="I53" s="164"/>
      <c r="J53" s="163">
        <v>17.196080000000002</v>
      </c>
      <c r="K53" s="164"/>
      <c r="L53" s="163">
        <v>16.41444</v>
      </c>
      <c r="M53" s="164"/>
      <c r="N53" s="163">
        <v>16.41444</v>
      </c>
      <c r="O53" s="164"/>
      <c r="P53" s="151"/>
      <c r="Q53" s="151"/>
      <c r="R53" s="151"/>
      <c r="S53" s="151"/>
      <c r="T53" s="151"/>
      <c r="U53" s="151"/>
      <c r="V53" s="151"/>
      <c r="W53" s="151"/>
      <c r="X53" s="151"/>
      <c r="Y53" s="151"/>
      <c r="Z53" s="151"/>
    </row>
    <row r="54" ht="12.75" customHeight="1">
      <c r="A54" s="151"/>
      <c r="B54" s="113" t="s">
        <v>163</v>
      </c>
      <c r="C54" s="114" t="s">
        <v>164</v>
      </c>
      <c r="D54" s="115"/>
      <c r="E54" s="151"/>
      <c r="F54" s="161"/>
      <c r="G54" s="162"/>
      <c r="H54" s="161"/>
      <c r="I54" s="162"/>
      <c r="J54" s="161"/>
      <c r="K54" s="162"/>
      <c r="L54" s="161"/>
      <c r="M54" s="162"/>
      <c r="N54" s="161"/>
      <c r="O54" s="162"/>
      <c r="P54" s="151"/>
      <c r="Q54" s="151"/>
      <c r="R54" s="151"/>
      <c r="S54" s="151"/>
      <c r="T54" s="151"/>
      <c r="U54" s="151"/>
      <c r="V54" s="151"/>
      <c r="W54" s="151"/>
      <c r="X54" s="151"/>
      <c r="Y54" s="151"/>
      <c r="Z54" s="151"/>
    </row>
    <row r="55" ht="12.75" customHeight="1">
      <c r="A55" s="151"/>
      <c r="B55" s="125" t="s">
        <v>165</v>
      </c>
      <c r="C55" s="126" t="s">
        <v>166</v>
      </c>
      <c r="D55" s="127" t="s">
        <v>167</v>
      </c>
      <c r="E55" s="151"/>
      <c r="F55" s="163">
        <v>1337.6879887643704</v>
      </c>
      <c r="G55" s="164"/>
      <c r="H55" s="163">
        <v>1304.2439943821853</v>
      </c>
      <c r="I55" s="164"/>
      <c r="J55" s="163">
        <v>1270.8000000000002</v>
      </c>
      <c r="K55" s="164"/>
      <c r="L55" s="163">
        <v>1304.2439943821853</v>
      </c>
      <c r="M55" s="164"/>
      <c r="N55" s="163">
        <v>1304.2439943821853</v>
      </c>
      <c r="O55" s="164"/>
      <c r="P55" s="151"/>
      <c r="Q55" s="151"/>
      <c r="R55" s="151"/>
      <c r="S55" s="151"/>
      <c r="T55" s="151"/>
      <c r="U55" s="151"/>
      <c r="V55" s="151"/>
      <c r="W55" s="151"/>
      <c r="X55" s="151"/>
      <c r="Y55" s="151"/>
      <c r="Z55" s="151"/>
    </row>
    <row r="56" ht="12.75" customHeight="1">
      <c r="A56" s="151"/>
      <c r="B56" s="125" t="s">
        <v>168</v>
      </c>
      <c r="C56" s="126" t="s">
        <v>169</v>
      </c>
      <c r="D56" s="127" t="s">
        <v>167</v>
      </c>
      <c r="E56" s="151"/>
      <c r="F56" s="163">
        <v>1046.3088461538462</v>
      </c>
      <c r="G56" s="164"/>
      <c r="H56" s="163">
        <v>1278.8219230769232</v>
      </c>
      <c r="I56" s="164"/>
      <c r="J56" s="163">
        <v>1511.335</v>
      </c>
      <c r="K56" s="164"/>
      <c r="L56" s="163">
        <v>1278.8219230769232</v>
      </c>
      <c r="M56" s="164"/>
      <c r="N56" s="163">
        <v>1278.8219230769232</v>
      </c>
      <c r="O56" s="164"/>
      <c r="P56" s="151"/>
      <c r="Q56" s="151"/>
      <c r="R56" s="151"/>
      <c r="S56" s="151"/>
      <c r="T56" s="151"/>
      <c r="U56" s="151"/>
      <c r="V56" s="151"/>
      <c r="W56" s="151"/>
      <c r="X56" s="151"/>
      <c r="Y56" s="151"/>
      <c r="Z56" s="151"/>
    </row>
    <row r="57" ht="12.75" customHeight="1">
      <c r="A57" s="151"/>
      <c r="B57" s="125" t="s">
        <v>170</v>
      </c>
      <c r="C57" s="126" t="s">
        <v>171</v>
      </c>
      <c r="D57" s="127" t="s">
        <v>167</v>
      </c>
      <c r="E57" s="151"/>
      <c r="F57" s="163">
        <v>574.846704</v>
      </c>
      <c r="G57" s="164"/>
      <c r="H57" s="163">
        <v>766.4622720000001</v>
      </c>
      <c r="I57" s="164"/>
      <c r="J57" s="163">
        <v>958.07784</v>
      </c>
      <c r="K57" s="164"/>
      <c r="L57" s="163">
        <v>766.4622720000001</v>
      </c>
      <c r="M57" s="164"/>
      <c r="N57" s="163">
        <v>766.4622720000001</v>
      </c>
      <c r="O57" s="164"/>
      <c r="P57" s="151"/>
      <c r="Q57" s="151"/>
      <c r="R57" s="151"/>
      <c r="S57" s="151"/>
      <c r="T57" s="151"/>
      <c r="U57" s="151"/>
      <c r="V57" s="151"/>
      <c r="W57" s="151"/>
      <c r="X57" s="151"/>
      <c r="Y57" s="151"/>
      <c r="Z57" s="151"/>
    </row>
    <row r="58" ht="12.75" customHeight="1">
      <c r="A58" s="151"/>
      <c r="B58" s="125" t="s">
        <v>172</v>
      </c>
      <c r="C58" s="126" t="s">
        <v>173</v>
      </c>
      <c r="D58" s="127" t="s">
        <v>142</v>
      </c>
      <c r="E58" s="151"/>
      <c r="F58" s="163">
        <v>336.4348</v>
      </c>
      <c r="G58" s="164"/>
      <c r="H58" s="163">
        <v>349.892192</v>
      </c>
      <c r="I58" s="164"/>
      <c r="J58" s="163">
        <v>363.349584</v>
      </c>
      <c r="K58" s="164"/>
      <c r="L58" s="163">
        <v>349.892192</v>
      </c>
      <c r="M58" s="164"/>
      <c r="N58" s="163">
        <v>349.892192</v>
      </c>
      <c r="O58" s="164"/>
      <c r="P58" s="151"/>
      <c r="Q58" s="151"/>
      <c r="R58" s="151"/>
      <c r="S58" s="151"/>
      <c r="T58" s="151"/>
      <c r="U58" s="151"/>
      <c r="V58" s="151"/>
      <c r="W58" s="151"/>
      <c r="X58" s="151"/>
      <c r="Y58" s="151"/>
      <c r="Z58" s="151"/>
    </row>
    <row r="59" ht="12.75" customHeight="1">
      <c r="A59" s="151"/>
      <c r="B59" s="113" t="s">
        <v>174</v>
      </c>
      <c r="C59" s="114" t="s">
        <v>175</v>
      </c>
      <c r="D59" s="115"/>
      <c r="E59" s="151"/>
      <c r="F59" s="161"/>
      <c r="G59" s="162"/>
      <c r="H59" s="161"/>
      <c r="I59" s="162"/>
      <c r="J59" s="161"/>
      <c r="K59" s="162"/>
      <c r="L59" s="161"/>
      <c r="M59" s="162"/>
      <c r="N59" s="161"/>
      <c r="O59" s="162"/>
      <c r="P59" s="151"/>
      <c r="Q59" s="151"/>
      <c r="R59" s="151"/>
      <c r="S59" s="151"/>
      <c r="T59" s="151"/>
      <c r="U59" s="151"/>
      <c r="V59" s="151"/>
      <c r="W59" s="151"/>
      <c r="X59" s="151"/>
      <c r="Y59" s="151"/>
      <c r="Z59" s="151"/>
    </row>
    <row r="60" ht="12.75" customHeight="1">
      <c r="A60" s="151"/>
      <c r="B60" s="125" t="s">
        <v>176</v>
      </c>
      <c r="C60" s="126" t="s">
        <v>177</v>
      </c>
      <c r="D60" s="127" t="s">
        <v>142</v>
      </c>
      <c r="E60" s="151"/>
      <c r="F60" s="163">
        <v>35.09205445904713</v>
      </c>
      <c r="G60" s="164"/>
      <c r="H60" s="163">
        <v>34.38570780982615</v>
      </c>
      <c r="I60" s="164"/>
      <c r="J60" s="163">
        <v>33.67936116060517</v>
      </c>
      <c r="K60" s="164"/>
      <c r="L60" s="163">
        <v>34.38570780982615</v>
      </c>
      <c r="M60" s="164"/>
      <c r="N60" s="163">
        <v>34.38570780982615</v>
      </c>
      <c r="O60" s="164"/>
      <c r="P60" s="151"/>
      <c r="Q60" s="151"/>
      <c r="R60" s="151"/>
      <c r="S60" s="151"/>
      <c r="T60" s="151"/>
      <c r="U60" s="151"/>
      <c r="V60" s="151"/>
      <c r="W60" s="151"/>
      <c r="X60" s="151"/>
      <c r="Y60" s="151"/>
      <c r="Z60" s="151"/>
    </row>
    <row r="61" ht="12.75" customHeight="1">
      <c r="A61" s="151"/>
      <c r="B61" s="125" t="s">
        <v>178</v>
      </c>
      <c r="C61" s="126" t="s">
        <v>179</v>
      </c>
      <c r="D61" s="127" t="s">
        <v>180</v>
      </c>
      <c r="E61" s="151"/>
      <c r="F61" s="163">
        <v>78.82507882507882</v>
      </c>
      <c r="G61" s="164"/>
      <c r="H61" s="163">
        <v>70.9425394125394</v>
      </c>
      <c r="I61" s="164"/>
      <c r="J61" s="163">
        <v>63.06</v>
      </c>
      <c r="K61" s="164"/>
      <c r="L61" s="163">
        <v>70.9425394125394</v>
      </c>
      <c r="M61" s="164"/>
      <c r="N61" s="163">
        <v>70.9425394125394</v>
      </c>
      <c r="O61" s="164"/>
      <c r="P61" s="151"/>
      <c r="Q61" s="151"/>
      <c r="R61" s="151"/>
      <c r="S61" s="151"/>
      <c r="T61" s="151"/>
      <c r="U61" s="151"/>
      <c r="V61" s="151"/>
      <c r="W61" s="151"/>
      <c r="X61" s="151"/>
      <c r="Y61" s="151"/>
      <c r="Z61" s="151"/>
    </row>
    <row r="62" ht="12.75" customHeight="1">
      <c r="A62" s="151"/>
      <c r="B62" s="125" t="s">
        <v>181</v>
      </c>
      <c r="C62" s="126" t="s">
        <v>182</v>
      </c>
      <c r="D62" s="127" t="s">
        <v>180</v>
      </c>
      <c r="E62" s="151"/>
      <c r="F62" s="163">
        <v>94.55134937269635</v>
      </c>
      <c r="G62" s="164"/>
      <c r="H62" s="163">
        <v>92.66027700059472</v>
      </c>
      <c r="I62" s="164"/>
      <c r="J62" s="163">
        <v>90.76920462849309</v>
      </c>
      <c r="K62" s="164"/>
      <c r="L62" s="163">
        <v>92.66027700059472</v>
      </c>
      <c r="M62" s="164"/>
      <c r="N62" s="163">
        <v>92.66027700059472</v>
      </c>
      <c r="O62" s="164"/>
      <c r="P62" s="151"/>
      <c r="Q62" s="151"/>
      <c r="R62" s="151"/>
      <c r="S62" s="151"/>
      <c r="T62" s="151"/>
      <c r="U62" s="151"/>
      <c r="V62" s="151"/>
      <c r="W62" s="151"/>
      <c r="X62" s="151"/>
      <c r="Y62" s="151"/>
      <c r="Z62" s="151"/>
    </row>
    <row r="63" ht="12.75" customHeight="1">
      <c r="A63" s="151"/>
      <c r="B63" s="125" t="s">
        <v>183</v>
      </c>
      <c r="C63" s="126" t="s">
        <v>184</v>
      </c>
      <c r="D63" s="127" t="s">
        <v>180</v>
      </c>
      <c r="E63" s="151"/>
      <c r="F63" s="163">
        <v>365.427</v>
      </c>
      <c r="G63" s="164"/>
      <c r="H63" s="163">
        <v>365.4285</v>
      </c>
      <c r="I63" s="164"/>
      <c r="J63" s="163">
        <v>365.43</v>
      </c>
      <c r="K63" s="164"/>
      <c r="L63" s="163">
        <v>365.4285</v>
      </c>
      <c r="M63" s="164"/>
      <c r="N63" s="163">
        <v>365.4285</v>
      </c>
      <c r="O63" s="164"/>
      <c r="P63" s="151"/>
      <c r="Q63" s="151"/>
      <c r="R63" s="151"/>
      <c r="S63" s="151"/>
      <c r="T63" s="151"/>
      <c r="U63" s="151"/>
      <c r="V63" s="151"/>
      <c r="W63" s="151"/>
      <c r="X63" s="151"/>
      <c r="Y63" s="151"/>
      <c r="Z63" s="151"/>
    </row>
    <row r="64" ht="12.75" customHeight="1">
      <c r="A64" s="151"/>
      <c r="B64" s="125" t="s">
        <v>185</v>
      </c>
      <c r="C64" s="126" t="s">
        <v>186</v>
      </c>
      <c r="D64" s="127" t="s">
        <v>180</v>
      </c>
      <c r="E64" s="151"/>
      <c r="F64" s="163">
        <v>488.60400000000004</v>
      </c>
      <c r="G64" s="164"/>
      <c r="H64" s="163">
        <v>468.60200000000003</v>
      </c>
      <c r="I64" s="164"/>
      <c r="J64" s="163">
        <v>448.6</v>
      </c>
      <c r="K64" s="164"/>
      <c r="L64" s="163">
        <v>468.60200000000003</v>
      </c>
      <c r="M64" s="164"/>
      <c r="N64" s="163">
        <v>468.60200000000003</v>
      </c>
      <c r="O64" s="164"/>
      <c r="P64" s="151"/>
      <c r="Q64" s="151"/>
      <c r="R64" s="151"/>
      <c r="S64" s="151"/>
      <c r="T64" s="151"/>
      <c r="U64" s="151"/>
      <c r="V64" s="151"/>
      <c r="W64" s="151"/>
      <c r="X64" s="151"/>
      <c r="Y64" s="151"/>
      <c r="Z64" s="151"/>
    </row>
    <row r="65" ht="12.75" customHeight="1">
      <c r="A65" s="151"/>
      <c r="B65" s="125" t="s">
        <v>187</v>
      </c>
      <c r="C65" s="126" t="s">
        <v>188</v>
      </c>
      <c r="D65" s="127" t="s">
        <v>180</v>
      </c>
      <c r="E65" s="151"/>
      <c r="F65" s="163">
        <v>114.285</v>
      </c>
      <c r="G65" s="164"/>
      <c r="H65" s="163">
        <v>102.857454285</v>
      </c>
      <c r="I65" s="164"/>
      <c r="J65" s="163">
        <v>91.42990857000001</v>
      </c>
      <c r="K65" s="164"/>
      <c r="L65" s="163">
        <v>102.857454285</v>
      </c>
      <c r="M65" s="164"/>
      <c r="N65" s="163">
        <v>102.857454285</v>
      </c>
      <c r="O65" s="164"/>
      <c r="P65" s="151"/>
      <c r="Q65" s="151"/>
      <c r="R65" s="151"/>
      <c r="S65" s="151"/>
      <c r="T65" s="151"/>
      <c r="U65" s="151"/>
      <c r="V65" s="151"/>
      <c r="W65" s="151"/>
      <c r="X65" s="151"/>
      <c r="Y65" s="151"/>
      <c r="Z65" s="151"/>
    </row>
    <row r="66" ht="12.75" customHeight="1">
      <c r="A66" s="151"/>
      <c r="B66" s="125" t="s">
        <v>189</v>
      </c>
      <c r="C66" s="126" t="s">
        <v>190</v>
      </c>
      <c r="D66" s="127" t="s">
        <v>180</v>
      </c>
      <c r="E66" s="151"/>
      <c r="F66" s="163">
        <v>141.5025</v>
      </c>
      <c r="G66" s="164"/>
      <c r="H66" s="163">
        <v>138.67118208</v>
      </c>
      <c r="I66" s="164"/>
      <c r="J66" s="163">
        <v>135.83986416</v>
      </c>
      <c r="K66" s="164"/>
      <c r="L66" s="163">
        <v>138.67118208</v>
      </c>
      <c r="M66" s="164"/>
      <c r="N66" s="163">
        <v>138.67118208</v>
      </c>
      <c r="O66" s="164"/>
      <c r="P66" s="151"/>
      <c r="Q66" s="151"/>
      <c r="R66" s="151"/>
      <c r="S66" s="151"/>
      <c r="T66" s="151"/>
      <c r="U66" s="151"/>
      <c r="V66" s="151"/>
      <c r="W66" s="151"/>
      <c r="X66" s="151"/>
      <c r="Y66" s="151"/>
      <c r="Z66" s="151"/>
    </row>
    <row r="67" ht="12.75" customHeight="1">
      <c r="A67" s="151"/>
      <c r="B67" s="113" t="s">
        <v>191</v>
      </c>
      <c r="C67" s="114" t="s">
        <v>192</v>
      </c>
      <c r="D67" s="115"/>
      <c r="E67" s="151"/>
      <c r="F67" s="161"/>
      <c r="G67" s="162"/>
      <c r="H67" s="161"/>
      <c r="I67" s="162"/>
      <c r="J67" s="161"/>
      <c r="K67" s="162"/>
      <c r="L67" s="161"/>
      <c r="M67" s="162"/>
      <c r="N67" s="161"/>
      <c r="O67" s="162"/>
      <c r="P67" s="151"/>
      <c r="Q67" s="151"/>
      <c r="R67" s="151"/>
      <c r="S67" s="151"/>
      <c r="T67" s="151"/>
      <c r="U67" s="151"/>
      <c r="V67" s="151"/>
      <c r="W67" s="151"/>
      <c r="X67" s="151"/>
      <c r="Y67" s="151"/>
      <c r="Z67" s="151"/>
    </row>
    <row r="68" ht="12.75" customHeight="1">
      <c r="A68" s="151"/>
      <c r="B68" s="125" t="s">
        <v>193</v>
      </c>
      <c r="C68" s="126" t="s">
        <v>194</v>
      </c>
      <c r="D68" s="127" t="s">
        <v>120</v>
      </c>
      <c r="E68" s="151"/>
      <c r="F68" s="163">
        <v>420.5</v>
      </c>
      <c r="G68" s="164"/>
      <c r="H68" s="163">
        <v>378.44983179999997</v>
      </c>
      <c r="I68" s="164"/>
      <c r="J68" s="163">
        <v>336.3996636</v>
      </c>
      <c r="K68" s="164"/>
      <c r="L68" s="163">
        <v>378.44983179999997</v>
      </c>
      <c r="M68" s="164"/>
      <c r="N68" s="163">
        <v>378.44983179999997</v>
      </c>
      <c r="O68" s="164"/>
      <c r="P68" s="151"/>
      <c r="Q68" s="151"/>
      <c r="R68" s="151"/>
      <c r="S68" s="151"/>
      <c r="T68" s="151"/>
      <c r="U68" s="151"/>
      <c r="V68" s="151"/>
      <c r="W68" s="151"/>
      <c r="X68" s="151"/>
      <c r="Y68" s="151"/>
      <c r="Z68" s="151"/>
    </row>
    <row r="69" ht="12.75" customHeight="1">
      <c r="A69" s="151"/>
      <c r="B69" s="125" t="s">
        <v>195</v>
      </c>
      <c r="C69" s="126" t="s">
        <v>196</v>
      </c>
      <c r="D69" s="127" t="s">
        <v>120</v>
      </c>
      <c r="E69" s="151"/>
      <c r="F69" s="163">
        <v>44.91407958760899</v>
      </c>
      <c r="G69" s="164"/>
      <c r="H69" s="163">
        <v>44.734539793804494</v>
      </c>
      <c r="I69" s="164"/>
      <c r="J69" s="163">
        <v>44.555</v>
      </c>
      <c r="K69" s="164"/>
      <c r="L69" s="163">
        <v>44.734539793804494</v>
      </c>
      <c r="M69" s="164"/>
      <c r="N69" s="163">
        <v>44.734539793804494</v>
      </c>
      <c r="O69" s="164"/>
      <c r="P69" s="151"/>
      <c r="Q69" s="151"/>
      <c r="R69" s="151"/>
      <c r="S69" s="151"/>
      <c r="T69" s="151"/>
      <c r="U69" s="151"/>
      <c r="V69" s="151"/>
      <c r="W69" s="151"/>
      <c r="X69" s="151"/>
      <c r="Y69" s="151"/>
      <c r="Z69" s="151"/>
    </row>
    <row r="70" ht="12.75" customHeight="1">
      <c r="A70" s="151"/>
      <c r="B70" s="125" t="s">
        <v>197</v>
      </c>
      <c r="C70" s="126" t="s">
        <v>198</v>
      </c>
      <c r="D70" s="127" t="s">
        <v>76</v>
      </c>
      <c r="E70" s="151"/>
      <c r="F70" s="163">
        <v>68.82</v>
      </c>
      <c r="G70" s="164"/>
      <c r="H70" s="163">
        <v>69.5099649</v>
      </c>
      <c r="I70" s="164"/>
      <c r="J70" s="163">
        <v>70.1999298</v>
      </c>
      <c r="K70" s="164"/>
      <c r="L70" s="163">
        <v>69.5099649</v>
      </c>
      <c r="M70" s="164"/>
      <c r="N70" s="163">
        <v>69.5099649</v>
      </c>
      <c r="O70" s="164"/>
      <c r="P70" s="151"/>
      <c r="Q70" s="151"/>
      <c r="R70" s="151"/>
      <c r="S70" s="151"/>
      <c r="T70" s="151"/>
      <c r="U70" s="151"/>
      <c r="V70" s="151"/>
      <c r="W70" s="151"/>
      <c r="X70" s="151"/>
      <c r="Y70" s="151"/>
      <c r="Z70" s="151"/>
    </row>
    <row r="71" ht="12.75" customHeight="1">
      <c r="A71" s="151"/>
      <c r="B71" s="125" t="s">
        <v>199</v>
      </c>
      <c r="C71" s="126" t="s">
        <v>200</v>
      </c>
      <c r="D71" s="127" t="s">
        <v>120</v>
      </c>
      <c r="E71" s="151"/>
      <c r="F71" s="163">
        <v>378.80513764727675</v>
      </c>
      <c r="G71" s="164"/>
      <c r="H71" s="163">
        <v>380.59737762863836</v>
      </c>
      <c r="I71" s="164"/>
      <c r="J71" s="163">
        <v>382.38961761</v>
      </c>
      <c r="K71" s="164"/>
      <c r="L71" s="163">
        <v>380.59737762863836</v>
      </c>
      <c r="M71" s="164"/>
      <c r="N71" s="163">
        <v>380.59737762863836</v>
      </c>
      <c r="O71" s="164"/>
      <c r="P71" s="151"/>
      <c r="Q71" s="151"/>
      <c r="R71" s="151"/>
      <c r="S71" s="151"/>
      <c r="T71" s="151"/>
      <c r="U71" s="151"/>
      <c r="V71" s="151"/>
      <c r="W71" s="151"/>
      <c r="X71" s="151"/>
      <c r="Y71" s="151"/>
      <c r="Z71" s="151"/>
    </row>
    <row r="72" ht="12.75" customHeight="1">
      <c r="A72" s="151"/>
      <c r="B72" s="125" t="s">
        <v>201</v>
      </c>
      <c r="C72" s="126" t="s">
        <v>202</v>
      </c>
      <c r="D72" s="127" t="s">
        <v>120</v>
      </c>
      <c r="E72" s="151"/>
      <c r="F72" s="163">
        <v>48.96029093751661</v>
      </c>
      <c r="G72" s="164"/>
      <c r="H72" s="163">
        <v>46.736895468758306</v>
      </c>
      <c r="I72" s="164"/>
      <c r="J72" s="163">
        <v>44.5135</v>
      </c>
      <c r="K72" s="164"/>
      <c r="L72" s="163">
        <v>46.736895468758306</v>
      </c>
      <c r="M72" s="164"/>
      <c r="N72" s="163">
        <v>46.736895468758306</v>
      </c>
      <c r="O72" s="164"/>
      <c r="P72" s="151"/>
      <c r="Q72" s="151"/>
      <c r="R72" s="151"/>
      <c r="S72" s="151"/>
      <c r="T72" s="151"/>
      <c r="U72" s="151"/>
      <c r="V72" s="151"/>
      <c r="W72" s="151"/>
      <c r="X72" s="151"/>
      <c r="Y72" s="151"/>
      <c r="Z72" s="151"/>
    </row>
    <row r="73" ht="12.75" customHeight="1">
      <c r="A73" s="151"/>
      <c r="B73" s="125" t="s">
        <v>203</v>
      </c>
      <c r="C73" s="126" t="s">
        <v>204</v>
      </c>
      <c r="D73" s="127" t="s">
        <v>120</v>
      </c>
      <c r="E73" s="151"/>
      <c r="F73" s="163">
        <v>53.392316250000015</v>
      </c>
      <c r="G73" s="164"/>
      <c r="H73" s="163">
        <v>51.256133565000006</v>
      </c>
      <c r="I73" s="164"/>
      <c r="J73" s="163">
        <v>49.11995088</v>
      </c>
      <c r="K73" s="164"/>
      <c r="L73" s="163">
        <v>51.256133565000006</v>
      </c>
      <c r="M73" s="164"/>
      <c r="N73" s="163">
        <v>51.256133565000006</v>
      </c>
      <c r="O73" s="164"/>
      <c r="P73" s="151"/>
      <c r="Q73" s="151"/>
      <c r="R73" s="151"/>
      <c r="S73" s="151"/>
      <c r="T73" s="151"/>
      <c r="U73" s="151"/>
      <c r="V73" s="151"/>
      <c r="W73" s="151"/>
      <c r="X73" s="151"/>
      <c r="Y73" s="151"/>
      <c r="Z73" s="151"/>
    </row>
    <row r="74" ht="12.75" customHeight="1">
      <c r="A74" s="151"/>
      <c r="B74" s="113" t="s">
        <v>205</v>
      </c>
      <c r="C74" s="114" t="s">
        <v>206</v>
      </c>
      <c r="D74" s="115"/>
      <c r="E74" s="151"/>
      <c r="F74" s="161"/>
      <c r="G74" s="162"/>
      <c r="H74" s="161"/>
      <c r="I74" s="162"/>
      <c r="J74" s="161"/>
      <c r="K74" s="162"/>
      <c r="L74" s="161"/>
      <c r="M74" s="162"/>
      <c r="N74" s="161"/>
      <c r="O74" s="162"/>
      <c r="P74" s="151"/>
      <c r="Q74" s="151"/>
      <c r="R74" s="151"/>
      <c r="S74" s="151"/>
      <c r="T74" s="151"/>
      <c r="U74" s="151"/>
      <c r="V74" s="151"/>
      <c r="W74" s="151"/>
      <c r="X74" s="151"/>
      <c r="Y74" s="151"/>
      <c r="Z74" s="151"/>
    </row>
    <row r="75" ht="12.75" customHeight="1">
      <c r="A75" s="151"/>
      <c r="B75" s="125" t="s">
        <v>207</v>
      </c>
      <c r="C75" s="126" t="s">
        <v>208</v>
      </c>
      <c r="D75" s="127" t="s">
        <v>135</v>
      </c>
      <c r="E75" s="151"/>
      <c r="F75" s="163">
        <v>12.975610447627147</v>
      </c>
      <c r="G75" s="164"/>
      <c r="H75" s="163">
        <v>12.717798993813574</v>
      </c>
      <c r="I75" s="164"/>
      <c r="J75" s="163">
        <v>12.45998754</v>
      </c>
      <c r="K75" s="164"/>
      <c r="L75" s="163">
        <v>12.717798993813574</v>
      </c>
      <c r="M75" s="164"/>
      <c r="N75" s="163">
        <v>12.717798993813574</v>
      </c>
      <c r="O75" s="164"/>
      <c r="P75" s="151"/>
      <c r="Q75" s="151"/>
      <c r="R75" s="151"/>
      <c r="S75" s="151"/>
      <c r="T75" s="151"/>
      <c r="U75" s="151"/>
      <c r="V75" s="151"/>
      <c r="W75" s="151"/>
      <c r="X75" s="151"/>
      <c r="Y75" s="151"/>
      <c r="Z75" s="151"/>
    </row>
    <row r="76" ht="12.75" customHeight="1">
      <c r="A76" s="151"/>
      <c r="B76" s="125" t="s">
        <v>209</v>
      </c>
      <c r="C76" s="126" t="s">
        <v>210</v>
      </c>
      <c r="D76" s="127" t="s">
        <v>135</v>
      </c>
      <c r="E76" s="151"/>
      <c r="F76" s="163">
        <v>13.38</v>
      </c>
      <c r="G76" s="164"/>
      <c r="H76" s="163">
        <v>13.109993580000001</v>
      </c>
      <c r="I76" s="164"/>
      <c r="J76" s="163">
        <v>12.83998716</v>
      </c>
      <c r="K76" s="164"/>
      <c r="L76" s="163">
        <v>13.109993580000001</v>
      </c>
      <c r="M76" s="164"/>
      <c r="N76" s="163">
        <v>13.109993580000001</v>
      </c>
      <c r="O76" s="164"/>
      <c r="P76" s="151"/>
      <c r="Q76" s="151"/>
      <c r="R76" s="151"/>
      <c r="S76" s="151"/>
      <c r="T76" s="151"/>
      <c r="U76" s="151"/>
      <c r="V76" s="151"/>
      <c r="W76" s="151"/>
      <c r="X76" s="151"/>
      <c r="Y76" s="151"/>
      <c r="Z76" s="151"/>
    </row>
    <row r="77" ht="12.75" customHeight="1">
      <c r="A77" s="151"/>
      <c r="B77" s="125" t="s">
        <v>211</v>
      </c>
      <c r="C77" s="126" t="s">
        <v>212</v>
      </c>
      <c r="D77" s="127" t="s">
        <v>76</v>
      </c>
      <c r="E77" s="151"/>
      <c r="F77" s="163">
        <v>48.98538951394958</v>
      </c>
      <c r="G77" s="164"/>
      <c r="H77" s="163">
        <v>47.02269475697479</v>
      </c>
      <c r="I77" s="164"/>
      <c r="J77" s="163">
        <v>45.06</v>
      </c>
      <c r="K77" s="164"/>
      <c r="L77" s="163">
        <v>47.02269475697479</v>
      </c>
      <c r="M77" s="164"/>
      <c r="N77" s="163">
        <v>47.02269475697479</v>
      </c>
      <c r="O77" s="164"/>
      <c r="P77" s="151"/>
      <c r="Q77" s="151"/>
      <c r="R77" s="151"/>
      <c r="S77" s="151"/>
      <c r="T77" s="151"/>
      <c r="U77" s="151"/>
      <c r="V77" s="151"/>
      <c r="W77" s="151"/>
      <c r="X77" s="151"/>
      <c r="Y77" s="151"/>
      <c r="Z77" s="151"/>
    </row>
    <row r="78" ht="12.75" customHeight="1">
      <c r="A78" s="151"/>
      <c r="B78" s="125" t="s">
        <v>213</v>
      </c>
      <c r="C78" s="126" t="s">
        <v>214</v>
      </c>
      <c r="D78" s="127" t="s">
        <v>142</v>
      </c>
      <c r="E78" s="151"/>
      <c r="F78" s="163">
        <v>37.61</v>
      </c>
      <c r="G78" s="164"/>
      <c r="H78" s="163">
        <v>37.204981599999996</v>
      </c>
      <c r="I78" s="164"/>
      <c r="J78" s="163">
        <v>36.7999632</v>
      </c>
      <c r="K78" s="164"/>
      <c r="L78" s="163">
        <v>37.204981599999996</v>
      </c>
      <c r="M78" s="164"/>
      <c r="N78" s="163">
        <v>37.204981599999996</v>
      </c>
      <c r="O78" s="164"/>
      <c r="P78" s="151"/>
      <c r="Q78" s="151"/>
      <c r="R78" s="151"/>
      <c r="S78" s="151"/>
      <c r="T78" s="151"/>
      <c r="U78" s="151"/>
      <c r="V78" s="151"/>
      <c r="W78" s="151"/>
      <c r="X78" s="151"/>
      <c r="Y78" s="151"/>
      <c r="Z78" s="151"/>
    </row>
    <row r="79" ht="12.75" customHeight="1">
      <c r="A79" s="151"/>
      <c r="B79" s="125" t="s">
        <v>215</v>
      </c>
      <c r="C79" s="126" t="s">
        <v>216</v>
      </c>
      <c r="D79" s="127" t="s">
        <v>76</v>
      </c>
      <c r="E79" s="151"/>
      <c r="F79" s="163">
        <v>66.64</v>
      </c>
      <c r="G79" s="164"/>
      <c r="H79" s="163">
        <v>67.034966285</v>
      </c>
      <c r="I79" s="164"/>
      <c r="J79" s="163">
        <v>67.42993257</v>
      </c>
      <c r="K79" s="164"/>
      <c r="L79" s="163">
        <v>67.034966285</v>
      </c>
      <c r="M79" s="164"/>
      <c r="N79" s="163">
        <v>67.034966285</v>
      </c>
      <c r="O79" s="164"/>
      <c r="P79" s="151"/>
      <c r="Q79" s="151"/>
      <c r="R79" s="151"/>
      <c r="S79" s="151"/>
      <c r="T79" s="151"/>
      <c r="U79" s="151"/>
      <c r="V79" s="151"/>
      <c r="W79" s="151"/>
      <c r="X79" s="151"/>
      <c r="Y79" s="151"/>
      <c r="Z79" s="151"/>
    </row>
    <row r="80" ht="12.75" customHeight="1">
      <c r="A80" s="151"/>
      <c r="B80" s="125" t="s">
        <v>217</v>
      </c>
      <c r="C80" s="126" t="s">
        <v>218</v>
      </c>
      <c r="D80" s="127" t="s">
        <v>76</v>
      </c>
      <c r="E80" s="151"/>
      <c r="F80" s="163">
        <v>75.71121599999998</v>
      </c>
      <c r="G80" s="164"/>
      <c r="H80" s="163">
        <v>74.620571235</v>
      </c>
      <c r="I80" s="164"/>
      <c r="J80" s="163">
        <v>73.52992647</v>
      </c>
      <c r="K80" s="164"/>
      <c r="L80" s="163">
        <v>74.620571235</v>
      </c>
      <c r="M80" s="164"/>
      <c r="N80" s="163">
        <v>74.620571235</v>
      </c>
      <c r="O80" s="164"/>
      <c r="P80" s="151"/>
      <c r="Q80" s="151"/>
      <c r="R80" s="151"/>
      <c r="S80" s="151"/>
      <c r="T80" s="151"/>
      <c r="U80" s="151"/>
      <c r="V80" s="151"/>
      <c r="W80" s="151"/>
      <c r="X80" s="151"/>
      <c r="Y80" s="151"/>
      <c r="Z80" s="151"/>
    </row>
    <row r="81" ht="12.75" customHeight="1">
      <c r="A81" s="151"/>
      <c r="B81" s="125" t="s">
        <v>219</v>
      </c>
      <c r="C81" s="126" t="s">
        <v>220</v>
      </c>
      <c r="D81" s="127" t="s">
        <v>76</v>
      </c>
      <c r="E81" s="151"/>
      <c r="F81" s="163">
        <v>101.88</v>
      </c>
      <c r="G81" s="164"/>
      <c r="H81" s="163">
        <v>100.30995063</v>
      </c>
      <c r="I81" s="164"/>
      <c r="J81" s="163">
        <v>98.73990126</v>
      </c>
      <c r="K81" s="164"/>
      <c r="L81" s="163">
        <v>100.30995063</v>
      </c>
      <c r="M81" s="164"/>
      <c r="N81" s="163">
        <v>100.30995063</v>
      </c>
      <c r="O81" s="164"/>
      <c r="P81" s="151"/>
      <c r="Q81" s="151"/>
      <c r="R81" s="151"/>
      <c r="S81" s="151"/>
      <c r="T81" s="151"/>
      <c r="U81" s="151"/>
      <c r="V81" s="151"/>
      <c r="W81" s="151"/>
      <c r="X81" s="151"/>
      <c r="Y81" s="151"/>
      <c r="Z81" s="151"/>
    </row>
    <row r="82" ht="12.75" customHeight="1">
      <c r="A82" s="151"/>
      <c r="B82" s="125" t="s">
        <v>221</v>
      </c>
      <c r="C82" s="126" t="s">
        <v>222</v>
      </c>
      <c r="D82" s="127" t="s">
        <v>120</v>
      </c>
      <c r="E82" s="151"/>
      <c r="F82" s="163">
        <v>538.1091129694737</v>
      </c>
      <c r="G82" s="164"/>
      <c r="H82" s="163">
        <v>538.1095564847369</v>
      </c>
      <c r="I82" s="164"/>
      <c r="J82" s="163">
        <v>538.11</v>
      </c>
      <c r="K82" s="164"/>
      <c r="L82" s="163">
        <v>538.1095564847369</v>
      </c>
      <c r="M82" s="164"/>
      <c r="N82" s="163">
        <v>538.1095564847369</v>
      </c>
      <c r="O82" s="164"/>
      <c r="P82" s="151"/>
      <c r="Q82" s="151"/>
      <c r="R82" s="151"/>
      <c r="S82" s="151"/>
      <c r="T82" s="151"/>
      <c r="U82" s="151"/>
      <c r="V82" s="151"/>
      <c r="W82" s="151"/>
      <c r="X82" s="151"/>
      <c r="Y82" s="151"/>
      <c r="Z82" s="151"/>
    </row>
    <row r="83" ht="12.75" customHeight="1">
      <c r="A83" s="151"/>
      <c r="B83" s="125" t="s">
        <v>223</v>
      </c>
      <c r="C83" s="126" t="s">
        <v>224</v>
      </c>
      <c r="D83" s="127" t="s">
        <v>120</v>
      </c>
      <c r="E83" s="151"/>
      <c r="F83" s="163">
        <v>568.1397191180921</v>
      </c>
      <c r="G83" s="164"/>
      <c r="H83" s="163">
        <v>568.139859559046</v>
      </c>
      <c r="I83" s="164"/>
      <c r="J83" s="163">
        <v>568.14</v>
      </c>
      <c r="K83" s="164"/>
      <c r="L83" s="163">
        <v>568.139859559046</v>
      </c>
      <c r="M83" s="164"/>
      <c r="N83" s="163">
        <v>568.139859559046</v>
      </c>
      <c r="O83" s="164"/>
      <c r="P83" s="151"/>
      <c r="Q83" s="151"/>
      <c r="R83" s="151"/>
      <c r="S83" s="151"/>
      <c r="T83" s="151"/>
      <c r="U83" s="151"/>
      <c r="V83" s="151"/>
      <c r="W83" s="151"/>
      <c r="X83" s="151"/>
      <c r="Y83" s="151"/>
      <c r="Z83" s="151"/>
    </row>
    <row r="84" ht="12.75" customHeight="1">
      <c r="A84" s="151"/>
      <c r="B84" s="125" t="s">
        <v>225</v>
      </c>
      <c r="C84" s="126" t="s">
        <v>226</v>
      </c>
      <c r="D84" s="127" t="s">
        <v>120</v>
      </c>
      <c r="E84" s="151"/>
      <c r="F84" s="163">
        <v>588.506992826555</v>
      </c>
      <c r="G84" s="164"/>
      <c r="H84" s="163">
        <v>595.9931946732775</v>
      </c>
      <c r="I84" s="164"/>
      <c r="J84" s="163">
        <v>603.47939652</v>
      </c>
      <c r="K84" s="164"/>
      <c r="L84" s="163">
        <v>595.9931946732775</v>
      </c>
      <c r="M84" s="164"/>
      <c r="N84" s="163">
        <v>595.9931946732775</v>
      </c>
      <c r="O84" s="164"/>
      <c r="P84" s="151"/>
      <c r="Q84" s="151"/>
      <c r="R84" s="151"/>
      <c r="S84" s="151"/>
      <c r="T84" s="151"/>
      <c r="U84" s="151"/>
      <c r="V84" s="151"/>
      <c r="W84" s="151"/>
      <c r="X84" s="151"/>
      <c r="Y84" s="151"/>
      <c r="Z84" s="151"/>
    </row>
    <row r="85" ht="12.75" customHeight="1">
      <c r="A85" s="151"/>
      <c r="B85" s="125" t="s">
        <v>227</v>
      </c>
      <c r="C85" s="126" t="s">
        <v>228</v>
      </c>
      <c r="D85" s="127" t="s">
        <v>120</v>
      </c>
      <c r="E85" s="151"/>
      <c r="F85" s="163">
        <v>595.7735283499089</v>
      </c>
      <c r="G85" s="164"/>
      <c r="H85" s="163">
        <v>567.0921202338708</v>
      </c>
      <c r="I85" s="164"/>
      <c r="J85" s="163">
        <v>538.4107121178326</v>
      </c>
      <c r="K85" s="164"/>
      <c r="L85" s="163">
        <v>567.0921202338708</v>
      </c>
      <c r="M85" s="164"/>
      <c r="N85" s="163">
        <v>567.0921202338708</v>
      </c>
      <c r="O85" s="164"/>
      <c r="P85" s="151"/>
      <c r="Q85" s="151"/>
      <c r="R85" s="151"/>
      <c r="S85" s="151"/>
      <c r="T85" s="151"/>
      <c r="U85" s="151"/>
      <c r="V85" s="151"/>
      <c r="W85" s="151"/>
      <c r="X85" s="151"/>
      <c r="Y85" s="151"/>
      <c r="Z85" s="151"/>
    </row>
    <row r="86" ht="12.75" customHeight="1">
      <c r="A86" s="151"/>
      <c r="B86" s="125" t="s">
        <v>229</v>
      </c>
      <c r="C86" s="126" t="s">
        <v>230</v>
      </c>
      <c r="D86" s="127" t="s">
        <v>120</v>
      </c>
      <c r="E86" s="151"/>
      <c r="F86" s="163">
        <v>670.8560325000001</v>
      </c>
      <c r="G86" s="164"/>
      <c r="H86" s="163">
        <v>647.431393397959</v>
      </c>
      <c r="I86" s="164"/>
      <c r="J86" s="163">
        <v>624.0067542959181</v>
      </c>
      <c r="K86" s="164"/>
      <c r="L86" s="163">
        <v>647.431393397959</v>
      </c>
      <c r="M86" s="164"/>
      <c r="N86" s="163">
        <v>647.431393397959</v>
      </c>
      <c r="O86" s="164"/>
      <c r="P86" s="151"/>
      <c r="Q86" s="151"/>
      <c r="R86" s="151"/>
      <c r="S86" s="151"/>
      <c r="T86" s="151"/>
      <c r="U86" s="151"/>
      <c r="V86" s="151"/>
      <c r="W86" s="151"/>
      <c r="X86" s="151"/>
      <c r="Y86" s="151"/>
      <c r="Z86" s="151"/>
    </row>
    <row r="87" ht="12.75" customHeight="1">
      <c r="A87" s="151"/>
      <c r="B87" s="125" t="s">
        <v>231</v>
      </c>
      <c r="C87" s="126" t="s">
        <v>232</v>
      </c>
      <c r="D87" s="127" t="s">
        <v>120</v>
      </c>
      <c r="E87" s="151"/>
      <c r="F87" s="163">
        <v>704.87125</v>
      </c>
      <c r="G87" s="164"/>
      <c r="H87" s="163">
        <v>702.7330398013846</v>
      </c>
      <c r="I87" s="164"/>
      <c r="J87" s="163">
        <v>700.5948296027693</v>
      </c>
      <c r="K87" s="164"/>
      <c r="L87" s="163">
        <v>702.7330398013846</v>
      </c>
      <c r="M87" s="164"/>
      <c r="N87" s="163">
        <v>702.7330398013846</v>
      </c>
      <c r="O87" s="164"/>
      <c r="P87" s="151"/>
      <c r="Q87" s="151"/>
      <c r="R87" s="151"/>
      <c r="S87" s="151"/>
      <c r="T87" s="151"/>
      <c r="U87" s="151"/>
      <c r="V87" s="151"/>
      <c r="W87" s="151"/>
      <c r="X87" s="151"/>
      <c r="Y87" s="151"/>
      <c r="Z87" s="151"/>
    </row>
    <row r="88" ht="12.75" customHeight="1">
      <c r="A88" s="151"/>
      <c r="B88" s="125" t="s">
        <v>233</v>
      </c>
      <c r="C88" s="126" t="s">
        <v>234</v>
      </c>
      <c r="D88" s="127" t="s">
        <v>76</v>
      </c>
      <c r="E88" s="151"/>
      <c r="F88" s="163">
        <v>143.353250176</v>
      </c>
      <c r="G88" s="164"/>
      <c r="H88" s="163">
        <v>142.716554048</v>
      </c>
      <c r="I88" s="164"/>
      <c r="J88" s="163">
        <v>142.07985792000002</v>
      </c>
      <c r="K88" s="164"/>
      <c r="L88" s="163">
        <v>142.716554048</v>
      </c>
      <c r="M88" s="164"/>
      <c r="N88" s="163">
        <v>142.716554048</v>
      </c>
      <c r="O88" s="164"/>
      <c r="P88" s="151"/>
      <c r="Q88" s="151"/>
      <c r="R88" s="151"/>
      <c r="S88" s="151"/>
      <c r="T88" s="151"/>
      <c r="U88" s="151"/>
      <c r="V88" s="151"/>
      <c r="W88" s="151"/>
      <c r="X88" s="151"/>
      <c r="Y88" s="151"/>
      <c r="Z88" s="151"/>
    </row>
    <row r="89" ht="12.75" customHeight="1">
      <c r="A89" s="151"/>
      <c r="B89" s="125" t="s">
        <v>235</v>
      </c>
      <c r="C89" s="126" t="s">
        <v>236</v>
      </c>
      <c r="D89" s="127" t="s">
        <v>76</v>
      </c>
      <c r="E89" s="151"/>
      <c r="F89" s="163">
        <v>138.4941044864122</v>
      </c>
      <c r="G89" s="164"/>
      <c r="H89" s="163">
        <v>141.3600652432061</v>
      </c>
      <c r="I89" s="164"/>
      <c r="J89" s="163">
        <v>144.226026</v>
      </c>
      <c r="K89" s="164"/>
      <c r="L89" s="163">
        <v>141.3600652432061</v>
      </c>
      <c r="M89" s="164"/>
      <c r="N89" s="163">
        <v>141.3600652432061</v>
      </c>
      <c r="O89" s="164"/>
      <c r="P89" s="151"/>
      <c r="Q89" s="151"/>
      <c r="R89" s="151"/>
      <c r="S89" s="151"/>
      <c r="T89" s="151"/>
      <c r="U89" s="151"/>
      <c r="V89" s="151"/>
      <c r="W89" s="151"/>
      <c r="X89" s="151"/>
      <c r="Y89" s="151"/>
      <c r="Z89" s="151"/>
    </row>
    <row r="90" ht="12.75" customHeight="1">
      <c r="A90" s="151"/>
      <c r="B90" s="125" t="s">
        <v>237</v>
      </c>
      <c r="C90" s="126" t="s">
        <v>238</v>
      </c>
      <c r="D90" s="127" t="s">
        <v>76</v>
      </c>
      <c r="E90" s="151"/>
      <c r="F90" s="163">
        <v>170.3468</v>
      </c>
      <c r="G90" s="164"/>
      <c r="H90" s="163">
        <v>169.65331552</v>
      </c>
      <c r="I90" s="164"/>
      <c r="J90" s="163">
        <v>168.95983104</v>
      </c>
      <c r="K90" s="164"/>
      <c r="L90" s="163">
        <v>169.65331552</v>
      </c>
      <c r="M90" s="164"/>
      <c r="N90" s="163">
        <v>169.65331552</v>
      </c>
      <c r="O90" s="164"/>
      <c r="P90" s="151"/>
      <c r="Q90" s="151"/>
      <c r="R90" s="151"/>
      <c r="S90" s="151"/>
      <c r="T90" s="151"/>
      <c r="U90" s="151"/>
      <c r="V90" s="151"/>
      <c r="W90" s="151"/>
      <c r="X90" s="151"/>
      <c r="Y90" s="151"/>
      <c r="Z90" s="151"/>
    </row>
    <row r="91" ht="12.75" customHeight="1">
      <c r="A91" s="151"/>
      <c r="B91" s="125" t="s">
        <v>239</v>
      </c>
      <c r="C91" s="126" t="s">
        <v>240</v>
      </c>
      <c r="D91" s="127" t="s">
        <v>76</v>
      </c>
      <c r="E91" s="151"/>
      <c r="F91" s="163">
        <v>212.57245268314148</v>
      </c>
      <c r="G91" s="164"/>
      <c r="H91" s="163">
        <v>207.51533797258688</v>
      </c>
      <c r="I91" s="164"/>
      <c r="J91" s="163">
        <v>202.45822326203228</v>
      </c>
      <c r="K91" s="164"/>
      <c r="L91" s="163">
        <v>207.51533797258688</v>
      </c>
      <c r="M91" s="164"/>
      <c r="N91" s="163">
        <v>207.51533797258688</v>
      </c>
      <c r="O91" s="164"/>
      <c r="P91" s="151"/>
      <c r="Q91" s="151"/>
      <c r="R91" s="151"/>
      <c r="S91" s="151"/>
      <c r="T91" s="151"/>
      <c r="U91" s="151"/>
      <c r="V91" s="151"/>
      <c r="W91" s="151"/>
      <c r="X91" s="151"/>
      <c r="Y91" s="151"/>
      <c r="Z91" s="151"/>
    </row>
    <row r="92" ht="12.75" customHeight="1">
      <c r="A92" s="151"/>
      <c r="B92" s="113" t="s">
        <v>241</v>
      </c>
      <c r="C92" s="114" t="s">
        <v>242</v>
      </c>
      <c r="D92" s="115"/>
      <c r="E92" s="151"/>
      <c r="F92" s="161"/>
      <c r="G92" s="162"/>
      <c r="H92" s="161"/>
      <c r="I92" s="162"/>
      <c r="J92" s="161"/>
      <c r="K92" s="162"/>
      <c r="L92" s="161"/>
      <c r="M92" s="162"/>
      <c r="N92" s="161"/>
      <c r="O92" s="162"/>
      <c r="P92" s="151"/>
      <c r="Q92" s="151"/>
      <c r="R92" s="151"/>
      <c r="S92" s="151"/>
      <c r="T92" s="151"/>
      <c r="U92" s="151"/>
      <c r="V92" s="151"/>
      <c r="W92" s="151"/>
      <c r="X92" s="151"/>
      <c r="Y92" s="151"/>
      <c r="Z92" s="151"/>
    </row>
    <row r="93" ht="12.75" customHeight="1">
      <c r="A93" s="151"/>
      <c r="B93" s="125" t="s">
        <v>243</v>
      </c>
      <c r="C93" s="126" t="s">
        <v>244</v>
      </c>
      <c r="D93" s="127" t="s">
        <v>135</v>
      </c>
      <c r="E93" s="151"/>
      <c r="F93" s="163">
        <v>22.350298441788716</v>
      </c>
      <c r="G93" s="164"/>
      <c r="H93" s="163">
        <v>22.424555220894355</v>
      </c>
      <c r="I93" s="164"/>
      <c r="J93" s="163">
        <v>22.498811999999997</v>
      </c>
      <c r="K93" s="164"/>
      <c r="L93" s="163">
        <v>22.424555220894355</v>
      </c>
      <c r="M93" s="164"/>
      <c r="N93" s="163">
        <v>22.424555220894355</v>
      </c>
      <c r="O93" s="164"/>
      <c r="P93" s="151"/>
      <c r="Q93" s="151"/>
      <c r="R93" s="151"/>
      <c r="S93" s="151"/>
      <c r="T93" s="151"/>
      <c r="U93" s="151"/>
      <c r="V93" s="151"/>
      <c r="W93" s="151"/>
      <c r="X93" s="151"/>
      <c r="Y93" s="151"/>
      <c r="Z93" s="151"/>
    </row>
    <row r="94" ht="12.75" customHeight="1">
      <c r="A94" s="151"/>
      <c r="B94" s="125" t="s">
        <v>245</v>
      </c>
      <c r="C94" s="126" t="s">
        <v>246</v>
      </c>
      <c r="D94" s="127" t="s">
        <v>76</v>
      </c>
      <c r="E94" s="151"/>
      <c r="F94" s="163">
        <v>316.5558962264151</v>
      </c>
      <c r="G94" s="164"/>
      <c r="H94" s="163">
        <v>288.7693231132076</v>
      </c>
      <c r="I94" s="164"/>
      <c r="J94" s="163">
        <v>260.98275</v>
      </c>
      <c r="K94" s="164"/>
      <c r="L94" s="163">
        <v>288.7693231132076</v>
      </c>
      <c r="M94" s="164"/>
      <c r="N94" s="163">
        <v>288.7693231132076</v>
      </c>
      <c r="O94" s="164"/>
      <c r="P94" s="151"/>
      <c r="Q94" s="151"/>
      <c r="R94" s="151"/>
      <c r="S94" s="151"/>
      <c r="T94" s="151"/>
      <c r="U94" s="151"/>
      <c r="V94" s="151"/>
      <c r="W94" s="151"/>
      <c r="X94" s="151"/>
      <c r="Y94" s="151"/>
      <c r="Z94" s="151"/>
    </row>
    <row r="95" ht="12.75" customHeight="1">
      <c r="A95" s="151"/>
      <c r="B95" s="113" t="s">
        <v>247</v>
      </c>
      <c r="C95" s="114" t="s">
        <v>248</v>
      </c>
      <c r="D95" s="115"/>
      <c r="E95" s="151"/>
      <c r="F95" s="161"/>
      <c r="G95" s="162"/>
      <c r="H95" s="161"/>
      <c r="I95" s="162"/>
      <c r="J95" s="161"/>
      <c r="K95" s="162"/>
      <c r="L95" s="161"/>
      <c r="M95" s="162"/>
      <c r="N95" s="161"/>
      <c r="O95" s="162"/>
      <c r="P95" s="151"/>
      <c r="Q95" s="151"/>
      <c r="R95" s="151"/>
      <c r="S95" s="151"/>
      <c r="T95" s="151"/>
      <c r="U95" s="151"/>
      <c r="V95" s="151"/>
      <c r="W95" s="151"/>
      <c r="X95" s="151"/>
      <c r="Y95" s="151"/>
      <c r="Z95" s="151"/>
    </row>
    <row r="96" ht="12.75" customHeight="1">
      <c r="A96" s="151"/>
      <c r="B96" s="125" t="s">
        <v>249</v>
      </c>
      <c r="C96" s="126" t="s">
        <v>250</v>
      </c>
      <c r="D96" s="127" t="s">
        <v>180</v>
      </c>
      <c r="E96" s="151"/>
      <c r="F96" s="163">
        <v>365.15</v>
      </c>
      <c r="G96" s="164"/>
      <c r="H96" s="163">
        <v>365.15</v>
      </c>
      <c r="I96" s="164"/>
      <c r="J96" s="163">
        <v>365.15</v>
      </c>
      <c r="K96" s="164"/>
      <c r="L96" s="163">
        <v>365.15</v>
      </c>
      <c r="M96" s="164"/>
      <c r="N96" s="163">
        <v>365.15</v>
      </c>
      <c r="O96" s="164"/>
      <c r="P96" s="151"/>
      <c r="Q96" s="151"/>
      <c r="R96" s="151"/>
      <c r="S96" s="151"/>
      <c r="T96" s="151"/>
      <c r="U96" s="151"/>
      <c r="V96" s="151"/>
      <c r="W96" s="151"/>
      <c r="X96" s="151"/>
      <c r="Y96" s="151"/>
      <c r="Z96" s="151"/>
    </row>
    <row r="97" ht="12.75" customHeight="1">
      <c r="A97" s="151"/>
      <c r="B97" s="125" t="s">
        <v>251</v>
      </c>
      <c r="C97" s="126" t="s">
        <v>252</v>
      </c>
      <c r="D97" s="127" t="s">
        <v>135</v>
      </c>
      <c r="E97" s="151"/>
      <c r="F97" s="163">
        <v>21.52629307325011</v>
      </c>
      <c r="G97" s="164"/>
      <c r="H97" s="163">
        <v>22.012552536625055</v>
      </c>
      <c r="I97" s="164"/>
      <c r="J97" s="163">
        <v>22.498811999999997</v>
      </c>
      <c r="K97" s="164"/>
      <c r="L97" s="163">
        <v>22.012552536625055</v>
      </c>
      <c r="M97" s="164"/>
      <c r="N97" s="163">
        <v>22.012552536625055</v>
      </c>
      <c r="O97" s="164"/>
      <c r="P97" s="151"/>
      <c r="Q97" s="151"/>
      <c r="R97" s="151"/>
      <c r="S97" s="151"/>
      <c r="T97" s="151"/>
      <c r="U97" s="151"/>
      <c r="V97" s="151"/>
      <c r="W97" s="151"/>
      <c r="X97" s="151"/>
      <c r="Y97" s="151"/>
      <c r="Z97" s="151"/>
    </row>
    <row r="98" ht="12.75" customHeight="1">
      <c r="A98" s="151"/>
      <c r="B98" s="125" t="s">
        <v>253</v>
      </c>
      <c r="C98" s="126" t="s">
        <v>254</v>
      </c>
      <c r="D98" s="127" t="s">
        <v>135</v>
      </c>
      <c r="E98" s="151"/>
      <c r="F98" s="163">
        <v>23.3679153549</v>
      </c>
      <c r="G98" s="164"/>
      <c r="H98" s="163">
        <v>24.302631969095998</v>
      </c>
      <c r="I98" s="164"/>
      <c r="J98" s="163">
        <v>25.237348583292</v>
      </c>
      <c r="K98" s="164"/>
      <c r="L98" s="163">
        <v>24.302631969095998</v>
      </c>
      <c r="M98" s="164"/>
      <c r="N98" s="163">
        <v>24.302631969095998</v>
      </c>
      <c r="O98" s="164"/>
      <c r="P98" s="151"/>
      <c r="Q98" s="151"/>
      <c r="R98" s="151"/>
      <c r="S98" s="151"/>
      <c r="T98" s="151"/>
      <c r="U98" s="151"/>
      <c r="V98" s="151"/>
      <c r="W98" s="151"/>
      <c r="X98" s="151"/>
      <c r="Y98" s="151"/>
      <c r="Z98" s="151"/>
    </row>
    <row r="99" ht="12.75" customHeight="1">
      <c r="A99" s="151"/>
      <c r="B99" s="125" t="s">
        <v>255</v>
      </c>
      <c r="C99" s="126" t="s">
        <v>256</v>
      </c>
      <c r="D99" s="127" t="s">
        <v>76</v>
      </c>
      <c r="E99" s="151"/>
      <c r="F99" s="163">
        <v>248.24699999999999</v>
      </c>
      <c r="G99" s="164"/>
      <c r="H99" s="163">
        <v>253.828370295</v>
      </c>
      <c r="I99" s="164"/>
      <c r="J99" s="163">
        <v>259.40974059</v>
      </c>
      <c r="K99" s="164"/>
      <c r="L99" s="163">
        <v>253.828370295</v>
      </c>
      <c r="M99" s="164"/>
      <c r="N99" s="163">
        <v>253.828370295</v>
      </c>
      <c r="O99" s="164"/>
      <c r="P99" s="151"/>
      <c r="Q99" s="151"/>
      <c r="R99" s="151"/>
      <c r="S99" s="151"/>
      <c r="T99" s="151"/>
      <c r="U99" s="151"/>
      <c r="V99" s="151"/>
      <c r="W99" s="151"/>
      <c r="X99" s="151"/>
      <c r="Y99" s="151"/>
      <c r="Z99" s="151"/>
    </row>
    <row r="100" ht="12.75" customHeight="1">
      <c r="A100" s="151"/>
      <c r="B100" s="125" t="s">
        <v>257</v>
      </c>
      <c r="C100" s="126" t="s">
        <v>258</v>
      </c>
      <c r="D100" s="127" t="s">
        <v>135</v>
      </c>
      <c r="E100" s="151"/>
      <c r="F100" s="163">
        <v>15.309000000000001</v>
      </c>
      <c r="G100" s="164"/>
      <c r="H100" s="163">
        <v>15.399492255000002</v>
      </c>
      <c r="I100" s="164"/>
      <c r="J100" s="163">
        <v>15.489984510000001</v>
      </c>
      <c r="K100" s="164"/>
      <c r="L100" s="163">
        <v>15.399492255000002</v>
      </c>
      <c r="M100" s="164"/>
      <c r="N100" s="163">
        <v>15.399492255000002</v>
      </c>
      <c r="O100" s="164"/>
      <c r="P100" s="151"/>
      <c r="Q100" s="151"/>
      <c r="R100" s="151"/>
      <c r="S100" s="151"/>
      <c r="T100" s="151"/>
      <c r="U100" s="151"/>
      <c r="V100" s="151"/>
      <c r="W100" s="151"/>
      <c r="X100" s="151"/>
      <c r="Y100" s="151"/>
      <c r="Z100" s="151"/>
    </row>
    <row r="101" ht="12.75" customHeight="1">
      <c r="A101" s="151"/>
      <c r="B101" s="125" t="s">
        <v>259</v>
      </c>
      <c r="C101" s="126" t="s">
        <v>260</v>
      </c>
      <c r="D101" s="127" t="s">
        <v>135</v>
      </c>
      <c r="E101" s="151"/>
      <c r="F101" s="163">
        <v>33.534729291843114</v>
      </c>
      <c r="G101" s="164"/>
      <c r="H101" s="163">
        <v>33.732989645921556</v>
      </c>
      <c r="I101" s="164"/>
      <c r="J101" s="163">
        <v>33.931250000000006</v>
      </c>
      <c r="K101" s="164"/>
      <c r="L101" s="163">
        <v>33.732989645921556</v>
      </c>
      <c r="M101" s="164"/>
      <c r="N101" s="163">
        <v>33.732989645921556</v>
      </c>
      <c r="O101" s="164"/>
      <c r="P101" s="151"/>
      <c r="Q101" s="151"/>
      <c r="R101" s="151"/>
      <c r="S101" s="151"/>
      <c r="T101" s="151"/>
      <c r="U101" s="151"/>
      <c r="V101" s="151"/>
      <c r="W101" s="151"/>
      <c r="X101" s="151"/>
      <c r="Y101" s="151"/>
      <c r="Z101" s="151"/>
    </row>
    <row r="102" ht="12.75" customHeight="1">
      <c r="A102" s="151"/>
      <c r="B102" s="125" t="s">
        <v>261</v>
      </c>
      <c r="C102" s="126" t="s">
        <v>262</v>
      </c>
      <c r="D102" s="127" t="s">
        <v>135</v>
      </c>
      <c r="E102" s="151"/>
      <c r="F102" s="163">
        <v>19.451209270499998</v>
      </c>
      <c r="G102" s="164"/>
      <c r="H102" s="163">
        <v>19.56559479525</v>
      </c>
      <c r="I102" s="164"/>
      <c r="J102" s="163">
        <v>19.679980320000002</v>
      </c>
      <c r="K102" s="164"/>
      <c r="L102" s="163">
        <v>19.56559479525</v>
      </c>
      <c r="M102" s="164"/>
      <c r="N102" s="163">
        <v>19.56559479525</v>
      </c>
      <c r="O102" s="164"/>
      <c r="P102" s="151"/>
      <c r="Q102" s="151"/>
      <c r="R102" s="151"/>
      <c r="S102" s="151"/>
      <c r="T102" s="151"/>
      <c r="U102" s="151"/>
      <c r="V102" s="151"/>
      <c r="W102" s="151"/>
      <c r="X102" s="151"/>
      <c r="Y102" s="151"/>
      <c r="Z102" s="151"/>
    </row>
    <row r="103" ht="12.75" customHeight="1">
      <c r="A103" s="151"/>
      <c r="B103" s="125" t="s">
        <v>263</v>
      </c>
      <c r="C103" s="126" t="s">
        <v>264</v>
      </c>
      <c r="D103" s="127" t="s">
        <v>135</v>
      </c>
      <c r="E103" s="151"/>
      <c r="F103" s="163">
        <v>20.19825</v>
      </c>
      <c r="G103" s="164"/>
      <c r="H103" s="163">
        <v>20.31911478</v>
      </c>
      <c r="I103" s="164"/>
      <c r="J103" s="163">
        <v>20.43997956</v>
      </c>
      <c r="K103" s="164"/>
      <c r="L103" s="163">
        <v>20.31911478</v>
      </c>
      <c r="M103" s="164"/>
      <c r="N103" s="163">
        <v>20.31911478</v>
      </c>
      <c r="O103" s="164"/>
      <c r="P103" s="151"/>
      <c r="Q103" s="151"/>
      <c r="R103" s="151"/>
      <c r="S103" s="151"/>
      <c r="T103" s="151"/>
      <c r="U103" s="151"/>
      <c r="V103" s="151"/>
      <c r="W103" s="151"/>
      <c r="X103" s="151"/>
      <c r="Y103" s="151"/>
      <c r="Z103" s="151"/>
    </row>
    <row r="104" ht="12.75" customHeight="1">
      <c r="A104" s="151"/>
      <c r="B104" s="113" t="s">
        <v>265</v>
      </c>
      <c r="C104" s="114" t="s">
        <v>266</v>
      </c>
      <c r="D104" s="115"/>
      <c r="E104" s="151"/>
      <c r="F104" s="161"/>
      <c r="G104" s="162"/>
      <c r="H104" s="161"/>
      <c r="I104" s="162"/>
      <c r="J104" s="161"/>
      <c r="K104" s="162"/>
      <c r="L104" s="161"/>
      <c r="M104" s="162"/>
      <c r="N104" s="161"/>
      <c r="O104" s="162"/>
      <c r="P104" s="151"/>
      <c r="Q104" s="151"/>
      <c r="R104" s="151"/>
      <c r="S104" s="151"/>
      <c r="T104" s="151"/>
      <c r="U104" s="151"/>
      <c r="V104" s="151"/>
      <c r="W104" s="151"/>
      <c r="X104" s="151"/>
      <c r="Y104" s="151"/>
      <c r="Z104" s="151"/>
    </row>
    <row r="105" ht="12.75" customHeight="1">
      <c r="A105" s="151"/>
      <c r="B105" s="125" t="s">
        <v>267</v>
      </c>
      <c r="C105" s="126" t="s">
        <v>268</v>
      </c>
      <c r="D105" s="127" t="s">
        <v>76</v>
      </c>
      <c r="E105" s="151"/>
      <c r="F105" s="163">
        <v>70.13</v>
      </c>
      <c r="G105" s="164"/>
      <c r="H105" s="163">
        <v>65.975</v>
      </c>
      <c r="I105" s="164"/>
      <c r="J105" s="163">
        <v>61.82</v>
      </c>
      <c r="K105" s="164"/>
      <c r="L105" s="163">
        <v>65.975</v>
      </c>
      <c r="M105" s="164"/>
      <c r="N105" s="163">
        <v>65.975</v>
      </c>
      <c r="O105" s="164"/>
      <c r="P105" s="151"/>
      <c r="Q105" s="151"/>
      <c r="R105" s="151"/>
      <c r="S105" s="151"/>
      <c r="T105" s="151"/>
      <c r="U105" s="151"/>
      <c r="V105" s="151"/>
      <c r="W105" s="151"/>
      <c r="X105" s="151"/>
      <c r="Y105" s="151"/>
      <c r="Z105" s="151"/>
    </row>
    <row r="106" ht="12.75" customHeight="1">
      <c r="A106" s="151"/>
      <c r="B106" s="125" t="s">
        <v>269</v>
      </c>
      <c r="C106" s="126" t="s">
        <v>270</v>
      </c>
      <c r="D106" s="127" t="s">
        <v>76</v>
      </c>
      <c r="E106" s="151"/>
      <c r="F106" s="163">
        <v>79.75</v>
      </c>
      <c r="G106" s="164"/>
      <c r="H106" s="163">
        <v>77.6749622</v>
      </c>
      <c r="I106" s="164"/>
      <c r="J106" s="163">
        <v>75.59992439999999</v>
      </c>
      <c r="K106" s="164"/>
      <c r="L106" s="163">
        <v>77.6749622</v>
      </c>
      <c r="M106" s="164"/>
      <c r="N106" s="163">
        <v>77.6749622</v>
      </c>
      <c r="O106" s="164"/>
      <c r="P106" s="151"/>
      <c r="Q106" s="151"/>
      <c r="R106" s="151"/>
      <c r="S106" s="151"/>
      <c r="T106" s="151"/>
      <c r="U106" s="151"/>
      <c r="V106" s="151"/>
      <c r="W106" s="151"/>
      <c r="X106" s="151"/>
      <c r="Y106" s="151"/>
      <c r="Z106" s="151"/>
    </row>
    <row r="107" ht="12.75" customHeight="1">
      <c r="A107" s="151"/>
      <c r="B107" s="125" t="s">
        <v>271</v>
      </c>
      <c r="C107" s="126" t="s">
        <v>272</v>
      </c>
      <c r="D107" s="127" t="s">
        <v>76</v>
      </c>
      <c r="E107" s="151"/>
      <c r="F107" s="163">
        <v>69.79090909090908</v>
      </c>
      <c r="G107" s="164"/>
      <c r="H107" s="163">
        <v>73.28045454545455</v>
      </c>
      <c r="I107" s="164"/>
      <c r="J107" s="163">
        <v>76.77</v>
      </c>
      <c r="K107" s="164"/>
      <c r="L107" s="163">
        <v>73.28045454545455</v>
      </c>
      <c r="M107" s="164"/>
      <c r="N107" s="163">
        <v>73.28045454545455</v>
      </c>
      <c r="O107" s="164"/>
      <c r="P107" s="151"/>
      <c r="Q107" s="151"/>
      <c r="R107" s="151"/>
      <c r="S107" s="151"/>
      <c r="T107" s="151"/>
      <c r="U107" s="151"/>
      <c r="V107" s="151"/>
      <c r="W107" s="151"/>
      <c r="X107" s="151"/>
      <c r="Y107" s="151"/>
      <c r="Z107" s="151"/>
    </row>
    <row r="108" ht="12.75" customHeight="1">
      <c r="A108" s="151"/>
      <c r="B108" s="125" t="s">
        <v>273</v>
      </c>
      <c r="C108" s="126" t="s">
        <v>274</v>
      </c>
      <c r="D108" s="127" t="s">
        <v>76</v>
      </c>
      <c r="E108" s="151"/>
      <c r="F108" s="163">
        <v>94.31</v>
      </c>
      <c r="G108" s="164"/>
      <c r="H108" s="163">
        <v>88.67500000000001</v>
      </c>
      <c r="I108" s="164"/>
      <c r="J108" s="163">
        <v>83.04</v>
      </c>
      <c r="K108" s="164"/>
      <c r="L108" s="163">
        <v>88.67500000000001</v>
      </c>
      <c r="M108" s="164"/>
      <c r="N108" s="163">
        <v>88.67500000000001</v>
      </c>
      <c r="O108" s="164"/>
      <c r="P108" s="151"/>
      <c r="Q108" s="151"/>
      <c r="R108" s="151"/>
      <c r="S108" s="151"/>
      <c r="T108" s="151"/>
      <c r="U108" s="151"/>
      <c r="V108" s="151"/>
      <c r="W108" s="151"/>
      <c r="X108" s="151"/>
      <c r="Y108" s="151"/>
      <c r="Z108" s="151"/>
    </row>
    <row r="109" ht="12.75" customHeight="1">
      <c r="A109" s="151"/>
      <c r="B109" s="125" t="s">
        <v>275</v>
      </c>
      <c r="C109" s="126" t="s">
        <v>276</v>
      </c>
      <c r="D109" s="127" t="s">
        <v>76</v>
      </c>
      <c r="E109" s="151"/>
      <c r="F109" s="163">
        <v>109.21</v>
      </c>
      <c r="G109" s="164"/>
      <c r="H109" s="163">
        <v>101.604953</v>
      </c>
      <c r="I109" s="164"/>
      <c r="J109" s="163">
        <v>93.99990600000001</v>
      </c>
      <c r="K109" s="164"/>
      <c r="L109" s="163">
        <v>101.604953</v>
      </c>
      <c r="M109" s="164"/>
      <c r="N109" s="163">
        <v>101.604953</v>
      </c>
      <c r="O109" s="164"/>
      <c r="P109" s="151"/>
      <c r="Q109" s="151"/>
      <c r="R109" s="151"/>
      <c r="S109" s="151"/>
      <c r="T109" s="151"/>
      <c r="U109" s="151"/>
      <c r="V109" s="151"/>
      <c r="W109" s="151"/>
      <c r="X109" s="151"/>
      <c r="Y109" s="151"/>
      <c r="Z109" s="151"/>
    </row>
    <row r="110" ht="12.75" customHeight="1">
      <c r="A110" s="151"/>
      <c r="B110" s="125" t="s">
        <v>277</v>
      </c>
      <c r="C110" s="126" t="s">
        <v>278</v>
      </c>
      <c r="D110" s="127" t="s">
        <v>76</v>
      </c>
      <c r="E110" s="151"/>
      <c r="F110" s="163">
        <v>93.25</v>
      </c>
      <c r="G110" s="164"/>
      <c r="H110" s="163">
        <v>93.25</v>
      </c>
      <c r="I110" s="164"/>
      <c r="J110" s="163">
        <v>93.25</v>
      </c>
      <c r="K110" s="164"/>
      <c r="L110" s="163">
        <v>93.25</v>
      </c>
      <c r="M110" s="164"/>
      <c r="N110" s="163">
        <v>93.25</v>
      </c>
      <c r="O110" s="164"/>
      <c r="P110" s="151"/>
      <c r="Q110" s="151"/>
      <c r="R110" s="151"/>
      <c r="S110" s="151"/>
      <c r="T110" s="151"/>
      <c r="U110" s="151"/>
      <c r="V110" s="151"/>
      <c r="W110" s="151"/>
      <c r="X110" s="151"/>
      <c r="Y110" s="151"/>
      <c r="Z110" s="151"/>
    </row>
    <row r="111" ht="12.75" customHeight="1">
      <c r="A111" s="151"/>
      <c r="B111" s="125" t="s">
        <v>279</v>
      </c>
      <c r="C111" s="126" t="s">
        <v>280</v>
      </c>
      <c r="D111" s="127" t="s">
        <v>76</v>
      </c>
      <c r="E111" s="151"/>
      <c r="F111" s="163">
        <v>77.0</v>
      </c>
      <c r="G111" s="164"/>
      <c r="H111" s="163">
        <v>75.84496265499999</v>
      </c>
      <c r="I111" s="164"/>
      <c r="J111" s="163">
        <v>74.68992530999999</v>
      </c>
      <c r="K111" s="164"/>
      <c r="L111" s="163">
        <v>75.84496265499999</v>
      </c>
      <c r="M111" s="164"/>
      <c r="N111" s="163">
        <v>75.84496265499999</v>
      </c>
      <c r="O111" s="164"/>
      <c r="P111" s="151"/>
      <c r="Q111" s="151"/>
      <c r="R111" s="151"/>
      <c r="S111" s="151"/>
      <c r="T111" s="151"/>
      <c r="U111" s="151"/>
      <c r="V111" s="151"/>
      <c r="W111" s="151"/>
      <c r="X111" s="151"/>
      <c r="Y111" s="151"/>
      <c r="Z111" s="151"/>
    </row>
    <row r="112" ht="12.75" customHeight="1">
      <c r="A112" s="151"/>
      <c r="B112" s="113" t="s">
        <v>281</v>
      </c>
      <c r="C112" s="114" t="s">
        <v>282</v>
      </c>
      <c r="D112" s="115"/>
      <c r="E112" s="151"/>
      <c r="F112" s="161"/>
      <c r="G112" s="162"/>
      <c r="H112" s="161"/>
      <c r="I112" s="162"/>
      <c r="J112" s="161"/>
      <c r="K112" s="162"/>
      <c r="L112" s="161"/>
      <c r="M112" s="162"/>
      <c r="N112" s="161"/>
      <c r="O112" s="162"/>
      <c r="P112" s="151"/>
      <c r="Q112" s="151"/>
      <c r="R112" s="151"/>
      <c r="S112" s="151"/>
      <c r="T112" s="151"/>
      <c r="U112" s="151"/>
      <c r="V112" s="151"/>
      <c r="W112" s="151"/>
      <c r="X112" s="151"/>
      <c r="Y112" s="151"/>
      <c r="Z112" s="151"/>
    </row>
    <row r="113" ht="12.75" customHeight="1">
      <c r="A113" s="151"/>
      <c r="B113" s="125" t="s">
        <v>283</v>
      </c>
      <c r="C113" s="126" t="s">
        <v>284</v>
      </c>
      <c r="D113" s="127" t="s">
        <v>142</v>
      </c>
      <c r="E113" s="151"/>
      <c r="F113" s="163">
        <v>167.04000000000002</v>
      </c>
      <c r="G113" s="164"/>
      <c r="H113" s="163">
        <v>172.02</v>
      </c>
      <c r="I113" s="164"/>
      <c r="J113" s="163">
        <v>177.0</v>
      </c>
      <c r="K113" s="164"/>
      <c r="L113" s="163">
        <v>172.02</v>
      </c>
      <c r="M113" s="164"/>
      <c r="N113" s="163">
        <v>172.02</v>
      </c>
      <c r="O113" s="164"/>
      <c r="P113" s="151"/>
      <c r="Q113" s="151"/>
      <c r="R113" s="151"/>
      <c r="S113" s="151"/>
      <c r="T113" s="151"/>
      <c r="U113" s="151"/>
      <c r="V113" s="151"/>
      <c r="W113" s="151"/>
      <c r="X113" s="151"/>
      <c r="Y113" s="151"/>
      <c r="Z113" s="151"/>
    </row>
    <row r="114" ht="12.75" customHeight="1">
      <c r="A114" s="151"/>
      <c r="B114" s="125" t="s">
        <v>285</v>
      </c>
      <c r="C114" s="126" t="s">
        <v>286</v>
      </c>
      <c r="D114" s="127" t="s">
        <v>76</v>
      </c>
      <c r="E114" s="151"/>
      <c r="F114" s="163">
        <v>154.9</v>
      </c>
      <c r="G114" s="164"/>
      <c r="H114" s="163">
        <v>153.9840857913923</v>
      </c>
      <c r="I114" s="164"/>
      <c r="J114" s="163">
        <v>153.06817158278457</v>
      </c>
      <c r="K114" s="164"/>
      <c r="L114" s="163">
        <v>153.9840857913923</v>
      </c>
      <c r="M114" s="164"/>
      <c r="N114" s="163">
        <v>153.9840857913923</v>
      </c>
      <c r="O114" s="164"/>
      <c r="P114" s="151"/>
      <c r="Q114" s="151"/>
      <c r="R114" s="151"/>
      <c r="S114" s="151"/>
      <c r="T114" s="151"/>
      <c r="U114" s="151"/>
      <c r="V114" s="151"/>
      <c r="W114" s="151"/>
      <c r="X114" s="151"/>
      <c r="Y114" s="151"/>
      <c r="Z114" s="151"/>
    </row>
    <row r="115" ht="12.75" customHeight="1">
      <c r="A115" s="151"/>
      <c r="B115" s="125" t="s">
        <v>287</v>
      </c>
      <c r="C115" s="126" t="s">
        <v>288</v>
      </c>
      <c r="D115" s="127" t="s">
        <v>76</v>
      </c>
      <c r="E115" s="151"/>
      <c r="F115" s="163">
        <v>164.75208280953686</v>
      </c>
      <c r="G115" s="164"/>
      <c r="H115" s="163">
        <v>160.4351802936573</v>
      </c>
      <c r="I115" s="164"/>
      <c r="J115" s="163">
        <v>156.1182777777778</v>
      </c>
      <c r="K115" s="164"/>
      <c r="L115" s="163">
        <v>160.4351802936573</v>
      </c>
      <c r="M115" s="164"/>
      <c r="N115" s="163">
        <v>160.4351802936573</v>
      </c>
      <c r="O115" s="164"/>
      <c r="P115" s="151"/>
      <c r="Q115" s="151"/>
      <c r="R115" s="151"/>
      <c r="S115" s="151"/>
      <c r="T115" s="151"/>
      <c r="U115" s="151"/>
      <c r="V115" s="151"/>
      <c r="W115" s="151"/>
      <c r="X115" s="151"/>
      <c r="Y115" s="151"/>
      <c r="Z115" s="151"/>
    </row>
    <row r="116" ht="12.75" customHeight="1">
      <c r="A116" s="151"/>
      <c r="B116" s="125" t="s">
        <v>289</v>
      </c>
      <c r="C116" s="126" t="s">
        <v>290</v>
      </c>
      <c r="D116" s="127" t="s">
        <v>76</v>
      </c>
      <c r="E116" s="151"/>
      <c r="F116" s="163">
        <v>134.11618609442058</v>
      </c>
      <c r="G116" s="164"/>
      <c r="H116" s="163">
        <v>126.4940930472103</v>
      </c>
      <c r="I116" s="164"/>
      <c r="J116" s="163">
        <v>118.872</v>
      </c>
      <c r="K116" s="164"/>
      <c r="L116" s="163">
        <v>126.4940930472103</v>
      </c>
      <c r="M116" s="164"/>
      <c r="N116" s="163">
        <v>126.4940930472103</v>
      </c>
      <c r="O116" s="164"/>
      <c r="P116" s="151"/>
      <c r="Q116" s="151"/>
      <c r="R116" s="151"/>
      <c r="S116" s="151"/>
      <c r="T116" s="151"/>
      <c r="U116" s="151"/>
      <c r="V116" s="151"/>
      <c r="W116" s="151"/>
      <c r="X116" s="151"/>
      <c r="Y116" s="151"/>
      <c r="Z116" s="151"/>
    </row>
    <row r="117" ht="12.75" customHeight="1">
      <c r="A117" s="151"/>
      <c r="B117" s="125" t="s">
        <v>291</v>
      </c>
      <c r="C117" s="126" t="s">
        <v>292</v>
      </c>
      <c r="D117" s="127" t="s">
        <v>76</v>
      </c>
      <c r="E117" s="151"/>
      <c r="F117" s="163">
        <v>122.78070012320329</v>
      </c>
      <c r="G117" s="164"/>
      <c r="H117" s="163">
        <v>112.90155006160165</v>
      </c>
      <c r="I117" s="164"/>
      <c r="J117" s="163">
        <v>103.0224</v>
      </c>
      <c r="K117" s="164"/>
      <c r="L117" s="163">
        <v>112.90155006160165</v>
      </c>
      <c r="M117" s="164"/>
      <c r="N117" s="163">
        <v>112.90155006160165</v>
      </c>
      <c r="O117" s="164"/>
      <c r="P117" s="151"/>
      <c r="Q117" s="151"/>
      <c r="R117" s="151"/>
      <c r="S117" s="151"/>
      <c r="T117" s="151"/>
      <c r="U117" s="151"/>
      <c r="V117" s="151"/>
      <c r="W117" s="151"/>
      <c r="X117" s="151"/>
      <c r="Y117" s="151"/>
      <c r="Z117" s="151"/>
    </row>
    <row r="118" ht="12.75" customHeight="1">
      <c r="A118" s="151"/>
      <c r="B118" s="125" t="s">
        <v>293</v>
      </c>
      <c r="C118" s="126" t="s">
        <v>294</v>
      </c>
      <c r="D118" s="127" t="s">
        <v>76</v>
      </c>
      <c r="E118" s="151"/>
      <c r="F118" s="163">
        <v>117.11200000000001</v>
      </c>
      <c r="G118" s="164"/>
      <c r="H118" s="163">
        <v>121.7954</v>
      </c>
      <c r="I118" s="164"/>
      <c r="J118" s="163">
        <v>126.4788</v>
      </c>
      <c r="K118" s="164"/>
      <c r="L118" s="163">
        <v>121.7954</v>
      </c>
      <c r="M118" s="164"/>
      <c r="N118" s="163">
        <v>121.7954</v>
      </c>
      <c r="O118" s="164"/>
      <c r="P118" s="151"/>
      <c r="Q118" s="151"/>
      <c r="R118" s="151"/>
      <c r="S118" s="151"/>
      <c r="T118" s="151"/>
      <c r="U118" s="151"/>
      <c r="V118" s="151"/>
      <c r="W118" s="151"/>
      <c r="X118" s="151"/>
      <c r="Y118" s="151"/>
      <c r="Z118" s="151"/>
    </row>
    <row r="119" ht="12.75" customHeight="1">
      <c r="A119" s="151"/>
      <c r="B119" s="125" t="s">
        <v>295</v>
      </c>
      <c r="C119" s="126" t="s">
        <v>296</v>
      </c>
      <c r="D119" s="127" t="s">
        <v>76</v>
      </c>
      <c r="E119" s="151"/>
      <c r="F119" s="163">
        <v>166.27806</v>
      </c>
      <c r="G119" s="164"/>
      <c r="H119" s="163">
        <v>172.13903</v>
      </c>
      <c r="I119" s="164"/>
      <c r="J119" s="163">
        <v>178.0</v>
      </c>
      <c r="K119" s="164"/>
      <c r="L119" s="163">
        <v>172.13903</v>
      </c>
      <c r="M119" s="164"/>
      <c r="N119" s="163">
        <v>172.13903</v>
      </c>
      <c r="O119" s="164"/>
      <c r="P119" s="151"/>
      <c r="Q119" s="151"/>
      <c r="R119" s="151"/>
      <c r="S119" s="151"/>
      <c r="T119" s="151"/>
      <c r="U119" s="151"/>
      <c r="V119" s="151"/>
      <c r="W119" s="151"/>
      <c r="X119" s="151"/>
      <c r="Y119" s="151"/>
      <c r="Z119" s="151"/>
    </row>
    <row r="120" ht="12.75" customHeight="1">
      <c r="A120" s="151"/>
      <c r="B120" s="125" t="s">
        <v>297</v>
      </c>
      <c r="C120" s="126" t="s">
        <v>298</v>
      </c>
      <c r="D120" s="127" t="s">
        <v>76</v>
      </c>
      <c r="E120" s="151"/>
      <c r="F120" s="163">
        <v>196.0</v>
      </c>
      <c r="G120" s="164"/>
      <c r="H120" s="163">
        <v>192.07990592</v>
      </c>
      <c r="I120" s="164"/>
      <c r="J120" s="163">
        <v>188.15981183999997</v>
      </c>
      <c r="K120" s="164"/>
      <c r="L120" s="163">
        <v>192.07990592</v>
      </c>
      <c r="M120" s="164"/>
      <c r="N120" s="163">
        <v>192.07990592</v>
      </c>
      <c r="O120" s="164"/>
      <c r="P120" s="151"/>
      <c r="Q120" s="151"/>
      <c r="R120" s="151"/>
      <c r="S120" s="151"/>
      <c r="T120" s="151"/>
      <c r="U120" s="151"/>
      <c r="V120" s="151"/>
      <c r="W120" s="151"/>
      <c r="X120" s="151"/>
      <c r="Y120" s="151"/>
      <c r="Z120" s="151"/>
    </row>
    <row r="121" ht="12.75" customHeight="1">
      <c r="A121" s="151"/>
      <c r="B121" s="125" t="s">
        <v>299</v>
      </c>
      <c r="C121" s="126" t="s">
        <v>300</v>
      </c>
      <c r="D121" s="127" t="s">
        <v>76</v>
      </c>
      <c r="E121" s="151"/>
      <c r="F121" s="163">
        <v>187.85000000000002</v>
      </c>
      <c r="G121" s="164"/>
      <c r="H121" s="163">
        <v>187.85000000000002</v>
      </c>
      <c r="I121" s="164"/>
      <c r="J121" s="163">
        <v>187.85</v>
      </c>
      <c r="K121" s="164"/>
      <c r="L121" s="163">
        <v>187.85000000000002</v>
      </c>
      <c r="M121" s="164"/>
      <c r="N121" s="163">
        <v>187.85000000000002</v>
      </c>
      <c r="O121" s="164"/>
      <c r="P121" s="151"/>
      <c r="Q121" s="151"/>
      <c r="R121" s="151"/>
      <c r="S121" s="151"/>
      <c r="T121" s="151"/>
      <c r="U121" s="151"/>
      <c r="V121" s="151"/>
      <c r="W121" s="151"/>
      <c r="X121" s="151"/>
      <c r="Y121" s="151"/>
      <c r="Z121" s="151"/>
    </row>
    <row r="122" ht="12.75" customHeight="1">
      <c r="A122" s="151"/>
      <c r="B122" s="125" t="s">
        <v>301</v>
      </c>
      <c r="C122" s="126" t="s">
        <v>302</v>
      </c>
      <c r="D122" s="127" t="s">
        <v>76</v>
      </c>
      <c r="E122" s="151"/>
      <c r="F122" s="163">
        <v>133.7</v>
      </c>
      <c r="G122" s="164"/>
      <c r="H122" s="163">
        <v>133.7</v>
      </c>
      <c r="I122" s="164"/>
      <c r="J122" s="163">
        <v>133.7</v>
      </c>
      <c r="K122" s="164"/>
      <c r="L122" s="163">
        <v>133.7</v>
      </c>
      <c r="M122" s="164"/>
      <c r="N122" s="163">
        <v>133.7</v>
      </c>
      <c r="O122" s="164"/>
      <c r="P122" s="151"/>
      <c r="Q122" s="151"/>
      <c r="R122" s="151"/>
      <c r="S122" s="151"/>
      <c r="T122" s="151"/>
      <c r="U122" s="151"/>
      <c r="V122" s="151"/>
      <c r="W122" s="151"/>
      <c r="X122" s="151"/>
      <c r="Y122" s="151"/>
      <c r="Z122" s="151"/>
    </row>
    <row r="123" ht="12.75" customHeight="1">
      <c r="A123" s="151"/>
      <c r="B123" s="125" t="s">
        <v>303</v>
      </c>
      <c r="C123" s="126" t="s">
        <v>304</v>
      </c>
      <c r="D123" s="127" t="s">
        <v>142</v>
      </c>
      <c r="E123" s="151"/>
      <c r="F123" s="163">
        <v>91.5</v>
      </c>
      <c r="G123" s="164"/>
      <c r="H123" s="163">
        <v>88.25</v>
      </c>
      <c r="I123" s="164"/>
      <c r="J123" s="163">
        <v>85.0</v>
      </c>
      <c r="K123" s="164"/>
      <c r="L123" s="163">
        <v>88.25</v>
      </c>
      <c r="M123" s="164"/>
      <c r="N123" s="163">
        <v>88.25</v>
      </c>
      <c r="O123" s="164"/>
      <c r="P123" s="151"/>
      <c r="Q123" s="151"/>
      <c r="R123" s="151"/>
      <c r="S123" s="151"/>
      <c r="T123" s="151"/>
      <c r="U123" s="151"/>
      <c r="V123" s="151"/>
      <c r="W123" s="151"/>
      <c r="X123" s="151"/>
      <c r="Y123" s="151"/>
      <c r="Z123" s="151"/>
    </row>
    <row r="124" ht="12.75" customHeight="1">
      <c r="A124" s="151"/>
      <c r="B124" s="125" t="s">
        <v>305</v>
      </c>
      <c r="C124" s="126" t="s">
        <v>306</v>
      </c>
      <c r="D124" s="127" t="s">
        <v>76</v>
      </c>
      <c r="E124" s="151"/>
      <c r="F124" s="163">
        <v>84.0</v>
      </c>
      <c r="G124" s="164"/>
      <c r="H124" s="163">
        <v>83.106</v>
      </c>
      <c r="I124" s="164"/>
      <c r="J124" s="163">
        <v>82.212</v>
      </c>
      <c r="K124" s="164"/>
      <c r="L124" s="163">
        <v>83.106</v>
      </c>
      <c r="M124" s="164"/>
      <c r="N124" s="163">
        <v>83.106</v>
      </c>
      <c r="O124" s="164"/>
      <c r="P124" s="151"/>
      <c r="Q124" s="151"/>
      <c r="R124" s="151"/>
      <c r="S124" s="151"/>
      <c r="T124" s="151"/>
      <c r="U124" s="151"/>
      <c r="V124" s="151"/>
      <c r="W124" s="151"/>
      <c r="X124" s="151"/>
      <c r="Y124" s="151"/>
      <c r="Z124" s="151"/>
    </row>
    <row r="125" ht="12.75" customHeight="1">
      <c r="A125" s="151"/>
      <c r="B125" s="113" t="s">
        <v>307</v>
      </c>
      <c r="C125" s="114" t="s">
        <v>308</v>
      </c>
      <c r="D125" s="115"/>
      <c r="E125" s="151"/>
      <c r="F125" s="161"/>
      <c r="G125" s="162"/>
      <c r="H125" s="161"/>
      <c r="I125" s="162"/>
      <c r="J125" s="161"/>
      <c r="K125" s="162"/>
      <c r="L125" s="161"/>
      <c r="M125" s="162"/>
      <c r="N125" s="161"/>
      <c r="O125" s="162"/>
      <c r="P125" s="151"/>
      <c r="Q125" s="151"/>
      <c r="R125" s="151"/>
      <c r="S125" s="151"/>
      <c r="T125" s="151"/>
      <c r="U125" s="151"/>
      <c r="V125" s="151"/>
      <c r="W125" s="151"/>
      <c r="X125" s="151"/>
      <c r="Y125" s="151"/>
      <c r="Z125" s="151"/>
    </row>
    <row r="126" ht="12.75" customHeight="1">
      <c r="A126" s="151"/>
      <c r="B126" s="125" t="s">
        <v>309</v>
      </c>
      <c r="C126" s="126" t="s">
        <v>310</v>
      </c>
      <c r="D126" s="127" t="s">
        <v>76</v>
      </c>
      <c r="E126" s="151"/>
      <c r="F126" s="163">
        <v>8.835</v>
      </c>
      <c r="G126" s="164"/>
      <c r="H126" s="163">
        <v>8.835</v>
      </c>
      <c r="I126" s="164"/>
      <c r="J126" s="163">
        <v>8.835</v>
      </c>
      <c r="K126" s="164"/>
      <c r="L126" s="163">
        <v>8.835</v>
      </c>
      <c r="M126" s="164"/>
      <c r="N126" s="163">
        <v>8.835</v>
      </c>
      <c r="O126" s="164"/>
      <c r="P126" s="151"/>
      <c r="Q126" s="151"/>
      <c r="R126" s="151"/>
      <c r="S126" s="151"/>
      <c r="T126" s="151"/>
      <c r="U126" s="151"/>
      <c r="V126" s="151"/>
      <c r="W126" s="151"/>
      <c r="X126" s="151"/>
      <c r="Y126" s="151"/>
      <c r="Z126" s="151"/>
    </row>
    <row r="127" ht="12.75" customHeight="1">
      <c r="A127" s="151"/>
      <c r="B127" s="125" t="s">
        <v>311</v>
      </c>
      <c r="C127" s="126" t="s">
        <v>312</v>
      </c>
      <c r="D127" s="127" t="s">
        <v>180</v>
      </c>
      <c r="E127" s="151"/>
      <c r="F127" s="163">
        <v>6.1832</v>
      </c>
      <c r="G127" s="164"/>
      <c r="H127" s="163">
        <v>6.7291</v>
      </c>
      <c r="I127" s="164"/>
      <c r="J127" s="163">
        <v>7.2749999999999995</v>
      </c>
      <c r="K127" s="164"/>
      <c r="L127" s="163">
        <v>6.7291</v>
      </c>
      <c r="M127" s="164"/>
      <c r="N127" s="163">
        <v>6.7291</v>
      </c>
      <c r="O127" s="164"/>
      <c r="P127" s="151"/>
      <c r="Q127" s="151"/>
      <c r="R127" s="151"/>
      <c r="S127" s="151"/>
      <c r="T127" s="151"/>
      <c r="U127" s="151"/>
      <c r="V127" s="151"/>
      <c r="W127" s="151"/>
      <c r="X127" s="151"/>
      <c r="Y127" s="151"/>
      <c r="Z127" s="151"/>
    </row>
    <row r="128" ht="12.75" customHeight="1">
      <c r="A128" s="151"/>
      <c r="B128" s="125" t="s">
        <v>313</v>
      </c>
      <c r="C128" s="126" t="s">
        <v>314</v>
      </c>
      <c r="D128" s="127" t="s">
        <v>76</v>
      </c>
      <c r="E128" s="151"/>
      <c r="F128" s="163">
        <v>31.152390944407237</v>
      </c>
      <c r="G128" s="164"/>
      <c r="H128" s="163">
        <v>31.57619547220362</v>
      </c>
      <c r="I128" s="164"/>
      <c r="J128" s="163">
        <v>32.0</v>
      </c>
      <c r="K128" s="164"/>
      <c r="L128" s="163">
        <v>31.57619547220362</v>
      </c>
      <c r="M128" s="164"/>
      <c r="N128" s="163">
        <v>31.57619547220362</v>
      </c>
      <c r="O128" s="164"/>
      <c r="P128" s="151"/>
      <c r="Q128" s="151"/>
      <c r="R128" s="151"/>
      <c r="S128" s="151"/>
      <c r="T128" s="151"/>
      <c r="U128" s="151"/>
      <c r="V128" s="151"/>
      <c r="W128" s="151"/>
      <c r="X128" s="151"/>
      <c r="Y128" s="151"/>
      <c r="Z128" s="151"/>
    </row>
    <row r="129" ht="12.75" customHeight="1">
      <c r="A129" s="151"/>
      <c r="B129" s="125" t="s">
        <v>315</v>
      </c>
      <c r="C129" s="126" t="s">
        <v>316</v>
      </c>
      <c r="D129" s="127" t="s">
        <v>76</v>
      </c>
      <c r="E129" s="151"/>
      <c r="F129" s="163">
        <v>57.48019999999999</v>
      </c>
      <c r="G129" s="164"/>
      <c r="H129" s="163">
        <v>57.48019999999999</v>
      </c>
      <c r="I129" s="164"/>
      <c r="J129" s="163">
        <v>57.480199999999996</v>
      </c>
      <c r="K129" s="164"/>
      <c r="L129" s="163">
        <v>57.48019999999999</v>
      </c>
      <c r="M129" s="164"/>
      <c r="N129" s="163">
        <v>57.48019999999999</v>
      </c>
      <c r="O129" s="164"/>
      <c r="P129" s="151"/>
      <c r="Q129" s="151"/>
      <c r="R129" s="151"/>
      <c r="S129" s="151"/>
      <c r="T129" s="151"/>
      <c r="U129" s="151"/>
      <c r="V129" s="151"/>
      <c r="W129" s="151"/>
      <c r="X129" s="151"/>
      <c r="Y129" s="151"/>
      <c r="Z129" s="151"/>
    </row>
    <row r="130" ht="12.75" customHeight="1">
      <c r="A130" s="151"/>
      <c r="B130" s="125" t="s">
        <v>317</v>
      </c>
      <c r="C130" s="126" t="s">
        <v>318</v>
      </c>
      <c r="D130" s="127" t="s">
        <v>76</v>
      </c>
      <c r="E130" s="151"/>
      <c r="F130" s="163">
        <v>84.99684350809734</v>
      </c>
      <c r="G130" s="164"/>
      <c r="H130" s="163">
        <v>84.99842175404868</v>
      </c>
      <c r="I130" s="164"/>
      <c r="J130" s="163">
        <v>85.0</v>
      </c>
      <c r="K130" s="164"/>
      <c r="L130" s="163">
        <v>84.99842175404868</v>
      </c>
      <c r="M130" s="164"/>
      <c r="N130" s="163">
        <v>84.99842175404868</v>
      </c>
      <c r="O130" s="164"/>
      <c r="P130" s="151"/>
      <c r="Q130" s="151"/>
      <c r="R130" s="151"/>
      <c r="S130" s="151"/>
      <c r="T130" s="151"/>
      <c r="U130" s="151"/>
      <c r="V130" s="151"/>
      <c r="W130" s="151"/>
      <c r="X130" s="151"/>
      <c r="Y130" s="151"/>
      <c r="Z130" s="151"/>
    </row>
    <row r="131" ht="12.75" customHeight="1">
      <c r="A131" s="151"/>
      <c r="B131" s="125" t="s">
        <v>319</v>
      </c>
      <c r="C131" s="126" t="s">
        <v>320</v>
      </c>
      <c r="D131" s="127" t="s">
        <v>180</v>
      </c>
      <c r="E131" s="151"/>
      <c r="F131" s="163">
        <v>65.76486187373139</v>
      </c>
      <c r="G131" s="164"/>
      <c r="H131" s="163">
        <v>60.79141651466471</v>
      </c>
      <c r="I131" s="164"/>
      <c r="J131" s="163">
        <v>55.81797115559803</v>
      </c>
      <c r="K131" s="164"/>
      <c r="L131" s="163">
        <v>60.79141651466471</v>
      </c>
      <c r="M131" s="164"/>
      <c r="N131" s="163">
        <v>60.79141651466471</v>
      </c>
      <c r="O131" s="164"/>
      <c r="P131" s="151"/>
      <c r="Q131" s="151"/>
      <c r="R131" s="151"/>
      <c r="S131" s="151"/>
      <c r="T131" s="151"/>
      <c r="U131" s="151"/>
      <c r="V131" s="151"/>
      <c r="W131" s="151"/>
      <c r="X131" s="151"/>
      <c r="Y131" s="151"/>
      <c r="Z131" s="151"/>
    </row>
    <row r="132" ht="12.75" customHeight="1">
      <c r="A132" s="151"/>
      <c r="B132" s="125" t="s">
        <v>321</v>
      </c>
      <c r="C132" s="126" t="s">
        <v>322</v>
      </c>
      <c r="D132" s="127" t="s">
        <v>180</v>
      </c>
      <c r="E132" s="151"/>
      <c r="F132" s="163">
        <v>54.730504118841154</v>
      </c>
      <c r="G132" s="164"/>
      <c r="H132" s="163">
        <v>55.27423763721959</v>
      </c>
      <c r="I132" s="164"/>
      <c r="J132" s="163">
        <v>55.81797115559803</v>
      </c>
      <c r="K132" s="164"/>
      <c r="L132" s="163">
        <v>55.27423763721959</v>
      </c>
      <c r="M132" s="164"/>
      <c r="N132" s="163">
        <v>55.27423763721959</v>
      </c>
      <c r="O132" s="164"/>
      <c r="P132" s="151"/>
      <c r="Q132" s="151"/>
      <c r="R132" s="151"/>
      <c r="S132" s="151"/>
      <c r="T132" s="151"/>
      <c r="U132" s="151"/>
      <c r="V132" s="151"/>
      <c r="W132" s="151"/>
      <c r="X132" s="151"/>
      <c r="Y132" s="151"/>
      <c r="Z132" s="151"/>
    </row>
    <row r="133" ht="12.75" customHeight="1">
      <c r="A133" s="151"/>
      <c r="B133" s="125" t="s">
        <v>323</v>
      </c>
      <c r="C133" s="126" t="s">
        <v>324</v>
      </c>
      <c r="D133" s="127" t="s">
        <v>76</v>
      </c>
      <c r="E133" s="151"/>
      <c r="F133" s="163">
        <v>112.9833993013319</v>
      </c>
      <c r="G133" s="164"/>
      <c r="H133" s="163">
        <v>94.78242616160367</v>
      </c>
      <c r="I133" s="164"/>
      <c r="J133" s="163">
        <v>97.56579420000001</v>
      </c>
      <c r="K133" s="164"/>
      <c r="L133" s="163">
        <v>94.78242616160367</v>
      </c>
      <c r="M133" s="164"/>
      <c r="N133" s="163">
        <v>94.78242616160367</v>
      </c>
      <c r="O133" s="164"/>
      <c r="P133" s="151"/>
      <c r="Q133" s="151"/>
      <c r="R133" s="151"/>
      <c r="S133" s="151"/>
      <c r="T133" s="151"/>
      <c r="U133" s="151"/>
      <c r="V133" s="151"/>
      <c r="W133" s="151"/>
      <c r="X133" s="151"/>
      <c r="Y133" s="151"/>
      <c r="Z133" s="151"/>
    </row>
    <row r="134" ht="12.75" customHeight="1">
      <c r="A134" s="151"/>
      <c r="B134" s="125" t="s">
        <v>325</v>
      </c>
      <c r="C134" s="126" t="s">
        <v>326</v>
      </c>
      <c r="D134" s="127" t="s">
        <v>76</v>
      </c>
      <c r="E134" s="151"/>
      <c r="F134" s="163">
        <v>137.42</v>
      </c>
      <c r="G134" s="164"/>
      <c r="H134" s="163">
        <v>127.21</v>
      </c>
      <c r="I134" s="164"/>
      <c r="J134" s="163">
        <v>117.0</v>
      </c>
      <c r="K134" s="164"/>
      <c r="L134" s="163">
        <v>127.21</v>
      </c>
      <c r="M134" s="164"/>
      <c r="N134" s="163">
        <v>127.21</v>
      </c>
      <c r="O134" s="164"/>
      <c r="P134" s="151"/>
      <c r="Q134" s="151"/>
      <c r="R134" s="151"/>
      <c r="S134" s="151"/>
      <c r="T134" s="151"/>
      <c r="U134" s="151"/>
      <c r="V134" s="151"/>
      <c r="W134" s="151"/>
      <c r="X134" s="151"/>
      <c r="Y134" s="151"/>
      <c r="Z134" s="151"/>
    </row>
    <row r="135" ht="12.75" customHeight="1">
      <c r="A135" s="151"/>
      <c r="B135" s="125" t="s">
        <v>327</v>
      </c>
      <c r="C135" s="126" t="s">
        <v>328</v>
      </c>
      <c r="D135" s="127" t="s">
        <v>76</v>
      </c>
      <c r="E135" s="151"/>
      <c r="F135" s="163">
        <v>137.42</v>
      </c>
      <c r="G135" s="164"/>
      <c r="H135" s="163">
        <v>133.174935535</v>
      </c>
      <c r="I135" s="164"/>
      <c r="J135" s="163">
        <v>128.92987107000002</v>
      </c>
      <c r="K135" s="164"/>
      <c r="L135" s="163">
        <v>133.174935535</v>
      </c>
      <c r="M135" s="164"/>
      <c r="N135" s="163">
        <v>133.174935535</v>
      </c>
      <c r="O135" s="164"/>
      <c r="P135" s="151"/>
      <c r="Q135" s="151"/>
      <c r="R135" s="151"/>
      <c r="S135" s="151"/>
      <c r="T135" s="151"/>
      <c r="U135" s="151"/>
      <c r="V135" s="151"/>
      <c r="W135" s="151"/>
      <c r="X135" s="151"/>
      <c r="Y135" s="151"/>
      <c r="Z135" s="151"/>
    </row>
    <row r="136" ht="12.75" customHeight="1">
      <c r="A136" s="151"/>
      <c r="B136" s="125" t="s">
        <v>329</v>
      </c>
      <c r="C136" s="126" t="s">
        <v>330</v>
      </c>
      <c r="D136" s="127" t="s">
        <v>76</v>
      </c>
      <c r="E136" s="151"/>
      <c r="F136" s="163">
        <v>190.2642762720827</v>
      </c>
      <c r="G136" s="164"/>
      <c r="H136" s="163">
        <v>135.3723578710207</v>
      </c>
      <c r="I136" s="164"/>
      <c r="J136" s="163">
        <v>172.26313019999998</v>
      </c>
      <c r="K136" s="164"/>
      <c r="L136" s="163">
        <v>118.34187012792248</v>
      </c>
      <c r="M136" s="164"/>
      <c r="N136" s="163">
        <v>157.585868857444</v>
      </c>
      <c r="O136" s="164"/>
      <c r="P136" s="151"/>
      <c r="Q136" s="151"/>
      <c r="R136" s="151"/>
      <c r="S136" s="151"/>
      <c r="T136" s="151"/>
      <c r="U136" s="151"/>
      <c r="V136" s="151"/>
      <c r="W136" s="151"/>
      <c r="X136" s="151"/>
      <c r="Y136" s="151"/>
      <c r="Z136" s="151"/>
    </row>
    <row r="137" ht="12.75" customHeight="1">
      <c r="A137" s="151"/>
      <c r="B137" s="125" t="s">
        <v>331</v>
      </c>
      <c r="C137" s="126" t="s">
        <v>332</v>
      </c>
      <c r="D137" s="127" t="s">
        <v>76</v>
      </c>
      <c r="E137" s="151"/>
      <c r="F137" s="163">
        <v>266.20611227175</v>
      </c>
      <c r="G137" s="164"/>
      <c r="H137" s="163">
        <v>251.686677235875</v>
      </c>
      <c r="I137" s="164"/>
      <c r="J137" s="163">
        <v>237.1672422</v>
      </c>
      <c r="K137" s="164"/>
      <c r="L137" s="163">
        <v>251.686677235875</v>
      </c>
      <c r="M137" s="164"/>
      <c r="N137" s="163">
        <v>251.686677235875</v>
      </c>
      <c r="O137" s="164"/>
      <c r="P137" s="151"/>
      <c r="Q137" s="151"/>
      <c r="R137" s="151"/>
      <c r="S137" s="151"/>
      <c r="T137" s="151"/>
      <c r="U137" s="151"/>
      <c r="V137" s="151"/>
      <c r="W137" s="151"/>
      <c r="X137" s="151"/>
      <c r="Y137" s="151"/>
      <c r="Z137" s="151"/>
    </row>
    <row r="138" ht="12.75" customHeight="1">
      <c r="A138" s="151"/>
      <c r="B138" s="125" t="s">
        <v>333</v>
      </c>
      <c r="C138" s="126" t="s">
        <v>334</v>
      </c>
      <c r="D138" s="127" t="s">
        <v>76</v>
      </c>
      <c r="E138" s="151"/>
      <c r="F138" s="163">
        <v>291.93465998971766</v>
      </c>
      <c r="G138" s="164"/>
      <c r="H138" s="163">
        <v>274.12949215702093</v>
      </c>
      <c r="I138" s="164"/>
      <c r="J138" s="163">
        <v>256.32432432432427</v>
      </c>
      <c r="K138" s="164"/>
      <c r="L138" s="163">
        <v>274.12949215702093</v>
      </c>
      <c r="M138" s="164"/>
      <c r="N138" s="163">
        <v>274.12949215702093</v>
      </c>
      <c r="O138" s="164"/>
      <c r="P138" s="151"/>
      <c r="Q138" s="151"/>
      <c r="R138" s="151"/>
      <c r="S138" s="151"/>
      <c r="T138" s="151"/>
      <c r="U138" s="151"/>
      <c r="V138" s="151"/>
      <c r="W138" s="151"/>
      <c r="X138" s="151"/>
      <c r="Y138" s="151"/>
      <c r="Z138" s="151"/>
    </row>
    <row r="139" ht="12.75" customHeight="1">
      <c r="A139" s="151"/>
      <c r="B139" s="125" t="s">
        <v>335</v>
      </c>
      <c r="C139" s="126" t="s">
        <v>336</v>
      </c>
      <c r="D139" s="127" t="s">
        <v>76</v>
      </c>
      <c r="E139" s="151"/>
      <c r="F139" s="163">
        <v>0.0</v>
      </c>
      <c r="G139" s="164"/>
      <c r="H139" s="163">
        <v>0.0</v>
      </c>
      <c r="I139" s="164"/>
      <c r="J139" s="163">
        <v>0.0</v>
      </c>
      <c r="K139" s="164"/>
      <c r="L139" s="163">
        <v>0.0</v>
      </c>
      <c r="M139" s="164"/>
      <c r="N139" s="163">
        <v>0.0</v>
      </c>
      <c r="O139" s="164"/>
      <c r="P139" s="151"/>
      <c r="Q139" s="151"/>
      <c r="R139" s="151"/>
      <c r="S139" s="151"/>
      <c r="T139" s="151"/>
      <c r="U139" s="151"/>
      <c r="V139" s="151"/>
      <c r="W139" s="151"/>
      <c r="X139" s="151"/>
      <c r="Y139" s="151"/>
      <c r="Z139" s="151"/>
    </row>
    <row r="140" ht="12.75" customHeight="1">
      <c r="A140" s="151"/>
      <c r="B140" s="125" t="s">
        <v>337</v>
      </c>
      <c r="C140" s="126" t="s">
        <v>338</v>
      </c>
      <c r="D140" s="127" t="s">
        <v>76</v>
      </c>
      <c r="E140" s="151"/>
      <c r="F140" s="163">
        <v>250.0</v>
      </c>
      <c r="G140" s="164"/>
      <c r="H140" s="163">
        <v>262.5</v>
      </c>
      <c r="I140" s="164"/>
      <c r="J140" s="163">
        <v>275.0</v>
      </c>
      <c r="K140" s="164"/>
      <c r="L140" s="163">
        <v>262.5</v>
      </c>
      <c r="M140" s="164"/>
      <c r="N140" s="163">
        <v>262.5</v>
      </c>
      <c r="O140" s="164"/>
      <c r="P140" s="151"/>
      <c r="Q140" s="151"/>
      <c r="R140" s="151"/>
      <c r="S140" s="151"/>
      <c r="T140" s="151"/>
      <c r="U140" s="151"/>
      <c r="V140" s="151"/>
      <c r="W140" s="151"/>
      <c r="X140" s="151"/>
      <c r="Y140" s="151"/>
      <c r="Z140" s="151"/>
    </row>
    <row r="141" ht="12.75" customHeight="1">
      <c r="A141" s="151"/>
      <c r="B141" s="125" t="s">
        <v>339</v>
      </c>
      <c r="C141" s="126" t="s">
        <v>340</v>
      </c>
      <c r="D141" s="127" t="s">
        <v>180</v>
      </c>
      <c r="E141" s="151"/>
      <c r="F141" s="163">
        <v>79.77188873372094</v>
      </c>
      <c r="G141" s="164"/>
      <c r="H141" s="163">
        <v>73.12729901686048</v>
      </c>
      <c r="I141" s="164"/>
      <c r="J141" s="163">
        <v>66.4827093</v>
      </c>
      <c r="K141" s="164"/>
      <c r="L141" s="163">
        <v>73.12729901686048</v>
      </c>
      <c r="M141" s="164"/>
      <c r="N141" s="163">
        <v>73.12729901686048</v>
      </c>
      <c r="O141" s="164"/>
      <c r="P141" s="151"/>
      <c r="Q141" s="151"/>
      <c r="R141" s="151"/>
      <c r="S141" s="151"/>
      <c r="T141" s="151"/>
      <c r="U141" s="151"/>
      <c r="V141" s="151"/>
      <c r="W141" s="151"/>
      <c r="X141" s="151"/>
      <c r="Y141" s="151"/>
      <c r="Z141" s="151"/>
    </row>
    <row r="142" ht="12.75" customHeight="1">
      <c r="A142" s="151"/>
      <c r="B142" s="125" t="s">
        <v>341</v>
      </c>
      <c r="C142" s="126" t="s">
        <v>342</v>
      </c>
      <c r="D142" s="127" t="s">
        <v>180</v>
      </c>
      <c r="E142" s="151"/>
      <c r="F142" s="163">
        <v>38.0</v>
      </c>
      <c r="G142" s="164"/>
      <c r="H142" s="163">
        <v>35.92998307</v>
      </c>
      <c r="I142" s="164"/>
      <c r="J142" s="163">
        <v>33.85996614</v>
      </c>
      <c r="K142" s="164"/>
      <c r="L142" s="163">
        <v>35.92998307</v>
      </c>
      <c r="M142" s="164"/>
      <c r="N142" s="163">
        <v>35.92998307</v>
      </c>
      <c r="O142" s="164"/>
      <c r="P142" s="151"/>
      <c r="Q142" s="151"/>
      <c r="R142" s="151"/>
      <c r="S142" s="151"/>
      <c r="T142" s="151"/>
      <c r="U142" s="151"/>
      <c r="V142" s="151"/>
      <c r="W142" s="151"/>
      <c r="X142" s="151"/>
      <c r="Y142" s="151"/>
      <c r="Z142" s="151"/>
    </row>
    <row r="143" ht="12.75" customHeight="1">
      <c r="A143" s="151"/>
      <c r="B143" s="125" t="s">
        <v>343</v>
      </c>
      <c r="C143" s="126" t="s">
        <v>344</v>
      </c>
      <c r="D143" s="127" t="s">
        <v>180</v>
      </c>
      <c r="E143" s="151"/>
      <c r="F143" s="163">
        <v>48.79782352660916</v>
      </c>
      <c r="G143" s="164"/>
      <c r="H143" s="163">
        <v>52.38779556579141</v>
      </c>
      <c r="I143" s="164"/>
      <c r="J143" s="163">
        <v>55.977767604973664</v>
      </c>
      <c r="K143" s="164"/>
      <c r="L143" s="163">
        <v>52.38779556579141</v>
      </c>
      <c r="M143" s="164"/>
      <c r="N143" s="163">
        <v>52.38779556579141</v>
      </c>
      <c r="O143" s="164"/>
      <c r="P143" s="151"/>
      <c r="Q143" s="151"/>
      <c r="R143" s="151"/>
      <c r="S143" s="151"/>
      <c r="T143" s="151"/>
      <c r="U143" s="151"/>
      <c r="V143" s="151"/>
      <c r="W143" s="151"/>
      <c r="X143" s="151"/>
      <c r="Y143" s="151"/>
      <c r="Z143" s="151"/>
    </row>
    <row r="144" ht="12.75" customHeight="1">
      <c r="A144" s="151"/>
      <c r="B144" s="125" t="s">
        <v>345</v>
      </c>
      <c r="C144" s="126" t="s">
        <v>346</v>
      </c>
      <c r="D144" s="127" t="s">
        <v>180</v>
      </c>
      <c r="E144" s="151"/>
      <c r="F144" s="163">
        <v>48.79782352660915</v>
      </c>
      <c r="G144" s="164"/>
      <c r="H144" s="163">
        <v>53.21327416641775</v>
      </c>
      <c r="I144" s="164"/>
      <c r="J144" s="163">
        <v>57.62872480622634</v>
      </c>
      <c r="K144" s="164"/>
      <c r="L144" s="163">
        <v>53.21327416641775</v>
      </c>
      <c r="M144" s="164"/>
      <c r="N144" s="163">
        <v>53.21327416641775</v>
      </c>
      <c r="O144" s="164"/>
      <c r="P144" s="151"/>
      <c r="Q144" s="151"/>
      <c r="R144" s="151"/>
      <c r="S144" s="151"/>
      <c r="T144" s="151"/>
      <c r="U144" s="151"/>
      <c r="V144" s="151"/>
      <c r="W144" s="151"/>
      <c r="X144" s="151"/>
      <c r="Y144" s="151"/>
      <c r="Z144" s="151"/>
    </row>
    <row r="145" ht="12.75" customHeight="1">
      <c r="A145" s="151"/>
      <c r="B145" s="125" t="s">
        <v>347</v>
      </c>
      <c r="C145" s="126" t="s">
        <v>348</v>
      </c>
      <c r="D145" s="127" t="s">
        <v>180</v>
      </c>
      <c r="E145" s="151"/>
      <c r="F145" s="163">
        <v>54.45</v>
      </c>
      <c r="G145" s="164"/>
      <c r="H145" s="163">
        <v>54.45</v>
      </c>
      <c r="I145" s="164"/>
      <c r="J145" s="163">
        <v>54.45</v>
      </c>
      <c r="K145" s="164"/>
      <c r="L145" s="163">
        <v>54.45</v>
      </c>
      <c r="M145" s="164"/>
      <c r="N145" s="163">
        <v>54.45</v>
      </c>
      <c r="O145" s="164"/>
      <c r="P145" s="151"/>
      <c r="Q145" s="151"/>
      <c r="R145" s="151"/>
      <c r="S145" s="151"/>
      <c r="T145" s="151"/>
      <c r="U145" s="151"/>
      <c r="V145" s="151"/>
      <c r="W145" s="151"/>
      <c r="X145" s="151"/>
      <c r="Y145" s="151"/>
      <c r="Z145" s="151"/>
    </row>
    <row r="146" ht="12.75" customHeight="1">
      <c r="A146" s="151"/>
      <c r="B146" s="125" t="s">
        <v>349</v>
      </c>
      <c r="C146" s="126" t="s">
        <v>350</v>
      </c>
      <c r="D146" s="127" t="s">
        <v>180</v>
      </c>
      <c r="E146" s="151"/>
      <c r="F146" s="163">
        <v>129.09</v>
      </c>
      <c r="G146" s="164"/>
      <c r="H146" s="163">
        <v>129.09</v>
      </c>
      <c r="I146" s="164"/>
      <c r="J146" s="163">
        <v>129.09</v>
      </c>
      <c r="K146" s="164"/>
      <c r="L146" s="163">
        <v>129.09</v>
      </c>
      <c r="M146" s="164"/>
      <c r="N146" s="163">
        <v>129.09</v>
      </c>
      <c r="O146" s="164"/>
      <c r="P146" s="151"/>
      <c r="Q146" s="151"/>
      <c r="R146" s="151"/>
      <c r="S146" s="151"/>
      <c r="T146" s="151"/>
      <c r="U146" s="151"/>
      <c r="V146" s="151"/>
      <c r="W146" s="151"/>
      <c r="X146" s="151"/>
      <c r="Y146" s="151"/>
      <c r="Z146" s="151"/>
    </row>
    <row r="147" ht="12.75" customHeight="1">
      <c r="A147" s="151"/>
      <c r="B147" s="125" t="s">
        <v>351</v>
      </c>
      <c r="C147" s="126" t="s">
        <v>352</v>
      </c>
      <c r="D147" s="127" t="s">
        <v>180</v>
      </c>
      <c r="E147" s="151"/>
      <c r="F147" s="163">
        <v>150.0</v>
      </c>
      <c r="G147" s="164"/>
      <c r="H147" s="163">
        <v>151.975</v>
      </c>
      <c r="I147" s="164"/>
      <c r="J147" s="163">
        <v>153.95</v>
      </c>
      <c r="K147" s="164"/>
      <c r="L147" s="163">
        <v>151.975</v>
      </c>
      <c r="M147" s="164"/>
      <c r="N147" s="163">
        <v>151.975</v>
      </c>
      <c r="O147" s="164"/>
      <c r="P147" s="151"/>
      <c r="Q147" s="151"/>
      <c r="R147" s="151"/>
      <c r="S147" s="151"/>
      <c r="T147" s="151"/>
      <c r="U147" s="151"/>
      <c r="V147" s="151"/>
      <c r="W147" s="151"/>
      <c r="X147" s="151"/>
      <c r="Y147" s="151"/>
      <c r="Z147" s="151"/>
    </row>
    <row r="148" ht="12.75" customHeight="1">
      <c r="A148" s="151"/>
      <c r="B148" s="125" t="s">
        <v>353</v>
      </c>
      <c r="C148" s="126" t="s">
        <v>354</v>
      </c>
      <c r="D148" s="127" t="s">
        <v>76</v>
      </c>
      <c r="E148" s="151"/>
      <c r="F148" s="163">
        <v>204.96954598423335</v>
      </c>
      <c r="G148" s="164"/>
      <c r="H148" s="163">
        <v>188.9763830921167</v>
      </c>
      <c r="I148" s="164"/>
      <c r="J148" s="163">
        <v>172.98322019999998</v>
      </c>
      <c r="K148" s="164"/>
      <c r="L148" s="163">
        <v>188.9763830921167</v>
      </c>
      <c r="M148" s="164"/>
      <c r="N148" s="163">
        <v>188.9763830921167</v>
      </c>
      <c r="O148" s="164"/>
      <c r="P148" s="151"/>
      <c r="Q148" s="151"/>
      <c r="R148" s="151"/>
      <c r="S148" s="151"/>
      <c r="T148" s="151"/>
      <c r="U148" s="151"/>
      <c r="V148" s="151"/>
      <c r="W148" s="151"/>
      <c r="X148" s="151"/>
      <c r="Y148" s="151"/>
      <c r="Z148" s="151"/>
    </row>
    <row r="149" ht="12.75" customHeight="1">
      <c r="A149" s="151"/>
      <c r="B149" s="125" t="s">
        <v>355</v>
      </c>
      <c r="C149" s="126" t="s">
        <v>356</v>
      </c>
      <c r="D149" s="127" t="s">
        <v>180</v>
      </c>
      <c r="E149" s="151"/>
      <c r="F149" s="163">
        <v>49.04</v>
      </c>
      <c r="G149" s="164"/>
      <c r="H149" s="163">
        <v>53.519999999999996</v>
      </c>
      <c r="I149" s="164"/>
      <c r="J149" s="163">
        <v>58.0</v>
      </c>
      <c r="K149" s="164"/>
      <c r="L149" s="163">
        <v>53.519999999999996</v>
      </c>
      <c r="M149" s="164"/>
      <c r="N149" s="163">
        <v>53.519999999999996</v>
      </c>
      <c r="O149" s="164"/>
      <c r="P149" s="151"/>
      <c r="Q149" s="151"/>
      <c r="R149" s="151"/>
      <c r="S149" s="151"/>
      <c r="T149" s="151"/>
      <c r="U149" s="151"/>
      <c r="V149" s="151"/>
      <c r="W149" s="151"/>
      <c r="X149" s="151"/>
      <c r="Y149" s="151"/>
      <c r="Z149" s="151"/>
    </row>
    <row r="150" ht="12.75" customHeight="1">
      <c r="A150" s="151"/>
      <c r="B150" s="125" t="s">
        <v>357</v>
      </c>
      <c r="C150" s="126" t="s">
        <v>358</v>
      </c>
      <c r="D150" s="127" t="s">
        <v>76</v>
      </c>
      <c r="E150" s="151"/>
      <c r="F150" s="163">
        <v>341.29</v>
      </c>
      <c r="G150" s="164"/>
      <c r="H150" s="163">
        <v>341.29</v>
      </c>
      <c r="I150" s="164"/>
      <c r="J150" s="163">
        <v>341.29</v>
      </c>
      <c r="K150" s="164"/>
      <c r="L150" s="163">
        <v>341.29</v>
      </c>
      <c r="M150" s="164"/>
      <c r="N150" s="163">
        <v>341.29</v>
      </c>
      <c r="O150" s="164"/>
      <c r="P150" s="151"/>
      <c r="Q150" s="151"/>
      <c r="R150" s="151"/>
      <c r="S150" s="151"/>
      <c r="T150" s="151"/>
      <c r="U150" s="151"/>
      <c r="V150" s="151"/>
      <c r="W150" s="151"/>
      <c r="X150" s="151"/>
      <c r="Y150" s="151"/>
      <c r="Z150" s="151"/>
    </row>
    <row r="151" ht="12.75" customHeight="1">
      <c r="A151" s="151"/>
      <c r="B151" s="125" t="s">
        <v>359</v>
      </c>
      <c r="C151" s="126" t="s">
        <v>360</v>
      </c>
      <c r="D151" s="127" t="s">
        <v>180</v>
      </c>
      <c r="E151" s="151"/>
      <c r="F151" s="163">
        <v>49.04</v>
      </c>
      <c r="G151" s="164"/>
      <c r="H151" s="163">
        <v>57.688</v>
      </c>
      <c r="I151" s="164"/>
      <c r="J151" s="163">
        <v>66.336</v>
      </c>
      <c r="K151" s="164"/>
      <c r="L151" s="163">
        <v>57.688</v>
      </c>
      <c r="M151" s="164"/>
      <c r="N151" s="163">
        <v>57.688</v>
      </c>
      <c r="O151" s="164"/>
      <c r="P151" s="151"/>
      <c r="Q151" s="151"/>
      <c r="R151" s="151"/>
      <c r="S151" s="151"/>
      <c r="T151" s="151"/>
      <c r="U151" s="151"/>
      <c r="V151" s="151"/>
      <c r="W151" s="151"/>
      <c r="X151" s="151"/>
      <c r="Y151" s="151"/>
      <c r="Z151" s="151"/>
    </row>
    <row r="152" ht="12.75" customHeight="1">
      <c r="A152" s="151"/>
      <c r="B152" s="113" t="s">
        <v>361</v>
      </c>
      <c r="C152" s="114" t="s">
        <v>362</v>
      </c>
      <c r="D152" s="115"/>
      <c r="E152" s="151"/>
      <c r="F152" s="161"/>
      <c r="G152" s="162"/>
      <c r="H152" s="161"/>
      <c r="I152" s="162"/>
      <c r="J152" s="161"/>
      <c r="K152" s="162"/>
      <c r="L152" s="161"/>
      <c r="M152" s="162"/>
      <c r="N152" s="161"/>
      <c r="O152" s="162"/>
      <c r="P152" s="151"/>
      <c r="Q152" s="151"/>
      <c r="R152" s="151"/>
      <c r="S152" s="151"/>
      <c r="T152" s="151"/>
      <c r="U152" s="151"/>
      <c r="V152" s="151"/>
      <c r="W152" s="151"/>
      <c r="X152" s="151"/>
      <c r="Y152" s="151"/>
      <c r="Z152" s="151"/>
    </row>
    <row r="153" ht="12.75" customHeight="1">
      <c r="A153" s="151"/>
      <c r="B153" s="125" t="s">
        <v>363</v>
      </c>
      <c r="C153" s="126" t="s">
        <v>364</v>
      </c>
      <c r="D153" s="127" t="s">
        <v>142</v>
      </c>
      <c r="E153" s="151"/>
      <c r="F153" s="163">
        <v>108.0</v>
      </c>
      <c r="G153" s="164"/>
      <c r="H153" s="163">
        <v>105.84</v>
      </c>
      <c r="I153" s="164"/>
      <c r="J153" s="163">
        <v>103.68</v>
      </c>
      <c r="K153" s="164"/>
      <c r="L153" s="163">
        <v>105.84</v>
      </c>
      <c r="M153" s="164"/>
      <c r="N153" s="163">
        <v>105.84</v>
      </c>
      <c r="O153" s="164"/>
      <c r="P153" s="151"/>
      <c r="Q153" s="151"/>
      <c r="R153" s="151"/>
      <c r="S153" s="151"/>
      <c r="T153" s="151"/>
      <c r="U153" s="151"/>
      <c r="V153" s="151"/>
      <c r="W153" s="151"/>
      <c r="X153" s="151"/>
      <c r="Y153" s="151"/>
      <c r="Z153" s="151"/>
    </row>
    <row r="154" ht="12.75" customHeight="1">
      <c r="A154" s="151"/>
      <c r="B154" s="125" t="s">
        <v>365</v>
      </c>
      <c r="C154" s="126" t="s">
        <v>366</v>
      </c>
      <c r="D154" s="127" t="s">
        <v>142</v>
      </c>
      <c r="E154" s="151"/>
      <c r="F154" s="163">
        <v>45.0</v>
      </c>
      <c r="G154" s="164"/>
      <c r="H154" s="163">
        <v>46.8</v>
      </c>
      <c r="I154" s="164"/>
      <c r="J154" s="163">
        <v>48.6</v>
      </c>
      <c r="K154" s="164"/>
      <c r="L154" s="163">
        <v>46.8</v>
      </c>
      <c r="M154" s="164"/>
      <c r="N154" s="163">
        <v>46.8</v>
      </c>
      <c r="O154" s="164"/>
      <c r="P154" s="151"/>
      <c r="Q154" s="151"/>
      <c r="R154" s="151"/>
      <c r="S154" s="151"/>
      <c r="T154" s="151"/>
      <c r="U154" s="151"/>
      <c r="V154" s="151"/>
      <c r="W154" s="151"/>
      <c r="X154" s="151"/>
      <c r="Y154" s="151"/>
      <c r="Z154" s="151"/>
    </row>
    <row r="155" ht="12.75" customHeight="1">
      <c r="A155" s="151"/>
      <c r="B155" s="125" t="s">
        <v>367</v>
      </c>
      <c r="C155" s="126" t="s">
        <v>368</v>
      </c>
      <c r="D155" s="127" t="s">
        <v>142</v>
      </c>
      <c r="E155" s="151"/>
      <c r="F155" s="163">
        <v>206.9248</v>
      </c>
      <c r="G155" s="164"/>
      <c r="H155" s="163">
        <v>191.1424</v>
      </c>
      <c r="I155" s="164"/>
      <c r="J155" s="163">
        <v>175.36</v>
      </c>
      <c r="K155" s="164"/>
      <c r="L155" s="163">
        <v>191.1424</v>
      </c>
      <c r="M155" s="164"/>
      <c r="N155" s="163">
        <v>191.1424</v>
      </c>
      <c r="O155" s="164"/>
      <c r="P155" s="151"/>
      <c r="Q155" s="151"/>
      <c r="R155" s="151"/>
      <c r="S155" s="151"/>
      <c r="T155" s="151"/>
      <c r="U155" s="151"/>
      <c r="V155" s="151"/>
      <c r="W155" s="151"/>
      <c r="X155" s="151"/>
      <c r="Y155" s="151"/>
      <c r="Z155" s="151"/>
    </row>
    <row r="156" ht="12.75" customHeight="1">
      <c r="A156" s="151"/>
      <c r="B156" s="125" t="s">
        <v>369</v>
      </c>
      <c r="C156" s="126" t="s">
        <v>370</v>
      </c>
      <c r="D156" s="127" t="s">
        <v>142</v>
      </c>
      <c r="E156" s="151"/>
      <c r="F156" s="163">
        <v>197.93631182420302</v>
      </c>
      <c r="G156" s="164"/>
      <c r="H156" s="163">
        <v>162.75584212435152</v>
      </c>
      <c r="I156" s="164"/>
      <c r="J156" s="163">
        <v>127.57537242450002</v>
      </c>
      <c r="K156" s="164"/>
      <c r="L156" s="163">
        <v>162.75584212435152</v>
      </c>
      <c r="M156" s="164"/>
      <c r="N156" s="163">
        <v>162.75584212435152</v>
      </c>
      <c r="O156" s="164"/>
      <c r="P156" s="151"/>
      <c r="Q156" s="151"/>
      <c r="R156" s="151"/>
      <c r="S156" s="151"/>
      <c r="T156" s="151"/>
      <c r="U156" s="151"/>
      <c r="V156" s="151"/>
      <c r="W156" s="151"/>
      <c r="X156" s="151"/>
      <c r="Y156" s="151"/>
      <c r="Z156" s="151"/>
    </row>
    <row r="157" ht="12.75" customHeight="1">
      <c r="A157" s="151"/>
      <c r="B157" s="125" t="s">
        <v>371</v>
      </c>
      <c r="C157" s="126" t="s">
        <v>372</v>
      </c>
      <c r="D157" s="127" t="s">
        <v>180</v>
      </c>
      <c r="E157" s="151"/>
      <c r="F157" s="163">
        <v>8.496932515337424</v>
      </c>
      <c r="G157" s="164"/>
      <c r="H157" s="163">
        <v>8.403466257668713</v>
      </c>
      <c r="I157" s="164"/>
      <c r="J157" s="163">
        <v>8.31</v>
      </c>
      <c r="K157" s="164"/>
      <c r="L157" s="163">
        <v>8.403466257668713</v>
      </c>
      <c r="M157" s="164"/>
      <c r="N157" s="163">
        <v>8.403466257668713</v>
      </c>
      <c r="O157" s="164"/>
      <c r="P157" s="151"/>
      <c r="Q157" s="151"/>
      <c r="R157" s="151"/>
      <c r="S157" s="151"/>
      <c r="T157" s="151"/>
      <c r="U157" s="151"/>
      <c r="V157" s="151"/>
      <c r="W157" s="151"/>
      <c r="X157" s="151"/>
      <c r="Y157" s="151"/>
      <c r="Z157" s="151"/>
    </row>
    <row r="158" ht="12.75" customHeight="1">
      <c r="A158" s="151"/>
      <c r="B158" s="125" t="s">
        <v>373</v>
      </c>
      <c r="C158" s="126" t="s">
        <v>374</v>
      </c>
      <c r="D158" s="127" t="s">
        <v>76</v>
      </c>
      <c r="E158" s="151"/>
      <c r="F158" s="163">
        <v>20.4</v>
      </c>
      <c r="G158" s="164"/>
      <c r="H158" s="163">
        <v>21.42</v>
      </c>
      <c r="I158" s="164"/>
      <c r="J158" s="163">
        <v>22.44</v>
      </c>
      <c r="K158" s="164"/>
      <c r="L158" s="163">
        <v>21.42</v>
      </c>
      <c r="M158" s="164"/>
      <c r="N158" s="163">
        <v>21.42</v>
      </c>
      <c r="O158" s="164"/>
      <c r="P158" s="151"/>
      <c r="Q158" s="151"/>
      <c r="R158" s="151"/>
      <c r="S158" s="151"/>
      <c r="T158" s="151"/>
      <c r="U158" s="151"/>
      <c r="V158" s="151"/>
      <c r="W158" s="151"/>
      <c r="X158" s="151"/>
      <c r="Y158" s="151"/>
      <c r="Z158" s="151"/>
    </row>
    <row r="159" ht="12.75" customHeight="1">
      <c r="A159" s="151"/>
      <c r="B159" s="125" t="s">
        <v>375</v>
      </c>
      <c r="C159" s="126" t="s">
        <v>376</v>
      </c>
      <c r="D159" s="127" t="s">
        <v>76</v>
      </c>
      <c r="E159" s="151"/>
      <c r="F159" s="163">
        <v>116.97214037525521</v>
      </c>
      <c r="G159" s="164"/>
      <c r="H159" s="163">
        <v>121.65396518762759</v>
      </c>
      <c r="I159" s="164"/>
      <c r="J159" s="163">
        <v>126.33579</v>
      </c>
      <c r="K159" s="164"/>
      <c r="L159" s="163">
        <v>121.65396518762759</v>
      </c>
      <c r="M159" s="164"/>
      <c r="N159" s="163">
        <v>121.65396518762759</v>
      </c>
      <c r="O159" s="164"/>
      <c r="P159" s="151"/>
      <c r="Q159" s="151"/>
      <c r="R159" s="151"/>
      <c r="S159" s="151"/>
      <c r="T159" s="151"/>
      <c r="U159" s="151"/>
      <c r="V159" s="151"/>
      <c r="W159" s="151"/>
      <c r="X159" s="151"/>
      <c r="Y159" s="151"/>
      <c r="Z159" s="151"/>
    </row>
    <row r="160" ht="12.75" customHeight="1">
      <c r="A160" s="151"/>
      <c r="B160" s="125" t="s">
        <v>377</v>
      </c>
      <c r="C160" s="126" t="s">
        <v>378</v>
      </c>
      <c r="D160" s="127" t="s">
        <v>76</v>
      </c>
      <c r="E160" s="151"/>
      <c r="F160" s="163">
        <v>149.35</v>
      </c>
      <c r="G160" s="164"/>
      <c r="H160" s="163">
        <v>149.35</v>
      </c>
      <c r="I160" s="164"/>
      <c r="J160" s="163">
        <v>149.35</v>
      </c>
      <c r="K160" s="164"/>
      <c r="L160" s="163">
        <v>149.35</v>
      </c>
      <c r="M160" s="164"/>
      <c r="N160" s="163">
        <v>149.35</v>
      </c>
      <c r="O160" s="164"/>
      <c r="P160" s="151"/>
      <c r="Q160" s="151"/>
      <c r="R160" s="151"/>
      <c r="S160" s="151"/>
      <c r="T160" s="151"/>
      <c r="U160" s="151"/>
      <c r="V160" s="151"/>
      <c r="W160" s="151"/>
      <c r="X160" s="151"/>
      <c r="Y160" s="151"/>
      <c r="Z160" s="151"/>
    </row>
    <row r="161" ht="12.75" customHeight="1">
      <c r="A161" s="151"/>
      <c r="B161" s="125" t="s">
        <v>379</v>
      </c>
      <c r="C161" s="126" t="s">
        <v>380</v>
      </c>
      <c r="D161" s="127" t="s">
        <v>76</v>
      </c>
      <c r="E161" s="151"/>
      <c r="F161" s="163">
        <v>154.74</v>
      </c>
      <c r="G161" s="164"/>
      <c r="H161" s="163">
        <v>154.74</v>
      </c>
      <c r="I161" s="164"/>
      <c r="J161" s="163">
        <v>154.74</v>
      </c>
      <c r="K161" s="164"/>
      <c r="L161" s="163">
        <v>154.74</v>
      </c>
      <c r="M161" s="164"/>
      <c r="N161" s="163">
        <v>154.74</v>
      </c>
      <c r="O161" s="164"/>
      <c r="P161" s="151"/>
      <c r="Q161" s="151"/>
      <c r="R161" s="151"/>
      <c r="S161" s="151"/>
      <c r="T161" s="151"/>
      <c r="U161" s="151"/>
      <c r="V161" s="151"/>
      <c r="W161" s="151"/>
      <c r="X161" s="151"/>
      <c r="Y161" s="151"/>
      <c r="Z161" s="151"/>
    </row>
    <row r="162" ht="12.75" customHeight="1">
      <c r="A162" s="151"/>
      <c r="B162" s="125" t="s">
        <v>381</v>
      </c>
      <c r="C162" s="126" t="s">
        <v>382</v>
      </c>
      <c r="D162" s="127" t="s">
        <v>76</v>
      </c>
      <c r="E162" s="151"/>
      <c r="F162" s="163">
        <v>134.74</v>
      </c>
      <c r="G162" s="164"/>
      <c r="H162" s="163">
        <v>155.995</v>
      </c>
      <c r="I162" s="164"/>
      <c r="J162" s="163">
        <v>177.25</v>
      </c>
      <c r="K162" s="164"/>
      <c r="L162" s="163">
        <v>155.995</v>
      </c>
      <c r="M162" s="164"/>
      <c r="N162" s="163">
        <v>155.995</v>
      </c>
      <c r="O162" s="164"/>
      <c r="P162" s="151"/>
      <c r="Q162" s="151"/>
      <c r="R162" s="151"/>
      <c r="S162" s="151"/>
      <c r="T162" s="151"/>
      <c r="U162" s="151"/>
      <c r="V162" s="151"/>
      <c r="W162" s="151"/>
      <c r="X162" s="151"/>
      <c r="Y162" s="151"/>
      <c r="Z162" s="151"/>
    </row>
    <row r="163" ht="12.75" customHeight="1">
      <c r="A163" s="151"/>
      <c r="B163" s="125" t="s">
        <v>383</v>
      </c>
      <c r="C163" s="126" t="s">
        <v>384</v>
      </c>
      <c r="D163" s="127" t="s">
        <v>76</v>
      </c>
      <c r="E163" s="151"/>
      <c r="F163" s="163">
        <v>94.25</v>
      </c>
      <c r="G163" s="164"/>
      <c r="H163" s="163">
        <v>98.02000000000001</v>
      </c>
      <c r="I163" s="164"/>
      <c r="J163" s="163">
        <v>101.79</v>
      </c>
      <c r="K163" s="164"/>
      <c r="L163" s="163">
        <v>98.02000000000001</v>
      </c>
      <c r="M163" s="164"/>
      <c r="N163" s="163">
        <v>98.02000000000001</v>
      </c>
      <c r="O163" s="164"/>
      <c r="P163" s="151"/>
      <c r="Q163" s="151"/>
      <c r="R163" s="151"/>
      <c r="S163" s="151"/>
      <c r="T163" s="151"/>
      <c r="U163" s="151"/>
      <c r="V163" s="151"/>
      <c r="W163" s="151"/>
      <c r="X163" s="151"/>
      <c r="Y163" s="151"/>
      <c r="Z163" s="151"/>
    </row>
    <row r="164" ht="12.75" customHeight="1">
      <c r="A164" s="151"/>
      <c r="B164" s="125" t="s">
        <v>385</v>
      </c>
      <c r="C164" s="126" t="s">
        <v>386</v>
      </c>
      <c r="D164" s="127" t="s">
        <v>120</v>
      </c>
      <c r="E164" s="151"/>
      <c r="F164" s="163">
        <v>180.55069803776212</v>
      </c>
      <c r="G164" s="164"/>
      <c r="H164" s="163">
        <v>187.7753490188811</v>
      </c>
      <c r="I164" s="164"/>
      <c r="J164" s="163">
        <v>195.0</v>
      </c>
      <c r="K164" s="164"/>
      <c r="L164" s="163">
        <v>187.7753490188811</v>
      </c>
      <c r="M164" s="164"/>
      <c r="N164" s="163">
        <v>187.7753490188811</v>
      </c>
      <c r="O164" s="164"/>
      <c r="P164" s="151"/>
      <c r="Q164" s="151"/>
      <c r="R164" s="151"/>
      <c r="S164" s="151"/>
      <c r="T164" s="151"/>
      <c r="U164" s="151"/>
      <c r="V164" s="151"/>
      <c r="W164" s="151"/>
      <c r="X164" s="151"/>
      <c r="Y164" s="151"/>
      <c r="Z164" s="151"/>
    </row>
    <row r="165" ht="12.75" customHeight="1">
      <c r="A165" s="151"/>
      <c r="B165" s="125" t="s">
        <v>387</v>
      </c>
      <c r="C165" s="126" t="s">
        <v>388</v>
      </c>
      <c r="D165" s="127" t="s">
        <v>76</v>
      </c>
      <c r="E165" s="151"/>
      <c r="F165" s="163">
        <v>152.21661401063392</v>
      </c>
      <c r="G165" s="164"/>
      <c r="H165" s="163">
        <v>147.37943700531693</v>
      </c>
      <c r="I165" s="164"/>
      <c r="J165" s="163">
        <v>142.54226</v>
      </c>
      <c r="K165" s="164"/>
      <c r="L165" s="163">
        <v>147.37943700531693</v>
      </c>
      <c r="M165" s="164"/>
      <c r="N165" s="163">
        <v>147.37943700531693</v>
      </c>
      <c r="O165" s="164"/>
      <c r="P165" s="151"/>
      <c r="Q165" s="151"/>
      <c r="R165" s="151"/>
      <c r="S165" s="151"/>
      <c r="T165" s="151"/>
      <c r="U165" s="151"/>
      <c r="V165" s="151"/>
      <c r="W165" s="151"/>
      <c r="X165" s="151"/>
      <c r="Y165" s="151"/>
      <c r="Z165" s="151"/>
    </row>
    <row r="166" ht="12.75" customHeight="1">
      <c r="A166" s="151"/>
      <c r="B166" s="125" t="s">
        <v>389</v>
      </c>
      <c r="C166" s="126" t="s">
        <v>390</v>
      </c>
      <c r="D166" s="127" t="s">
        <v>76</v>
      </c>
      <c r="E166" s="151"/>
      <c r="F166" s="163">
        <v>100.53356013320564</v>
      </c>
      <c r="G166" s="164"/>
      <c r="H166" s="163">
        <v>98.78518006660282</v>
      </c>
      <c r="I166" s="164"/>
      <c r="J166" s="163">
        <v>97.0368</v>
      </c>
      <c r="K166" s="164"/>
      <c r="L166" s="163">
        <v>98.78518006660282</v>
      </c>
      <c r="M166" s="164"/>
      <c r="N166" s="163">
        <v>98.78518006660282</v>
      </c>
      <c r="O166" s="164"/>
      <c r="P166" s="151"/>
      <c r="Q166" s="151"/>
      <c r="R166" s="151"/>
      <c r="S166" s="151"/>
      <c r="T166" s="151"/>
      <c r="U166" s="151"/>
      <c r="V166" s="151"/>
      <c r="W166" s="151"/>
      <c r="X166" s="151"/>
      <c r="Y166" s="151"/>
      <c r="Z166" s="151"/>
    </row>
    <row r="167" ht="12.75" customHeight="1">
      <c r="A167" s="151"/>
      <c r="B167" s="125" t="s">
        <v>391</v>
      </c>
      <c r="C167" s="126" t="s">
        <v>392</v>
      </c>
      <c r="D167" s="127" t="s">
        <v>76</v>
      </c>
      <c r="E167" s="151"/>
      <c r="F167" s="163">
        <v>110.89872496870412</v>
      </c>
      <c r="G167" s="164"/>
      <c r="H167" s="163">
        <v>115.59936248435206</v>
      </c>
      <c r="I167" s="164"/>
      <c r="J167" s="163">
        <v>120.3</v>
      </c>
      <c r="K167" s="164"/>
      <c r="L167" s="163">
        <v>115.59936248435206</v>
      </c>
      <c r="M167" s="164"/>
      <c r="N167" s="163">
        <v>115.59936248435206</v>
      </c>
      <c r="O167" s="164"/>
      <c r="P167" s="151"/>
      <c r="Q167" s="151"/>
      <c r="R167" s="151"/>
      <c r="S167" s="151"/>
      <c r="T167" s="151"/>
      <c r="U167" s="151"/>
      <c r="V167" s="151"/>
      <c r="W167" s="151"/>
      <c r="X167" s="151"/>
      <c r="Y167" s="151"/>
      <c r="Z167" s="151"/>
    </row>
    <row r="168" ht="12.75" customHeight="1">
      <c r="A168" s="151"/>
      <c r="B168" s="125" t="s">
        <v>393</v>
      </c>
      <c r="C168" s="126" t="s">
        <v>394</v>
      </c>
      <c r="D168" s="127" t="s">
        <v>76</v>
      </c>
      <c r="E168" s="151"/>
      <c r="F168" s="163">
        <v>119.93940000000002</v>
      </c>
      <c r="G168" s="164"/>
      <c r="H168" s="163">
        <v>125.93637000000004</v>
      </c>
      <c r="I168" s="164"/>
      <c r="J168" s="163">
        <v>131.93334000000004</v>
      </c>
      <c r="K168" s="164"/>
      <c r="L168" s="163">
        <v>125.93637000000004</v>
      </c>
      <c r="M168" s="164"/>
      <c r="N168" s="163">
        <v>125.93637000000004</v>
      </c>
      <c r="O168" s="164"/>
      <c r="P168" s="151"/>
      <c r="Q168" s="151"/>
      <c r="R168" s="151"/>
      <c r="S168" s="151"/>
      <c r="T168" s="151"/>
      <c r="U168" s="151"/>
      <c r="V168" s="151"/>
      <c r="W168" s="151"/>
      <c r="X168" s="151"/>
      <c r="Y168" s="151"/>
      <c r="Z168" s="151"/>
    </row>
    <row r="169" ht="12.75" customHeight="1">
      <c r="A169" s="151"/>
      <c r="B169" s="125" t="s">
        <v>395</v>
      </c>
      <c r="C169" s="126" t="s">
        <v>396</v>
      </c>
      <c r="D169" s="127" t="s">
        <v>76</v>
      </c>
      <c r="E169" s="151"/>
      <c r="F169" s="163">
        <v>106.205935276694</v>
      </c>
      <c r="G169" s="164"/>
      <c r="H169" s="163">
        <v>106.627967638347</v>
      </c>
      <c r="I169" s="164"/>
      <c r="J169" s="163">
        <v>107.05</v>
      </c>
      <c r="K169" s="164"/>
      <c r="L169" s="163">
        <v>106.627967638347</v>
      </c>
      <c r="M169" s="164"/>
      <c r="N169" s="163">
        <v>106.627967638347</v>
      </c>
      <c r="O169" s="164"/>
      <c r="P169" s="151"/>
      <c r="Q169" s="151"/>
      <c r="R169" s="151"/>
      <c r="S169" s="151"/>
      <c r="T169" s="151"/>
      <c r="U169" s="151"/>
      <c r="V169" s="151"/>
      <c r="W169" s="151"/>
      <c r="X169" s="151"/>
      <c r="Y169" s="151"/>
      <c r="Z169" s="151"/>
    </row>
    <row r="170" ht="12.75" customHeight="1">
      <c r="A170" s="151"/>
      <c r="B170" s="125" t="s">
        <v>397</v>
      </c>
      <c r="C170" s="126" t="s">
        <v>398</v>
      </c>
      <c r="D170" s="127" t="s">
        <v>76</v>
      </c>
      <c r="E170" s="151"/>
      <c r="F170" s="163">
        <v>146.33001055977562</v>
      </c>
      <c r="G170" s="164"/>
      <c r="H170" s="163">
        <v>146.90755527988782</v>
      </c>
      <c r="I170" s="164"/>
      <c r="J170" s="163">
        <v>147.48510000000002</v>
      </c>
      <c r="K170" s="164"/>
      <c r="L170" s="163">
        <v>146.90755527988782</v>
      </c>
      <c r="M170" s="164"/>
      <c r="N170" s="163">
        <v>146.90755527988782</v>
      </c>
      <c r="O170" s="164"/>
      <c r="P170" s="151"/>
      <c r="Q170" s="151"/>
      <c r="R170" s="151"/>
      <c r="S170" s="151"/>
      <c r="T170" s="151"/>
      <c r="U170" s="151"/>
      <c r="V170" s="151"/>
      <c r="W170" s="151"/>
      <c r="X170" s="151"/>
      <c r="Y170" s="151"/>
      <c r="Z170" s="151"/>
    </row>
    <row r="171" ht="12.75" customHeight="1">
      <c r="A171" s="151"/>
      <c r="B171" s="125" t="s">
        <v>399</v>
      </c>
      <c r="C171" s="126" t="s">
        <v>400</v>
      </c>
      <c r="D171" s="127" t="s">
        <v>180</v>
      </c>
      <c r="E171" s="151"/>
      <c r="F171" s="163">
        <v>40.0</v>
      </c>
      <c r="G171" s="164"/>
      <c r="H171" s="163">
        <v>40.66</v>
      </c>
      <c r="I171" s="164"/>
      <c r="J171" s="163">
        <v>41.32</v>
      </c>
      <c r="K171" s="164"/>
      <c r="L171" s="163">
        <v>40.66</v>
      </c>
      <c r="M171" s="164"/>
      <c r="N171" s="163">
        <v>40.66</v>
      </c>
      <c r="O171" s="164"/>
      <c r="P171" s="151"/>
      <c r="Q171" s="151"/>
      <c r="R171" s="151"/>
      <c r="S171" s="151"/>
      <c r="T171" s="151"/>
      <c r="U171" s="151"/>
      <c r="V171" s="151"/>
      <c r="W171" s="151"/>
      <c r="X171" s="151"/>
      <c r="Y171" s="151"/>
      <c r="Z171" s="151"/>
    </row>
    <row r="172" ht="12.75" customHeight="1">
      <c r="A172" s="151"/>
      <c r="B172" s="125" t="s">
        <v>401</v>
      </c>
      <c r="C172" s="126" t="s">
        <v>402</v>
      </c>
      <c r="D172" s="127" t="s">
        <v>180</v>
      </c>
      <c r="E172" s="151"/>
      <c r="F172" s="163">
        <v>60.95833333333334</v>
      </c>
      <c r="G172" s="164"/>
      <c r="H172" s="163">
        <v>63.396666666666675</v>
      </c>
      <c r="I172" s="164"/>
      <c r="J172" s="163">
        <v>65.83500000000001</v>
      </c>
      <c r="K172" s="164"/>
      <c r="L172" s="163">
        <v>63.396666666666675</v>
      </c>
      <c r="M172" s="164"/>
      <c r="N172" s="163">
        <v>63.396666666666675</v>
      </c>
      <c r="O172" s="164"/>
      <c r="P172" s="151"/>
      <c r="Q172" s="151"/>
      <c r="R172" s="151"/>
      <c r="S172" s="151"/>
      <c r="T172" s="151"/>
      <c r="U172" s="151"/>
      <c r="V172" s="151"/>
      <c r="W172" s="151"/>
      <c r="X172" s="151"/>
      <c r="Y172" s="151"/>
      <c r="Z172" s="151"/>
    </row>
    <row r="173" ht="12.75" customHeight="1">
      <c r="A173" s="151"/>
      <c r="B173" s="125" t="s">
        <v>403</v>
      </c>
      <c r="C173" s="126" t="s">
        <v>404</v>
      </c>
      <c r="D173" s="127" t="s">
        <v>180</v>
      </c>
      <c r="E173" s="151"/>
      <c r="F173" s="163">
        <v>40.77054545454545</v>
      </c>
      <c r="G173" s="164"/>
      <c r="H173" s="163">
        <v>42.80907272727273</v>
      </c>
      <c r="I173" s="164"/>
      <c r="J173" s="163">
        <v>44.8476</v>
      </c>
      <c r="K173" s="164"/>
      <c r="L173" s="163">
        <v>42.80907272727273</v>
      </c>
      <c r="M173" s="164"/>
      <c r="N173" s="163">
        <v>42.80907272727273</v>
      </c>
      <c r="O173" s="164"/>
      <c r="P173" s="151"/>
      <c r="Q173" s="151"/>
      <c r="R173" s="151"/>
      <c r="S173" s="151"/>
      <c r="T173" s="151"/>
      <c r="U173" s="151"/>
      <c r="V173" s="151"/>
      <c r="W173" s="151"/>
      <c r="X173" s="151"/>
      <c r="Y173" s="151"/>
      <c r="Z173" s="151"/>
    </row>
    <row r="174" ht="12.75" customHeight="1">
      <c r="A174" s="151"/>
      <c r="B174" s="125" t="s">
        <v>405</v>
      </c>
      <c r="C174" s="126" t="s">
        <v>406</v>
      </c>
      <c r="D174" s="127" t="s">
        <v>180</v>
      </c>
      <c r="E174" s="151"/>
      <c r="F174" s="163">
        <v>34.278924043873516</v>
      </c>
      <c r="G174" s="164"/>
      <c r="H174" s="163">
        <v>31.593741660436752</v>
      </c>
      <c r="I174" s="164"/>
      <c r="J174" s="163">
        <v>28.908559276999995</v>
      </c>
      <c r="K174" s="164"/>
      <c r="L174" s="163">
        <v>31.593741660436752</v>
      </c>
      <c r="M174" s="164"/>
      <c r="N174" s="163">
        <v>31.593741660436752</v>
      </c>
      <c r="O174" s="164"/>
      <c r="P174" s="151"/>
      <c r="Q174" s="151"/>
      <c r="R174" s="151"/>
      <c r="S174" s="151"/>
      <c r="T174" s="151"/>
      <c r="U174" s="151"/>
      <c r="V174" s="151"/>
      <c r="W174" s="151"/>
      <c r="X174" s="151"/>
      <c r="Y174" s="151"/>
      <c r="Z174" s="151"/>
    </row>
    <row r="175" ht="12.75" customHeight="1">
      <c r="A175" s="151"/>
      <c r="B175" s="113" t="s">
        <v>407</v>
      </c>
      <c r="C175" s="114" t="s">
        <v>408</v>
      </c>
      <c r="D175" s="115"/>
      <c r="E175" s="151"/>
      <c r="F175" s="161"/>
      <c r="G175" s="162"/>
      <c r="H175" s="161"/>
      <c r="I175" s="162"/>
      <c r="J175" s="161"/>
      <c r="K175" s="162"/>
      <c r="L175" s="161"/>
      <c r="M175" s="162"/>
      <c r="N175" s="161"/>
      <c r="O175" s="162"/>
      <c r="P175" s="151"/>
      <c r="Q175" s="151"/>
      <c r="R175" s="151"/>
      <c r="S175" s="151"/>
      <c r="T175" s="151"/>
      <c r="U175" s="151"/>
      <c r="V175" s="151"/>
      <c r="W175" s="151"/>
      <c r="X175" s="151"/>
      <c r="Y175" s="151"/>
      <c r="Z175" s="151"/>
    </row>
    <row r="176" ht="12.75" customHeight="1">
      <c r="A176" s="151"/>
      <c r="B176" s="125" t="s">
        <v>409</v>
      </c>
      <c r="C176" s="126" t="s">
        <v>410</v>
      </c>
      <c r="D176" s="127" t="s">
        <v>76</v>
      </c>
      <c r="E176" s="151"/>
      <c r="F176" s="163">
        <v>21.38</v>
      </c>
      <c r="G176" s="164"/>
      <c r="H176" s="163">
        <v>22.2352</v>
      </c>
      <c r="I176" s="164"/>
      <c r="J176" s="163">
        <v>23.0904</v>
      </c>
      <c r="K176" s="164"/>
      <c r="L176" s="163">
        <v>22.2352</v>
      </c>
      <c r="M176" s="164"/>
      <c r="N176" s="163">
        <v>22.2352</v>
      </c>
      <c r="O176" s="164"/>
      <c r="P176" s="151"/>
      <c r="Q176" s="151"/>
      <c r="R176" s="151"/>
      <c r="S176" s="151"/>
      <c r="T176" s="151"/>
      <c r="U176" s="151"/>
      <c r="V176" s="151"/>
      <c r="W176" s="151"/>
      <c r="X176" s="151"/>
      <c r="Y176" s="151"/>
      <c r="Z176" s="151"/>
    </row>
    <row r="177" ht="12.75" customHeight="1">
      <c r="A177" s="151"/>
      <c r="B177" s="125" t="s">
        <v>411</v>
      </c>
      <c r="C177" s="126" t="s">
        <v>412</v>
      </c>
      <c r="D177" s="127" t="s">
        <v>76</v>
      </c>
      <c r="E177" s="151"/>
      <c r="F177" s="163">
        <v>27.84</v>
      </c>
      <c r="G177" s="164"/>
      <c r="H177" s="163">
        <v>28.9536</v>
      </c>
      <c r="I177" s="164"/>
      <c r="J177" s="163">
        <v>30.067200000000003</v>
      </c>
      <c r="K177" s="164"/>
      <c r="L177" s="163">
        <v>28.9536</v>
      </c>
      <c r="M177" s="164"/>
      <c r="N177" s="163">
        <v>28.9536</v>
      </c>
      <c r="O177" s="164"/>
      <c r="P177" s="151"/>
      <c r="Q177" s="151"/>
      <c r="R177" s="151"/>
      <c r="S177" s="151"/>
      <c r="T177" s="151"/>
      <c r="U177" s="151"/>
      <c r="V177" s="151"/>
      <c r="W177" s="151"/>
      <c r="X177" s="151"/>
      <c r="Y177" s="151"/>
      <c r="Z177" s="151"/>
    </row>
    <row r="178" ht="12.75" customHeight="1">
      <c r="A178" s="151"/>
      <c r="B178" s="125" t="s">
        <v>413</v>
      </c>
      <c r="C178" s="126" t="s">
        <v>414</v>
      </c>
      <c r="D178" s="127" t="s">
        <v>76</v>
      </c>
      <c r="E178" s="151"/>
      <c r="F178" s="163">
        <v>28.757418181818178</v>
      </c>
      <c r="G178" s="164"/>
      <c r="H178" s="163">
        <v>30.195289090909093</v>
      </c>
      <c r="I178" s="164"/>
      <c r="J178" s="163">
        <v>31.633160000000004</v>
      </c>
      <c r="K178" s="164"/>
      <c r="L178" s="163">
        <v>30.195289090909093</v>
      </c>
      <c r="M178" s="164"/>
      <c r="N178" s="163">
        <v>30.195289090909093</v>
      </c>
      <c r="O178" s="164"/>
      <c r="P178" s="151"/>
      <c r="Q178" s="151"/>
      <c r="R178" s="151"/>
      <c r="S178" s="151"/>
      <c r="T178" s="151"/>
      <c r="U178" s="151"/>
      <c r="V178" s="151"/>
      <c r="W178" s="151"/>
      <c r="X178" s="151"/>
      <c r="Y178" s="151"/>
      <c r="Z178" s="151"/>
    </row>
    <row r="179" ht="12.75" customHeight="1">
      <c r="A179" s="151"/>
      <c r="B179" s="125" t="s">
        <v>415</v>
      </c>
      <c r="C179" s="126" t="s">
        <v>416</v>
      </c>
      <c r="D179" s="127" t="s">
        <v>76</v>
      </c>
      <c r="E179" s="151"/>
      <c r="F179" s="163">
        <v>83.04741666666668</v>
      </c>
      <c r="G179" s="164"/>
      <c r="H179" s="163">
        <v>86.36931333333334</v>
      </c>
      <c r="I179" s="164"/>
      <c r="J179" s="163">
        <v>89.69121000000001</v>
      </c>
      <c r="K179" s="164"/>
      <c r="L179" s="163">
        <v>86.36931333333334</v>
      </c>
      <c r="M179" s="164"/>
      <c r="N179" s="163">
        <v>86.36931333333334</v>
      </c>
      <c r="O179" s="164"/>
      <c r="P179" s="151"/>
      <c r="Q179" s="151"/>
      <c r="R179" s="151"/>
      <c r="S179" s="151"/>
      <c r="T179" s="151"/>
      <c r="U179" s="151"/>
      <c r="V179" s="151"/>
      <c r="W179" s="151"/>
      <c r="X179" s="151"/>
      <c r="Y179" s="151"/>
      <c r="Z179" s="151"/>
    </row>
    <row r="180" ht="12.75" customHeight="1">
      <c r="A180" s="151"/>
      <c r="B180" s="125" t="s">
        <v>417</v>
      </c>
      <c r="C180" s="126" t="s">
        <v>418</v>
      </c>
      <c r="D180" s="127" t="s">
        <v>76</v>
      </c>
      <c r="E180" s="151"/>
      <c r="F180" s="163">
        <v>104.69456666666665</v>
      </c>
      <c r="G180" s="164"/>
      <c r="H180" s="163">
        <v>108.88234933333331</v>
      </c>
      <c r="I180" s="164"/>
      <c r="J180" s="163">
        <v>113.070132</v>
      </c>
      <c r="K180" s="164"/>
      <c r="L180" s="163">
        <v>108.88234933333331</v>
      </c>
      <c r="M180" s="164"/>
      <c r="N180" s="163">
        <v>108.88234933333331</v>
      </c>
      <c r="O180" s="164"/>
      <c r="P180" s="151"/>
      <c r="Q180" s="151"/>
      <c r="R180" s="151"/>
      <c r="S180" s="151"/>
      <c r="T180" s="151"/>
      <c r="U180" s="151"/>
      <c r="V180" s="151"/>
      <c r="W180" s="151"/>
      <c r="X180" s="151"/>
      <c r="Y180" s="151"/>
      <c r="Z180" s="151"/>
    </row>
    <row r="181" ht="12.75" customHeight="1">
      <c r="A181" s="151"/>
      <c r="B181" s="125" t="s">
        <v>419</v>
      </c>
      <c r="C181" s="126" t="s">
        <v>420</v>
      </c>
      <c r="D181" s="127" t="s">
        <v>76</v>
      </c>
      <c r="E181" s="151"/>
      <c r="F181" s="163">
        <v>83.04741666666668</v>
      </c>
      <c r="G181" s="164"/>
      <c r="H181" s="163">
        <v>86.36931333333334</v>
      </c>
      <c r="I181" s="164"/>
      <c r="J181" s="163">
        <v>89.69121000000001</v>
      </c>
      <c r="K181" s="164"/>
      <c r="L181" s="163">
        <v>86.36931333333334</v>
      </c>
      <c r="M181" s="164"/>
      <c r="N181" s="163">
        <v>86.36931333333334</v>
      </c>
      <c r="O181" s="164"/>
      <c r="P181" s="151"/>
      <c r="Q181" s="151"/>
      <c r="R181" s="151"/>
      <c r="S181" s="151"/>
      <c r="T181" s="151"/>
      <c r="U181" s="151"/>
      <c r="V181" s="151"/>
      <c r="W181" s="151"/>
      <c r="X181" s="151"/>
      <c r="Y181" s="151"/>
      <c r="Z181" s="151"/>
    </row>
    <row r="182" ht="12.75" customHeight="1">
      <c r="A182" s="151"/>
      <c r="B182" s="125" t="s">
        <v>421</v>
      </c>
      <c r="C182" s="126" t="s">
        <v>422</v>
      </c>
      <c r="D182" s="127" t="s">
        <v>76</v>
      </c>
      <c r="E182" s="151"/>
      <c r="F182" s="163">
        <v>107.66678055929204</v>
      </c>
      <c r="G182" s="164"/>
      <c r="H182" s="163">
        <v>110.36845627964603</v>
      </c>
      <c r="I182" s="164"/>
      <c r="J182" s="163">
        <v>113.070132</v>
      </c>
      <c r="K182" s="164"/>
      <c r="L182" s="163">
        <v>110.36845627964603</v>
      </c>
      <c r="M182" s="164"/>
      <c r="N182" s="163">
        <v>110.36845627964603</v>
      </c>
      <c r="O182" s="164"/>
      <c r="P182" s="151"/>
      <c r="Q182" s="151"/>
      <c r="R182" s="151"/>
      <c r="S182" s="151"/>
      <c r="T182" s="151"/>
      <c r="U182" s="151"/>
      <c r="V182" s="151"/>
      <c r="W182" s="151"/>
      <c r="X182" s="151"/>
      <c r="Y182" s="151"/>
      <c r="Z182" s="151"/>
    </row>
    <row r="183" ht="12.75" customHeight="1">
      <c r="A183" s="151"/>
      <c r="B183" s="125" t="s">
        <v>423</v>
      </c>
      <c r="C183" s="126" t="s">
        <v>424</v>
      </c>
      <c r="D183" s="127" t="s">
        <v>425</v>
      </c>
      <c r="E183" s="151"/>
      <c r="F183" s="163">
        <v>2.14</v>
      </c>
      <c r="G183" s="164"/>
      <c r="H183" s="163">
        <v>2.2470000000000003</v>
      </c>
      <c r="I183" s="164"/>
      <c r="J183" s="163">
        <v>2.3540000000000005</v>
      </c>
      <c r="K183" s="164"/>
      <c r="L183" s="163">
        <v>2.2470000000000003</v>
      </c>
      <c r="M183" s="164"/>
      <c r="N183" s="163">
        <v>2.2470000000000003</v>
      </c>
      <c r="O183" s="164"/>
      <c r="P183" s="151"/>
      <c r="Q183" s="151"/>
      <c r="R183" s="151"/>
      <c r="S183" s="151"/>
      <c r="T183" s="151"/>
      <c r="U183" s="151"/>
      <c r="V183" s="151"/>
      <c r="W183" s="151"/>
      <c r="X183" s="151"/>
      <c r="Y183" s="151"/>
      <c r="Z183" s="151"/>
    </row>
    <row r="184" ht="12.75" customHeight="1">
      <c r="A184" s="151"/>
      <c r="B184" s="113" t="s">
        <v>426</v>
      </c>
      <c r="C184" s="114" t="s">
        <v>427</v>
      </c>
      <c r="D184" s="115"/>
      <c r="E184" s="151"/>
      <c r="F184" s="161"/>
      <c r="G184" s="162"/>
      <c r="H184" s="161"/>
      <c r="I184" s="162"/>
      <c r="J184" s="161"/>
      <c r="K184" s="162"/>
      <c r="L184" s="161"/>
      <c r="M184" s="162"/>
      <c r="N184" s="161"/>
      <c r="O184" s="162"/>
      <c r="P184" s="151"/>
      <c r="Q184" s="151"/>
      <c r="R184" s="151"/>
      <c r="S184" s="151"/>
      <c r="T184" s="151"/>
      <c r="U184" s="151"/>
      <c r="V184" s="151"/>
      <c r="W184" s="151"/>
      <c r="X184" s="151"/>
      <c r="Y184" s="151"/>
      <c r="Z184" s="151"/>
    </row>
    <row r="185" ht="12.75" customHeight="1">
      <c r="A185" s="151"/>
      <c r="B185" s="125" t="s">
        <v>428</v>
      </c>
      <c r="C185" s="126" t="s">
        <v>429</v>
      </c>
      <c r="D185" s="127" t="s">
        <v>76</v>
      </c>
      <c r="E185" s="151"/>
      <c r="F185" s="163">
        <v>5.038205433230769</v>
      </c>
      <c r="G185" s="164"/>
      <c r="H185" s="163">
        <v>5.039417716615384</v>
      </c>
      <c r="I185" s="164"/>
      <c r="J185" s="163">
        <v>5.04063</v>
      </c>
      <c r="K185" s="164"/>
      <c r="L185" s="163">
        <v>5.039417716615384</v>
      </c>
      <c r="M185" s="164"/>
      <c r="N185" s="163">
        <v>5.039417716615384</v>
      </c>
      <c r="O185" s="164"/>
      <c r="P185" s="151"/>
      <c r="Q185" s="151"/>
      <c r="R185" s="151"/>
      <c r="S185" s="151"/>
      <c r="T185" s="151"/>
      <c r="U185" s="151"/>
      <c r="V185" s="151"/>
      <c r="W185" s="151"/>
      <c r="X185" s="151"/>
      <c r="Y185" s="151"/>
      <c r="Z185" s="151"/>
    </row>
    <row r="186" ht="12.75" customHeight="1">
      <c r="A186" s="151"/>
      <c r="B186" s="125" t="s">
        <v>430</v>
      </c>
      <c r="C186" s="126" t="s">
        <v>431</v>
      </c>
      <c r="D186" s="127" t="s">
        <v>76</v>
      </c>
      <c r="E186" s="151"/>
      <c r="F186" s="163">
        <v>17.0</v>
      </c>
      <c r="G186" s="164"/>
      <c r="H186" s="163">
        <v>17.0</v>
      </c>
      <c r="I186" s="164"/>
      <c r="J186" s="163">
        <v>17.0</v>
      </c>
      <c r="K186" s="164"/>
      <c r="L186" s="163">
        <v>17.0</v>
      </c>
      <c r="M186" s="164"/>
      <c r="N186" s="163">
        <v>17.0</v>
      </c>
      <c r="O186" s="164"/>
      <c r="P186" s="151"/>
      <c r="Q186" s="151"/>
      <c r="R186" s="151"/>
      <c r="S186" s="151"/>
      <c r="T186" s="151"/>
      <c r="U186" s="151"/>
      <c r="V186" s="151"/>
      <c r="W186" s="151"/>
      <c r="X186" s="151"/>
      <c r="Y186" s="151"/>
      <c r="Z186" s="151"/>
    </row>
    <row r="187" ht="12.75" customHeight="1">
      <c r="A187" s="151"/>
      <c r="B187" s="125" t="s">
        <v>432</v>
      </c>
      <c r="C187" s="126" t="s">
        <v>433</v>
      </c>
      <c r="D187" s="127" t="s">
        <v>76</v>
      </c>
      <c r="E187" s="151"/>
      <c r="F187" s="163">
        <v>25.578749999999996</v>
      </c>
      <c r="G187" s="164"/>
      <c r="H187" s="163">
        <v>25.578749999999996</v>
      </c>
      <c r="I187" s="164"/>
      <c r="J187" s="163">
        <v>25.578749999999996</v>
      </c>
      <c r="K187" s="164"/>
      <c r="L187" s="163">
        <v>25.578749999999996</v>
      </c>
      <c r="M187" s="164"/>
      <c r="N187" s="163">
        <v>25.578749999999996</v>
      </c>
      <c r="O187" s="164"/>
      <c r="P187" s="151"/>
      <c r="Q187" s="151"/>
      <c r="R187" s="151"/>
      <c r="S187" s="151"/>
      <c r="T187" s="151"/>
      <c r="U187" s="151"/>
      <c r="V187" s="151"/>
      <c r="W187" s="151"/>
      <c r="X187" s="151"/>
      <c r="Y187" s="151"/>
      <c r="Z187" s="151"/>
    </row>
    <row r="188" ht="12.75" customHeight="1">
      <c r="A188" s="151"/>
      <c r="B188" s="125" t="s">
        <v>434</v>
      </c>
      <c r="C188" s="126" t="s">
        <v>435</v>
      </c>
      <c r="D188" s="127" t="s">
        <v>76</v>
      </c>
      <c r="E188" s="151"/>
      <c r="F188" s="163">
        <v>36.39</v>
      </c>
      <c r="G188" s="164"/>
      <c r="H188" s="163">
        <v>36.39</v>
      </c>
      <c r="I188" s="164"/>
      <c r="J188" s="163">
        <v>36.39</v>
      </c>
      <c r="K188" s="164"/>
      <c r="L188" s="163">
        <v>36.39</v>
      </c>
      <c r="M188" s="164"/>
      <c r="N188" s="163">
        <v>36.39</v>
      </c>
      <c r="O188" s="164"/>
      <c r="P188" s="151"/>
      <c r="Q188" s="151"/>
      <c r="R188" s="151"/>
      <c r="S188" s="151"/>
      <c r="T188" s="151"/>
      <c r="U188" s="151"/>
      <c r="V188" s="151"/>
      <c r="W188" s="151"/>
      <c r="X188" s="151"/>
      <c r="Y188" s="151"/>
      <c r="Z188" s="151"/>
    </row>
    <row r="189" ht="12.75" customHeight="1">
      <c r="A189" s="151"/>
      <c r="B189" s="125" t="s">
        <v>436</v>
      </c>
      <c r="C189" s="126" t="s">
        <v>437</v>
      </c>
      <c r="D189" s="127" t="s">
        <v>180</v>
      </c>
      <c r="E189" s="151"/>
      <c r="F189" s="163">
        <v>21.649444108601454</v>
      </c>
      <c r="G189" s="164"/>
      <c r="H189" s="163">
        <v>22.513802054300726</v>
      </c>
      <c r="I189" s="164"/>
      <c r="J189" s="163">
        <v>23.378159999999998</v>
      </c>
      <c r="K189" s="164"/>
      <c r="L189" s="163">
        <v>22.513802054300726</v>
      </c>
      <c r="M189" s="164"/>
      <c r="N189" s="163">
        <v>22.513802054300726</v>
      </c>
      <c r="O189" s="164"/>
      <c r="P189" s="151"/>
      <c r="Q189" s="151"/>
      <c r="R189" s="151"/>
      <c r="S189" s="151"/>
      <c r="T189" s="151"/>
      <c r="U189" s="151"/>
      <c r="V189" s="151"/>
      <c r="W189" s="151"/>
      <c r="X189" s="151"/>
      <c r="Y189" s="151"/>
      <c r="Z189" s="151"/>
    </row>
    <row r="190" ht="12.75" customHeight="1">
      <c r="A190" s="151"/>
      <c r="B190" s="125" t="s">
        <v>438</v>
      </c>
      <c r="C190" s="126" t="s">
        <v>439</v>
      </c>
      <c r="D190" s="127" t="s">
        <v>76</v>
      </c>
      <c r="E190" s="151"/>
      <c r="F190" s="163">
        <v>63.980000000000004</v>
      </c>
      <c r="G190" s="164"/>
      <c r="H190" s="163">
        <v>63.980000000000004</v>
      </c>
      <c r="I190" s="164"/>
      <c r="J190" s="163">
        <v>63.98</v>
      </c>
      <c r="K190" s="164"/>
      <c r="L190" s="163">
        <v>63.980000000000004</v>
      </c>
      <c r="M190" s="164"/>
      <c r="N190" s="163">
        <v>63.980000000000004</v>
      </c>
      <c r="O190" s="164"/>
      <c r="P190" s="151"/>
      <c r="Q190" s="151"/>
      <c r="R190" s="151"/>
      <c r="S190" s="151"/>
      <c r="T190" s="151"/>
      <c r="U190" s="151"/>
      <c r="V190" s="151"/>
      <c r="W190" s="151"/>
      <c r="X190" s="151"/>
      <c r="Y190" s="151"/>
      <c r="Z190" s="151"/>
    </row>
    <row r="191" ht="12.75" customHeight="1">
      <c r="A191" s="151"/>
      <c r="B191" s="125" t="s">
        <v>440</v>
      </c>
      <c r="C191" s="126" t="s">
        <v>441</v>
      </c>
      <c r="D191" s="127" t="s">
        <v>76</v>
      </c>
      <c r="E191" s="151"/>
      <c r="F191" s="163">
        <v>60.0</v>
      </c>
      <c r="G191" s="164"/>
      <c r="H191" s="163">
        <v>62.400000000000006</v>
      </c>
      <c r="I191" s="164"/>
      <c r="J191" s="163">
        <v>64.80000000000001</v>
      </c>
      <c r="K191" s="164"/>
      <c r="L191" s="163">
        <v>62.400000000000006</v>
      </c>
      <c r="M191" s="164"/>
      <c r="N191" s="163">
        <v>62.400000000000006</v>
      </c>
      <c r="O191" s="164"/>
      <c r="P191" s="151"/>
      <c r="Q191" s="151"/>
      <c r="R191" s="151"/>
      <c r="S191" s="151"/>
      <c r="T191" s="151"/>
      <c r="U191" s="151"/>
      <c r="V191" s="151"/>
      <c r="W191" s="151"/>
      <c r="X191" s="151"/>
      <c r="Y191" s="151"/>
      <c r="Z191" s="151"/>
    </row>
    <row r="192" ht="12.75" customHeight="1">
      <c r="A192" s="151"/>
      <c r="B192" s="125" t="s">
        <v>442</v>
      </c>
      <c r="C192" s="126" t="s">
        <v>443</v>
      </c>
      <c r="D192" s="127" t="s">
        <v>76</v>
      </c>
      <c r="E192" s="151"/>
      <c r="F192" s="163">
        <v>203.0</v>
      </c>
      <c r="G192" s="164"/>
      <c r="H192" s="163">
        <v>182.2235</v>
      </c>
      <c r="I192" s="164"/>
      <c r="J192" s="163">
        <v>161.447</v>
      </c>
      <c r="K192" s="164"/>
      <c r="L192" s="163">
        <v>182.2235</v>
      </c>
      <c r="M192" s="164"/>
      <c r="N192" s="163">
        <v>182.2235</v>
      </c>
      <c r="O192" s="164"/>
      <c r="P192" s="151"/>
      <c r="Q192" s="151"/>
      <c r="R192" s="151"/>
      <c r="S192" s="151"/>
      <c r="T192" s="151"/>
      <c r="U192" s="151"/>
      <c r="V192" s="151"/>
      <c r="W192" s="151"/>
      <c r="X192" s="151"/>
      <c r="Y192" s="151"/>
      <c r="Z192" s="151"/>
    </row>
    <row r="193" ht="12.75" customHeight="1">
      <c r="A193" s="151"/>
      <c r="B193" s="125" t="s">
        <v>444</v>
      </c>
      <c r="C193" s="126" t="s">
        <v>445</v>
      </c>
      <c r="D193" s="127" t="s">
        <v>76</v>
      </c>
      <c r="E193" s="151"/>
      <c r="F193" s="163">
        <v>390.0</v>
      </c>
      <c r="G193" s="164"/>
      <c r="H193" s="163">
        <v>405.6</v>
      </c>
      <c r="I193" s="164"/>
      <c r="J193" s="163">
        <v>421.20000000000005</v>
      </c>
      <c r="K193" s="164"/>
      <c r="L193" s="163">
        <v>405.6</v>
      </c>
      <c r="M193" s="164"/>
      <c r="N193" s="163">
        <v>405.6</v>
      </c>
      <c r="O193" s="164"/>
      <c r="P193" s="151"/>
      <c r="Q193" s="151"/>
      <c r="R193" s="151"/>
      <c r="S193" s="151"/>
      <c r="T193" s="151"/>
      <c r="U193" s="151"/>
      <c r="V193" s="151"/>
      <c r="W193" s="151"/>
      <c r="X193" s="151"/>
      <c r="Y193" s="151"/>
      <c r="Z193" s="151"/>
    </row>
    <row r="194" ht="12.75" customHeight="1">
      <c r="A194" s="151"/>
      <c r="B194" s="125" t="s">
        <v>446</v>
      </c>
      <c r="C194" s="126" t="s">
        <v>447</v>
      </c>
      <c r="D194" s="127" t="s">
        <v>76</v>
      </c>
      <c r="E194" s="151"/>
      <c r="F194" s="163">
        <v>522.436753508883</v>
      </c>
      <c r="G194" s="164"/>
      <c r="H194" s="163">
        <v>521.2183767544416</v>
      </c>
      <c r="I194" s="164"/>
      <c r="J194" s="163">
        <v>520.0</v>
      </c>
      <c r="K194" s="164"/>
      <c r="L194" s="163">
        <v>521.2183767544416</v>
      </c>
      <c r="M194" s="164"/>
      <c r="N194" s="163">
        <v>521.2183767544416</v>
      </c>
      <c r="O194" s="164"/>
      <c r="P194" s="151"/>
      <c r="Q194" s="151"/>
      <c r="R194" s="151"/>
      <c r="S194" s="151"/>
      <c r="T194" s="151"/>
      <c r="U194" s="151"/>
      <c r="V194" s="151"/>
      <c r="W194" s="151"/>
      <c r="X194" s="151"/>
      <c r="Y194" s="151"/>
      <c r="Z194" s="151"/>
    </row>
    <row r="195" ht="12.75" customHeight="1">
      <c r="A195" s="151"/>
      <c r="B195" s="125" t="s">
        <v>448</v>
      </c>
      <c r="C195" s="126" t="s">
        <v>449</v>
      </c>
      <c r="D195" s="127" t="s">
        <v>76</v>
      </c>
      <c r="E195" s="151"/>
      <c r="F195" s="163">
        <v>116.0</v>
      </c>
      <c r="G195" s="164"/>
      <c r="H195" s="163">
        <v>108.89500000000001</v>
      </c>
      <c r="I195" s="164"/>
      <c r="J195" s="163">
        <v>101.79</v>
      </c>
      <c r="K195" s="164"/>
      <c r="L195" s="163">
        <v>108.89500000000001</v>
      </c>
      <c r="M195" s="164"/>
      <c r="N195" s="163">
        <v>108.89500000000001</v>
      </c>
      <c r="O195" s="164"/>
      <c r="P195" s="151"/>
      <c r="Q195" s="151"/>
      <c r="R195" s="151"/>
      <c r="S195" s="151"/>
      <c r="T195" s="151"/>
      <c r="U195" s="151"/>
      <c r="V195" s="151"/>
      <c r="W195" s="151"/>
      <c r="X195" s="151"/>
      <c r="Y195" s="151"/>
      <c r="Z195" s="151"/>
    </row>
    <row r="196" ht="12.75" customHeight="1">
      <c r="A196" s="151"/>
      <c r="B196" s="125" t="s">
        <v>450</v>
      </c>
      <c r="C196" s="126" t="s">
        <v>451</v>
      </c>
      <c r="D196" s="127" t="s">
        <v>76</v>
      </c>
      <c r="E196" s="151"/>
      <c r="F196" s="163">
        <v>161.68950000000004</v>
      </c>
      <c r="G196" s="164"/>
      <c r="H196" s="163">
        <v>143.48475000000002</v>
      </c>
      <c r="I196" s="164"/>
      <c r="J196" s="163">
        <v>125.28</v>
      </c>
      <c r="K196" s="164"/>
      <c r="L196" s="163">
        <v>143.48475000000002</v>
      </c>
      <c r="M196" s="164"/>
      <c r="N196" s="163">
        <v>143.48475000000002</v>
      </c>
      <c r="O196" s="164"/>
      <c r="P196" s="151"/>
      <c r="Q196" s="151"/>
      <c r="R196" s="151"/>
      <c r="S196" s="151"/>
      <c r="T196" s="151"/>
      <c r="U196" s="151"/>
      <c r="V196" s="151"/>
      <c r="W196" s="151"/>
      <c r="X196" s="151"/>
      <c r="Y196" s="151"/>
      <c r="Z196" s="151"/>
    </row>
    <row r="197" ht="12.75" customHeight="1">
      <c r="A197" s="151"/>
      <c r="B197" s="125" t="s">
        <v>452</v>
      </c>
      <c r="C197" s="126" t="s">
        <v>453</v>
      </c>
      <c r="D197" s="127" t="s">
        <v>180</v>
      </c>
      <c r="E197" s="151"/>
      <c r="F197" s="163">
        <v>116.87649999999996</v>
      </c>
      <c r="G197" s="164"/>
      <c r="H197" s="163">
        <v>122.72032499999997</v>
      </c>
      <c r="I197" s="164"/>
      <c r="J197" s="163">
        <v>128.56414999999998</v>
      </c>
      <c r="K197" s="164"/>
      <c r="L197" s="163">
        <v>122.72032499999997</v>
      </c>
      <c r="M197" s="164"/>
      <c r="N197" s="163">
        <v>122.72032499999997</v>
      </c>
      <c r="O197" s="164"/>
      <c r="P197" s="151"/>
      <c r="Q197" s="151"/>
      <c r="R197" s="151"/>
      <c r="S197" s="151"/>
      <c r="T197" s="151"/>
      <c r="U197" s="151"/>
      <c r="V197" s="151"/>
      <c r="W197" s="151"/>
      <c r="X197" s="151"/>
      <c r="Y197" s="151"/>
      <c r="Z197" s="151"/>
    </row>
    <row r="198" ht="12.75" customHeight="1">
      <c r="A198" s="151"/>
      <c r="B198" s="113" t="s">
        <v>454</v>
      </c>
      <c r="C198" s="114" t="s">
        <v>455</v>
      </c>
      <c r="D198" s="115"/>
      <c r="E198" s="151"/>
      <c r="F198" s="161"/>
      <c r="G198" s="162"/>
      <c r="H198" s="161"/>
      <c r="I198" s="162"/>
      <c r="J198" s="161"/>
      <c r="K198" s="162"/>
      <c r="L198" s="161"/>
      <c r="M198" s="162"/>
      <c r="N198" s="161"/>
      <c r="O198" s="162"/>
      <c r="P198" s="151"/>
      <c r="Q198" s="151"/>
      <c r="R198" s="151"/>
      <c r="S198" s="151"/>
      <c r="T198" s="151"/>
      <c r="U198" s="151"/>
      <c r="V198" s="151"/>
      <c r="W198" s="151"/>
      <c r="X198" s="151"/>
      <c r="Y198" s="151"/>
      <c r="Z198" s="151"/>
    </row>
    <row r="199" ht="12.75" customHeight="1">
      <c r="A199" s="151"/>
      <c r="B199" s="125" t="s">
        <v>456</v>
      </c>
      <c r="C199" s="126" t="s">
        <v>457</v>
      </c>
      <c r="D199" s="127" t="s">
        <v>76</v>
      </c>
      <c r="E199" s="151"/>
      <c r="F199" s="163">
        <v>1.78</v>
      </c>
      <c r="G199" s="164"/>
      <c r="H199" s="163">
        <v>2.225</v>
      </c>
      <c r="I199" s="164"/>
      <c r="J199" s="163">
        <v>2.67</v>
      </c>
      <c r="K199" s="164"/>
      <c r="L199" s="163">
        <v>2.225</v>
      </c>
      <c r="M199" s="164"/>
      <c r="N199" s="163">
        <v>2.225</v>
      </c>
      <c r="O199" s="164"/>
      <c r="P199" s="151"/>
      <c r="Q199" s="151"/>
      <c r="R199" s="151"/>
      <c r="S199" s="151"/>
      <c r="T199" s="151"/>
      <c r="U199" s="151"/>
      <c r="V199" s="151"/>
      <c r="W199" s="151"/>
      <c r="X199" s="151"/>
      <c r="Y199" s="151"/>
      <c r="Z199" s="151"/>
    </row>
    <row r="200" ht="12.75" customHeight="1">
      <c r="A200" s="151"/>
      <c r="B200" s="125" t="s">
        <v>458</v>
      </c>
      <c r="C200" s="126" t="s">
        <v>459</v>
      </c>
      <c r="D200" s="127" t="s">
        <v>460</v>
      </c>
      <c r="E200" s="151"/>
      <c r="F200" s="163">
        <v>9.0</v>
      </c>
      <c r="G200" s="164"/>
      <c r="H200" s="163">
        <v>8.894995605</v>
      </c>
      <c r="I200" s="164"/>
      <c r="J200" s="163">
        <v>8.78999121</v>
      </c>
      <c r="K200" s="164"/>
      <c r="L200" s="163">
        <v>8.894995605</v>
      </c>
      <c r="M200" s="164"/>
      <c r="N200" s="163">
        <v>8.894995605</v>
      </c>
      <c r="O200" s="164"/>
      <c r="P200" s="151"/>
      <c r="Q200" s="151"/>
      <c r="R200" s="151"/>
      <c r="S200" s="151"/>
      <c r="T200" s="151"/>
      <c r="U200" s="151"/>
      <c r="V200" s="151"/>
      <c r="W200" s="151"/>
      <c r="X200" s="151"/>
      <c r="Y200" s="151"/>
      <c r="Z200" s="151"/>
    </row>
    <row r="201" ht="12.75" customHeight="1">
      <c r="A201" s="151"/>
      <c r="B201" s="125" t="s">
        <v>461</v>
      </c>
      <c r="C201" s="126" t="s">
        <v>462</v>
      </c>
      <c r="D201" s="127" t="s">
        <v>460</v>
      </c>
      <c r="E201" s="151"/>
      <c r="F201" s="163">
        <v>189.20399999999998</v>
      </c>
      <c r="G201" s="164"/>
      <c r="H201" s="163">
        <v>189.20399999999998</v>
      </c>
      <c r="I201" s="164"/>
      <c r="J201" s="163">
        <v>189.20399999999998</v>
      </c>
      <c r="K201" s="164"/>
      <c r="L201" s="163">
        <v>189.20399999999998</v>
      </c>
      <c r="M201" s="164"/>
      <c r="N201" s="163">
        <v>189.20399999999998</v>
      </c>
      <c r="O201" s="164"/>
      <c r="P201" s="151"/>
      <c r="Q201" s="151"/>
      <c r="R201" s="151"/>
      <c r="S201" s="151"/>
      <c r="T201" s="151"/>
      <c r="U201" s="151"/>
      <c r="V201" s="151"/>
      <c r="W201" s="151"/>
      <c r="X201" s="151"/>
      <c r="Y201" s="151"/>
      <c r="Z201" s="151"/>
    </row>
    <row r="202" ht="12.75" customHeight="1">
      <c r="A202" s="151"/>
      <c r="B202" s="125" t="s">
        <v>463</v>
      </c>
      <c r="C202" s="126" t="s">
        <v>464</v>
      </c>
      <c r="D202" s="127" t="s">
        <v>76</v>
      </c>
      <c r="E202" s="151"/>
      <c r="F202" s="163">
        <v>42.58960435369255</v>
      </c>
      <c r="G202" s="164"/>
      <c r="H202" s="163">
        <v>45.23480217684628</v>
      </c>
      <c r="I202" s="164"/>
      <c r="J202" s="163">
        <v>47.88</v>
      </c>
      <c r="K202" s="164"/>
      <c r="L202" s="163">
        <v>45.23480217684628</v>
      </c>
      <c r="M202" s="164"/>
      <c r="N202" s="163">
        <v>45.23480217684628</v>
      </c>
      <c r="O202" s="164"/>
      <c r="P202" s="151"/>
      <c r="Q202" s="151"/>
      <c r="R202" s="151"/>
      <c r="S202" s="151"/>
      <c r="T202" s="151"/>
      <c r="U202" s="151"/>
      <c r="V202" s="151"/>
      <c r="W202" s="151"/>
      <c r="X202" s="151"/>
      <c r="Y202" s="151"/>
      <c r="Z202" s="151"/>
    </row>
    <row r="203" ht="12.75" customHeight="1">
      <c r="A203" s="151"/>
      <c r="B203" s="125" t="s">
        <v>465</v>
      </c>
      <c r="C203" s="126" t="s">
        <v>466</v>
      </c>
      <c r="D203" s="127" t="s">
        <v>76</v>
      </c>
      <c r="E203" s="151"/>
      <c r="F203" s="163">
        <v>43.31258900599024</v>
      </c>
      <c r="G203" s="164"/>
      <c r="H203" s="163">
        <v>45.59629450299512</v>
      </c>
      <c r="I203" s="164"/>
      <c r="J203" s="163">
        <v>47.88</v>
      </c>
      <c r="K203" s="164"/>
      <c r="L203" s="163">
        <v>45.59629450299512</v>
      </c>
      <c r="M203" s="164"/>
      <c r="N203" s="163">
        <v>45.59629450299512</v>
      </c>
      <c r="O203" s="164"/>
      <c r="P203" s="151"/>
      <c r="Q203" s="151"/>
      <c r="R203" s="151"/>
      <c r="S203" s="151"/>
      <c r="T203" s="151"/>
      <c r="U203" s="151"/>
      <c r="V203" s="151"/>
      <c r="W203" s="151"/>
      <c r="X203" s="151"/>
      <c r="Y203" s="151"/>
      <c r="Z203" s="151"/>
    </row>
    <row r="204" ht="12.75" customHeight="1">
      <c r="A204" s="151"/>
      <c r="B204" s="125" t="s">
        <v>467</v>
      </c>
      <c r="C204" s="126" t="s">
        <v>468</v>
      </c>
      <c r="D204" s="127" t="s">
        <v>76</v>
      </c>
      <c r="E204" s="151"/>
      <c r="F204" s="163">
        <v>74.0705175</v>
      </c>
      <c r="G204" s="164"/>
      <c r="H204" s="163">
        <v>80.87575874999999</v>
      </c>
      <c r="I204" s="164"/>
      <c r="J204" s="163">
        <v>87.681</v>
      </c>
      <c r="K204" s="164"/>
      <c r="L204" s="163">
        <v>80.87575874999999</v>
      </c>
      <c r="M204" s="164"/>
      <c r="N204" s="163">
        <v>80.87575874999999</v>
      </c>
      <c r="O204" s="164"/>
      <c r="P204" s="151"/>
      <c r="Q204" s="151"/>
      <c r="R204" s="151"/>
      <c r="S204" s="151"/>
      <c r="T204" s="151"/>
      <c r="U204" s="151"/>
      <c r="V204" s="151"/>
      <c r="W204" s="151"/>
      <c r="X204" s="151"/>
      <c r="Y204" s="151"/>
      <c r="Z204" s="151"/>
    </row>
    <row r="205" ht="12.75" customHeight="1">
      <c r="A205" s="151"/>
      <c r="B205" s="125" t="s">
        <v>469</v>
      </c>
      <c r="C205" s="126" t="s">
        <v>470</v>
      </c>
      <c r="D205" s="127" t="s">
        <v>76</v>
      </c>
      <c r="E205" s="151"/>
      <c r="F205" s="163">
        <v>86.46401057973907</v>
      </c>
      <c r="G205" s="164"/>
      <c r="H205" s="163">
        <v>94.29981153852792</v>
      </c>
      <c r="I205" s="164"/>
      <c r="J205" s="163">
        <v>102.13561249731677</v>
      </c>
      <c r="K205" s="164"/>
      <c r="L205" s="163">
        <v>94.29981153852792</v>
      </c>
      <c r="M205" s="164"/>
      <c r="N205" s="163">
        <v>94.29981153852792</v>
      </c>
      <c r="O205" s="164"/>
      <c r="P205" s="151"/>
      <c r="Q205" s="151"/>
      <c r="R205" s="151"/>
      <c r="S205" s="151"/>
      <c r="T205" s="151"/>
      <c r="U205" s="151"/>
      <c r="V205" s="151"/>
      <c r="W205" s="151"/>
      <c r="X205" s="151"/>
      <c r="Y205" s="151"/>
      <c r="Z205" s="151"/>
    </row>
    <row r="206" ht="12.75" customHeight="1">
      <c r="A206" s="151"/>
      <c r="B206" s="125" t="s">
        <v>471</v>
      </c>
      <c r="C206" s="126" t="s">
        <v>472</v>
      </c>
      <c r="D206" s="127" t="s">
        <v>76</v>
      </c>
      <c r="E206" s="151"/>
      <c r="F206" s="163">
        <v>89.8843725225</v>
      </c>
      <c r="G206" s="164"/>
      <c r="H206" s="163">
        <v>87.7298</v>
      </c>
      <c r="I206" s="164"/>
      <c r="J206" s="163">
        <v>90.5999094</v>
      </c>
      <c r="K206" s="164"/>
      <c r="L206" s="163">
        <v>87.7298</v>
      </c>
      <c r="M206" s="164"/>
      <c r="N206" s="163">
        <v>87.7298</v>
      </c>
      <c r="O206" s="164"/>
      <c r="P206" s="151"/>
      <c r="Q206" s="151"/>
      <c r="R206" s="151"/>
      <c r="S206" s="151"/>
      <c r="T206" s="151"/>
      <c r="U206" s="151"/>
      <c r="V206" s="151"/>
      <c r="W206" s="151"/>
      <c r="X206" s="151"/>
      <c r="Y206" s="151"/>
      <c r="Z206" s="151"/>
    </row>
    <row r="207" ht="12.75" customHeight="1">
      <c r="A207" s="151"/>
      <c r="B207" s="125" t="s">
        <v>473</v>
      </c>
      <c r="C207" s="126" t="s">
        <v>474</v>
      </c>
      <c r="D207" s="127" t="s">
        <v>475</v>
      </c>
      <c r="E207" s="151"/>
      <c r="F207" s="163">
        <v>182.97467216283607</v>
      </c>
      <c r="G207" s="164"/>
      <c r="H207" s="163">
        <v>182.97467216283607</v>
      </c>
      <c r="I207" s="164"/>
      <c r="J207" s="163">
        <v>182.97467216283607</v>
      </c>
      <c r="K207" s="164"/>
      <c r="L207" s="163">
        <v>182.97467216283607</v>
      </c>
      <c r="M207" s="164"/>
      <c r="N207" s="163">
        <v>182.97467216283607</v>
      </c>
      <c r="O207" s="164"/>
      <c r="P207" s="151"/>
      <c r="Q207" s="151"/>
      <c r="R207" s="151"/>
      <c r="S207" s="151"/>
      <c r="T207" s="151"/>
      <c r="U207" s="151"/>
      <c r="V207" s="151"/>
      <c r="W207" s="151"/>
      <c r="X207" s="151"/>
      <c r="Y207" s="151"/>
      <c r="Z207" s="151"/>
    </row>
    <row r="208" ht="12.75" customHeight="1">
      <c r="A208" s="151"/>
      <c r="B208" s="125" t="s">
        <v>476</v>
      </c>
      <c r="C208" s="126" t="s">
        <v>477</v>
      </c>
      <c r="D208" s="127" t="s">
        <v>76</v>
      </c>
      <c r="E208" s="151"/>
      <c r="F208" s="163">
        <v>148.59632521943584</v>
      </c>
      <c r="G208" s="164"/>
      <c r="H208" s="163">
        <v>140.84460487534292</v>
      </c>
      <c r="I208" s="164"/>
      <c r="J208" s="163">
        <v>133.09288453125004</v>
      </c>
      <c r="K208" s="164"/>
      <c r="L208" s="163">
        <v>140.84460487534292</v>
      </c>
      <c r="M208" s="164"/>
      <c r="N208" s="163">
        <v>140.84460487534292</v>
      </c>
      <c r="O208" s="164"/>
      <c r="P208" s="151"/>
      <c r="Q208" s="151"/>
      <c r="R208" s="151"/>
      <c r="S208" s="151"/>
      <c r="T208" s="151"/>
      <c r="U208" s="151"/>
      <c r="V208" s="151"/>
      <c r="W208" s="151"/>
      <c r="X208" s="151"/>
      <c r="Y208" s="151"/>
      <c r="Z208" s="151"/>
    </row>
    <row r="209" ht="12.75" customHeight="1">
      <c r="A209" s="151"/>
      <c r="B209" s="125" t="s">
        <v>478</v>
      </c>
      <c r="C209" s="126" t="s">
        <v>479</v>
      </c>
      <c r="D209" s="127" t="s">
        <v>76</v>
      </c>
      <c r="E209" s="151"/>
      <c r="F209" s="163">
        <v>98.32</v>
      </c>
      <c r="G209" s="164"/>
      <c r="H209" s="163">
        <v>97.736</v>
      </c>
      <c r="I209" s="164"/>
      <c r="J209" s="163">
        <v>97.15200000000002</v>
      </c>
      <c r="K209" s="164"/>
      <c r="L209" s="163">
        <v>97.736</v>
      </c>
      <c r="M209" s="164"/>
      <c r="N209" s="163">
        <v>97.736</v>
      </c>
      <c r="O209" s="164"/>
      <c r="P209" s="151"/>
      <c r="Q209" s="151"/>
      <c r="R209" s="151"/>
      <c r="S209" s="151"/>
      <c r="T209" s="151"/>
      <c r="U209" s="151"/>
      <c r="V209" s="151"/>
      <c r="W209" s="151"/>
      <c r="X209" s="151"/>
      <c r="Y209" s="151"/>
      <c r="Z209" s="151"/>
    </row>
    <row r="210" ht="12.75" customHeight="1">
      <c r="A210" s="151"/>
      <c r="B210" s="125" t="s">
        <v>480</v>
      </c>
      <c r="C210" s="126" t="s">
        <v>481</v>
      </c>
      <c r="D210" s="127" t="s">
        <v>76</v>
      </c>
      <c r="E210" s="151"/>
      <c r="F210" s="163">
        <v>65.54</v>
      </c>
      <c r="G210" s="164"/>
      <c r="H210" s="163">
        <v>68.81700000000001</v>
      </c>
      <c r="I210" s="164"/>
      <c r="J210" s="163">
        <v>72.09400000000001</v>
      </c>
      <c r="K210" s="164"/>
      <c r="L210" s="163">
        <v>68.81700000000001</v>
      </c>
      <c r="M210" s="164"/>
      <c r="N210" s="163">
        <v>68.81700000000001</v>
      </c>
      <c r="O210" s="164"/>
      <c r="P210" s="151"/>
      <c r="Q210" s="151"/>
      <c r="R210" s="151"/>
      <c r="S210" s="151"/>
      <c r="T210" s="151"/>
      <c r="U210" s="151"/>
      <c r="V210" s="151"/>
      <c r="W210" s="151"/>
      <c r="X210" s="151"/>
      <c r="Y210" s="151"/>
      <c r="Z210" s="151"/>
    </row>
    <row r="211" ht="12.75" customHeight="1">
      <c r="A211" s="151"/>
      <c r="B211" s="125" t="s">
        <v>482</v>
      </c>
      <c r="C211" s="126" t="s">
        <v>483</v>
      </c>
      <c r="D211" s="127" t="s">
        <v>180</v>
      </c>
      <c r="E211" s="151"/>
      <c r="F211" s="163">
        <v>75.0</v>
      </c>
      <c r="G211" s="164"/>
      <c r="H211" s="163">
        <v>75.0</v>
      </c>
      <c r="I211" s="164"/>
      <c r="J211" s="163">
        <v>75.0</v>
      </c>
      <c r="K211" s="164"/>
      <c r="L211" s="163">
        <v>75.0</v>
      </c>
      <c r="M211" s="164"/>
      <c r="N211" s="163">
        <v>75.0</v>
      </c>
      <c r="O211" s="164"/>
      <c r="P211" s="151"/>
      <c r="Q211" s="151"/>
      <c r="R211" s="151"/>
      <c r="S211" s="151"/>
      <c r="T211" s="151"/>
      <c r="U211" s="151"/>
      <c r="V211" s="151"/>
      <c r="W211" s="151"/>
      <c r="X211" s="151"/>
      <c r="Y211" s="151"/>
      <c r="Z211" s="151"/>
    </row>
    <row r="212" ht="12.75" customHeight="1">
      <c r="A212" s="151"/>
      <c r="B212" s="113" t="s">
        <v>484</v>
      </c>
      <c r="C212" s="114" t="s">
        <v>485</v>
      </c>
      <c r="D212" s="115"/>
      <c r="E212" s="151"/>
      <c r="F212" s="161"/>
      <c r="G212" s="162"/>
      <c r="H212" s="161"/>
      <c r="I212" s="162"/>
      <c r="J212" s="161"/>
      <c r="K212" s="162"/>
      <c r="L212" s="161"/>
      <c r="M212" s="162"/>
      <c r="N212" s="161"/>
      <c r="O212" s="162"/>
      <c r="P212" s="151"/>
      <c r="Q212" s="151"/>
      <c r="R212" s="151"/>
      <c r="S212" s="151"/>
      <c r="T212" s="151"/>
      <c r="U212" s="151"/>
      <c r="V212" s="151"/>
      <c r="W212" s="151"/>
      <c r="X212" s="151"/>
      <c r="Y212" s="151"/>
      <c r="Z212" s="151"/>
    </row>
    <row r="213" ht="12.75" customHeight="1">
      <c r="A213" s="151"/>
      <c r="B213" s="125" t="s">
        <v>486</v>
      </c>
      <c r="C213" s="126" t="s">
        <v>487</v>
      </c>
      <c r="D213" s="127" t="s">
        <v>76</v>
      </c>
      <c r="E213" s="151"/>
      <c r="F213" s="163">
        <v>17.06105886372042</v>
      </c>
      <c r="G213" s="164"/>
      <c r="H213" s="163">
        <v>17.764720029660207</v>
      </c>
      <c r="I213" s="164"/>
      <c r="J213" s="163">
        <v>18.468381195599996</v>
      </c>
      <c r="K213" s="164"/>
      <c r="L213" s="163">
        <v>17.764720029660207</v>
      </c>
      <c r="M213" s="164"/>
      <c r="N213" s="163">
        <v>17.764720029660207</v>
      </c>
      <c r="O213" s="164"/>
      <c r="P213" s="151"/>
      <c r="Q213" s="151"/>
      <c r="R213" s="151"/>
      <c r="S213" s="151"/>
      <c r="T213" s="151"/>
      <c r="U213" s="151"/>
      <c r="V213" s="151"/>
      <c r="W213" s="151"/>
      <c r="X213" s="151"/>
      <c r="Y213" s="151"/>
      <c r="Z213" s="151"/>
    </row>
    <row r="214" ht="12.75" customHeight="1">
      <c r="A214" s="151"/>
      <c r="B214" s="125" t="s">
        <v>488</v>
      </c>
      <c r="C214" s="126" t="s">
        <v>489</v>
      </c>
      <c r="D214" s="127" t="s">
        <v>76</v>
      </c>
      <c r="E214" s="151"/>
      <c r="F214" s="163">
        <v>17.057296079260812</v>
      </c>
      <c r="G214" s="164"/>
      <c r="H214" s="163">
        <v>17.762838637430402</v>
      </c>
      <c r="I214" s="164"/>
      <c r="J214" s="163">
        <v>18.468381195599996</v>
      </c>
      <c r="K214" s="164"/>
      <c r="L214" s="163">
        <v>17.762838637430402</v>
      </c>
      <c r="M214" s="164"/>
      <c r="N214" s="163">
        <v>17.762838637430402</v>
      </c>
      <c r="O214" s="164"/>
      <c r="P214" s="151"/>
      <c r="Q214" s="151"/>
      <c r="R214" s="151"/>
      <c r="S214" s="151"/>
      <c r="T214" s="151"/>
      <c r="U214" s="151"/>
      <c r="V214" s="151"/>
      <c r="W214" s="151"/>
      <c r="X214" s="151"/>
      <c r="Y214" s="151"/>
      <c r="Z214" s="151"/>
    </row>
    <row r="215" ht="12.75" customHeight="1">
      <c r="A215" s="151"/>
      <c r="B215" s="125" t="s">
        <v>490</v>
      </c>
      <c r="C215" s="126" t="s">
        <v>491</v>
      </c>
      <c r="D215" s="127" t="s">
        <v>180</v>
      </c>
      <c r="E215" s="151"/>
      <c r="F215" s="163">
        <v>15.5</v>
      </c>
      <c r="G215" s="164"/>
      <c r="H215" s="163">
        <v>15.5</v>
      </c>
      <c r="I215" s="164"/>
      <c r="J215" s="163">
        <v>15.5</v>
      </c>
      <c r="K215" s="164"/>
      <c r="L215" s="163">
        <v>15.5</v>
      </c>
      <c r="M215" s="164"/>
      <c r="N215" s="163">
        <v>15.5</v>
      </c>
      <c r="O215" s="164"/>
      <c r="P215" s="151"/>
      <c r="Q215" s="151"/>
      <c r="R215" s="151"/>
      <c r="S215" s="151"/>
      <c r="T215" s="151"/>
      <c r="U215" s="151"/>
      <c r="V215" s="151"/>
      <c r="W215" s="151"/>
      <c r="X215" s="151"/>
      <c r="Y215" s="151"/>
      <c r="Z215" s="151"/>
    </row>
    <row r="216" ht="12.75" customHeight="1">
      <c r="A216" s="151"/>
      <c r="B216" s="125" t="s">
        <v>492</v>
      </c>
      <c r="C216" s="126" t="s">
        <v>493</v>
      </c>
      <c r="D216" s="127" t="s">
        <v>180</v>
      </c>
      <c r="E216" s="151"/>
      <c r="F216" s="163">
        <v>12.495000000000001</v>
      </c>
      <c r="G216" s="164"/>
      <c r="H216" s="163">
        <v>12.4975</v>
      </c>
      <c r="I216" s="164"/>
      <c r="J216" s="163">
        <v>12.5</v>
      </c>
      <c r="K216" s="164"/>
      <c r="L216" s="163">
        <v>12.4975</v>
      </c>
      <c r="M216" s="164"/>
      <c r="N216" s="163">
        <v>12.4975</v>
      </c>
      <c r="O216" s="164"/>
      <c r="P216" s="151"/>
      <c r="Q216" s="151"/>
      <c r="R216" s="151"/>
      <c r="S216" s="151"/>
      <c r="T216" s="151"/>
      <c r="U216" s="151"/>
      <c r="V216" s="151"/>
      <c r="W216" s="151"/>
      <c r="X216" s="151"/>
      <c r="Y216" s="151"/>
      <c r="Z216" s="151"/>
    </row>
    <row r="217" ht="12.75" customHeight="1">
      <c r="A217" s="151"/>
      <c r="B217" s="125" t="s">
        <v>494</v>
      </c>
      <c r="C217" s="126" t="s">
        <v>495</v>
      </c>
      <c r="D217" s="127" t="s">
        <v>76</v>
      </c>
      <c r="E217" s="151"/>
      <c r="F217" s="163">
        <v>11.0</v>
      </c>
      <c r="G217" s="164"/>
      <c r="H217" s="163">
        <v>11.454994045</v>
      </c>
      <c r="I217" s="164"/>
      <c r="J217" s="163">
        <v>11.909988089999999</v>
      </c>
      <c r="K217" s="164"/>
      <c r="L217" s="163">
        <v>11.454994045</v>
      </c>
      <c r="M217" s="164"/>
      <c r="N217" s="163">
        <v>11.454994045</v>
      </c>
      <c r="O217" s="164"/>
      <c r="P217" s="151"/>
      <c r="Q217" s="151"/>
      <c r="R217" s="151"/>
      <c r="S217" s="151"/>
      <c r="T217" s="151"/>
      <c r="U217" s="151"/>
      <c r="V217" s="151"/>
      <c r="W217" s="151"/>
      <c r="X217" s="151"/>
      <c r="Y217" s="151"/>
      <c r="Z217" s="151"/>
    </row>
    <row r="218" ht="12.75" customHeight="1">
      <c r="A218" s="151"/>
      <c r="B218" s="125" t="s">
        <v>496</v>
      </c>
      <c r="C218" s="126" t="s">
        <v>497</v>
      </c>
      <c r="D218" s="127" t="s">
        <v>76</v>
      </c>
      <c r="E218" s="151"/>
      <c r="F218" s="163">
        <v>7.554475103977691</v>
      </c>
      <c r="G218" s="164"/>
      <c r="H218" s="163">
        <v>8.023924226988846</v>
      </c>
      <c r="I218" s="164"/>
      <c r="J218" s="163">
        <v>8.49337335</v>
      </c>
      <c r="K218" s="164"/>
      <c r="L218" s="163">
        <v>8.023924226988846</v>
      </c>
      <c r="M218" s="164"/>
      <c r="N218" s="163">
        <v>8.023924226988846</v>
      </c>
      <c r="O218" s="164"/>
      <c r="P218" s="151"/>
      <c r="Q218" s="151"/>
      <c r="R218" s="151"/>
      <c r="S218" s="151"/>
      <c r="T218" s="151"/>
      <c r="U218" s="151"/>
      <c r="V218" s="151"/>
      <c r="W218" s="151"/>
      <c r="X218" s="151"/>
      <c r="Y218" s="151"/>
      <c r="Z218" s="151"/>
    </row>
    <row r="219" ht="12.75" customHeight="1">
      <c r="A219" s="151"/>
      <c r="B219" s="125" t="s">
        <v>498</v>
      </c>
      <c r="C219" s="126" t="s">
        <v>499</v>
      </c>
      <c r="D219" s="127" t="s">
        <v>76</v>
      </c>
      <c r="E219" s="151"/>
      <c r="F219" s="163">
        <v>20.87340851023746</v>
      </c>
      <c r="G219" s="164"/>
      <c r="H219" s="163">
        <v>21.917078935749334</v>
      </c>
      <c r="I219" s="164"/>
      <c r="J219" s="163">
        <v>22.960749361261207</v>
      </c>
      <c r="K219" s="164"/>
      <c r="L219" s="163">
        <v>21.917078935749334</v>
      </c>
      <c r="M219" s="164"/>
      <c r="N219" s="163">
        <v>21.917078935749334</v>
      </c>
      <c r="O219" s="164"/>
      <c r="P219" s="151"/>
      <c r="Q219" s="151"/>
      <c r="R219" s="151"/>
      <c r="S219" s="151"/>
      <c r="T219" s="151"/>
      <c r="U219" s="151"/>
      <c r="V219" s="151"/>
      <c r="W219" s="151"/>
      <c r="X219" s="151"/>
      <c r="Y219" s="151"/>
      <c r="Z219" s="151"/>
    </row>
    <row r="220" ht="12.75" customHeight="1">
      <c r="A220" s="151"/>
      <c r="B220" s="125" t="s">
        <v>500</v>
      </c>
      <c r="C220" s="126" t="s">
        <v>501</v>
      </c>
      <c r="D220" s="127" t="s">
        <v>76</v>
      </c>
      <c r="E220" s="151"/>
      <c r="F220" s="163">
        <v>33.02265924599025</v>
      </c>
      <c r="G220" s="164"/>
      <c r="H220" s="163">
        <v>31.09621999799512</v>
      </c>
      <c r="I220" s="164"/>
      <c r="J220" s="163">
        <v>29.169780750000005</v>
      </c>
      <c r="K220" s="164"/>
      <c r="L220" s="163">
        <v>31.09621999799512</v>
      </c>
      <c r="M220" s="164"/>
      <c r="N220" s="163">
        <v>31.09621999799512</v>
      </c>
      <c r="O220" s="164"/>
      <c r="P220" s="151"/>
      <c r="Q220" s="151"/>
      <c r="R220" s="151"/>
      <c r="S220" s="151"/>
      <c r="T220" s="151"/>
      <c r="U220" s="151"/>
      <c r="V220" s="151"/>
      <c r="W220" s="151"/>
      <c r="X220" s="151"/>
      <c r="Y220" s="151"/>
      <c r="Z220" s="151"/>
    </row>
    <row r="221" ht="12.75" customHeight="1">
      <c r="A221" s="151"/>
      <c r="B221" s="125" t="s">
        <v>502</v>
      </c>
      <c r="C221" s="126" t="s">
        <v>503</v>
      </c>
      <c r="D221" s="127" t="s">
        <v>76</v>
      </c>
      <c r="E221" s="151"/>
      <c r="F221" s="163">
        <v>27.675520462466007</v>
      </c>
      <c r="G221" s="164"/>
      <c r="H221" s="163">
        <v>25.85909497534882</v>
      </c>
      <c r="I221" s="164"/>
      <c r="J221" s="163">
        <v>24.04266948823163</v>
      </c>
      <c r="K221" s="164"/>
      <c r="L221" s="163">
        <v>25.85909497534882</v>
      </c>
      <c r="M221" s="164"/>
      <c r="N221" s="163">
        <v>25.85909497534882</v>
      </c>
      <c r="O221" s="164"/>
      <c r="P221" s="151"/>
      <c r="Q221" s="151"/>
      <c r="R221" s="151"/>
      <c r="S221" s="151"/>
      <c r="T221" s="151"/>
      <c r="U221" s="151"/>
      <c r="V221" s="151"/>
      <c r="W221" s="151"/>
      <c r="X221" s="151"/>
      <c r="Y221" s="151"/>
      <c r="Z221" s="151"/>
    </row>
    <row r="222" ht="12.75" customHeight="1">
      <c r="A222" s="151"/>
      <c r="B222" s="125" t="s">
        <v>504</v>
      </c>
      <c r="C222" s="126" t="s">
        <v>505</v>
      </c>
      <c r="D222" s="127" t="s">
        <v>76</v>
      </c>
      <c r="E222" s="151"/>
      <c r="F222" s="163">
        <v>29.378757092574737</v>
      </c>
      <c r="G222" s="164"/>
      <c r="H222" s="163">
        <v>27.356083502169724</v>
      </c>
      <c r="I222" s="164"/>
      <c r="J222" s="163">
        <v>25.333409911764708</v>
      </c>
      <c r="K222" s="164"/>
      <c r="L222" s="163">
        <v>27.356083502169724</v>
      </c>
      <c r="M222" s="164"/>
      <c r="N222" s="163">
        <v>27.356083502169724</v>
      </c>
      <c r="O222" s="164"/>
      <c r="P222" s="151"/>
      <c r="Q222" s="151"/>
      <c r="R222" s="151"/>
      <c r="S222" s="151"/>
      <c r="T222" s="151"/>
      <c r="U222" s="151"/>
      <c r="V222" s="151"/>
      <c r="W222" s="151"/>
      <c r="X222" s="151"/>
      <c r="Y222" s="151"/>
      <c r="Z222" s="151"/>
    </row>
    <row r="223" ht="12.75" customHeight="1">
      <c r="A223" s="151"/>
      <c r="B223" s="125" t="s">
        <v>506</v>
      </c>
      <c r="C223" s="126" t="s">
        <v>507</v>
      </c>
      <c r="D223" s="127" t="s">
        <v>76</v>
      </c>
      <c r="E223" s="151"/>
      <c r="F223" s="163">
        <v>59.2246263684801</v>
      </c>
      <c r="G223" s="164"/>
      <c r="H223" s="163">
        <v>55.93272914012241</v>
      </c>
      <c r="I223" s="164"/>
      <c r="J223" s="163">
        <v>52.640831911764714</v>
      </c>
      <c r="K223" s="164"/>
      <c r="L223" s="163">
        <v>55.93272914012241</v>
      </c>
      <c r="M223" s="164"/>
      <c r="N223" s="163">
        <v>55.93272914012241</v>
      </c>
      <c r="O223" s="164"/>
      <c r="P223" s="151"/>
      <c r="Q223" s="151"/>
      <c r="R223" s="151"/>
      <c r="S223" s="151"/>
      <c r="T223" s="151"/>
      <c r="U223" s="151"/>
      <c r="V223" s="151"/>
      <c r="W223" s="151"/>
      <c r="X223" s="151"/>
      <c r="Y223" s="151"/>
      <c r="Z223" s="151"/>
    </row>
    <row r="224" ht="12.75" customHeight="1">
      <c r="A224" s="151"/>
      <c r="B224" s="125" t="s">
        <v>508</v>
      </c>
      <c r="C224" s="126" t="s">
        <v>509</v>
      </c>
      <c r="D224" s="127" t="s">
        <v>76</v>
      </c>
      <c r="E224" s="151"/>
      <c r="F224" s="163">
        <v>28.792088905810715</v>
      </c>
      <c r="G224" s="164"/>
      <c r="H224" s="163">
        <v>28.98093482790536</v>
      </c>
      <c r="I224" s="164"/>
      <c r="J224" s="163">
        <v>29.169780750000005</v>
      </c>
      <c r="K224" s="164"/>
      <c r="L224" s="163">
        <v>28.98093482790536</v>
      </c>
      <c r="M224" s="164"/>
      <c r="N224" s="163">
        <v>28.98093482790536</v>
      </c>
      <c r="O224" s="164"/>
      <c r="P224" s="151"/>
      <c r="Q224" s="151"/>
      <c r="R224" s="151"/>
      <c r="S224" s="151"/>
      <c r="T224" s="151"/>
      <c r="U224" s="151"/>
      <c r="V224" s="151"/>
      <c r="W224" s="151"/>
      <c r="X224" s="151"/>
      <c r="Y224" s="151"/>
      <c r="Z224" s="151"/>
    </row>
    <row r="225" ht="12.75" customHeight="1">
      <c r="A225" s="151"/>
      <c r="B225" s="125" t="s">
        <v>510</v>
      </c>
      <c r="C225" s="126" t="s">
        <v>511</v>
      </c>
      <c r="D225" s="127" t="s">
        <v>76</v>
      </c>
      <c r="E225" s="151"/>
      <c r="F225" s="163">
        <v>21.504793807425386</v>
      </c>
      <c r="G225" s="164"/>
      <c r="H225" s="163">
        <v>21.645842712536222</v>
      </c>
      <c r="I225" s="164"/>
      <c r="J225" s="163">
        <v>21.786891617647058</v>
      </c>
      <c r="K225" s="164"/>
      <c r="L225" s="163">
        <v>21.645842712536222</v>
      </c>
      <c r="M225" s="164"/>
      <c r="N225" s="163">
        <v>21.645842712536222</v>
      </c>
      <c r="O225" s="164"/>
      <c r="P225" s="151"/>
      <c r="Q225" s="151"/>
      <c r="R225" s="151"/>
      <c r="S225" s="151"/>
      <c r="T225" s="151"/>
      <c r="U225" s="151"/>
      <c r="V225" s="151"/>
      <c r="W225" s="151"/>
      <c r="X225" s="151"/>
      <c r="Y225" s="151"/>
      <c r="Z225" s="151"/>
    </row>
    <row r="226" ht="12.75" customHeight="1">
      <c r="A226" s="151"/>
      <c r="B226" s="125" t="s">
        <v>512</v>
      </c>
      <c r="C226" s="126" t="s">
        <v>513</v>
      </c>
      <c r="D226" s="127" t="s">
        <v>76</v>
      </c>
      <c r="E226" s="151"/>
      <c r="F226" s="163">
        <v>28.792088905810715</v>
      </c>
      <c r="G226" s="164"/>
      <c r="H226" s="163">
        <v>28.98093482790536</v>
      </c>
      <c r="I226" s="164"/>
      <c r="J226" s="163">
        <v>29.169780750000005</v>
      </c>
      <c r="K226" s="164"/>
      <c r="L226" s="163">
        <v>28.98093482790536</v>
      </c>
      <c r="M226" s="164"/>
      <c r="N226" s="163">
        <v>28.98093482790536</v>
      </c>
      <c r="O226" s="164"/>
      <c r="P226" s="151"/>
      <c r="Q226" s="151"/>
      <c r="R226" s="151"/>
      <c r="S226" s="151"/>
      <c r="T226" s="151"/>
      <c r="U226" s="151"/>
      <c r="V226" s="151"/>
      <c r="W226" s="151"/>
      <c r="X226" s="151"/>
      <c r="Y226" s="151"/>
      <c r="Z226" s="151"/>
    </row>
    <row r="227" ht="12.75" customHeight="1">
      <c r="A227" s="151"/>
      <c r="B227" s="125" t="s">
        <v>514</v>
      </c>
      <c r="C227" s="126" t="s">
        <v>515</v>
      </c>
      <c r="D227" s="127" t="s">
        <v>76</v>
      </c>
      <c r="E227" s="151"/>
      <c r="F227" s="163">
        <v>16.96</v>
      </c>
      <c r="G227" s="164"/>
      <c r="H227" s="163">
        <v>16.445</v>
      </c>
      <c r="I227" s="164"/>
      <c r="J227" s="163">
        <v>15.930000000000001</v>
      </c>
      <c r="K227" s="164"/>
      <c r="L227" s="163">
        <v>16.445</v>
      </c>
      <c r="M227" s="164"/>
      <c r="N227" s="163">
        <v>16.445</v>
      </c>
      <c r="O227" s="164"/>
      <c r="P227" s="151"/>
      <c r="Q227" s="151"/>
      <c r="R227" s="151"/>
      <c r="S227" s="151"/>
      <c r="T227" s="151"/>
      <c r="U227" s="151"/>
      <c r="V227" s="151"/>
      <c r="W227" s="151"/>
      <c r="X227" s="151"/>
      <c r="Y227" s="151"/>
      <c r="Z227" s="151"/>
    </row>
    <row r="228" ht="12.75" customHeight="1">
      <c r="A228" s="151"/>
      <c r="B228" s="125" t="s">
        <v>516</v>
      </c>
      <c r="C228" s="126" t="s">
        <v>517</v>
      </c>
      <c r="D228" s="127" t="s">
        <v>76</v>
      </c>
      <c r="E228" s="151"/>
      <c r="F228" s="163">
        <v>17.643864382579075</v>
      </c>
      <c r="G228" s="164"/>
      <c r="H228" s="163">
        <v>16.696932191289537</v>
      </c>
      <c r="I228" s="164"/>
      <c r="J228" s="163">
        <v>15.75</v>
      </c>
      <c r="K228" s="164"/>
      <c r="L228" s="163">
        <v>16.696932191289537</v>
      </c>
      <c r="M228" s="164"/>
      <c r="N228" s="163">
        <v>16.696932191289537</v>
      </c>
      <c r="O228" s="164"/>
      <c r="P228" s="151"/>
      <c r="Q228" s="151"/>
      <c r="R228" s="151"/>
      <c r="S228" s="151"/>
      <c r="T228" s="151"/>
      <c r="U228" s="151"/>
      <c r="V228" s="151"/>
      <c r="W228" s="151"/>
      <c r="X228" s="151"/>
      <c r="Y228" s="151"/>
      <c r="Z228" s="151"/>
    </row>
    <row r="229" ht="12.75" customHeight="1">
      <c r="A229" s="151"/>
      <c r="B229" s="125" t="s">
        <v>518</v>
      </c>
      <c r="C229" s="126" t="s">
        <v>519</v>
      </c>
      <c r="D229" s="127" t="s">
        <v>76</v>
      </c>
      <c r="E229" s="151"/>
      <c r="F229" s="163">
        <v>13.370449781166384</v>
      </c>
      <c r="G229" s="164"/>
      <c r="H229" s="163">
        <v>14.335224890583193</v>
      </c>
      <c r="I229" s="164"/>
      <c r="J229" s="163">
        <v>15.3</v>
      </c>
      <c r="K229" s="164"/>
      <c r="L229" s="163">
        <v>14.335224890583193</v>
      </c>
      <c r="M229" s="164"/>
      <c r="N229" s="163">
        <v>14.335224890583193</v>
      </c>
      <c r="O229" s="164"/>
      <c r="P229" s="151"/>
      <c r="Q229" s="151"/>
      <c r="R229" s="151"/>
      <c r="S229" s="151"/>
      <c r="T229" s="151"/>
      <c r="U229" s="151"/>
      <c r="V229" s="151"/>
      <c r="W229" s="151"/>
      <c r="X229" s="151"/>
      <c r="Y229" s="151"/>
      <c r="Z229" s="151"/>
    </row>
    <row r="230" ht="12.75" customHeight="1">
      <c r="A230" s="151"/>
      <c r="B230" s="125" t="s">
        <v>520</v>
      </c>
      <c r="C230" s="126" t="s">
        <v>521</v>
      </c>
      <c r="D230" s="127" t="s">
        <v>76</v>
      </c>
      <c r="E230" s="151"/>
      <c r="F230" s="163">
        <v>15.077705327016767</v>
      </c>
      <c r="G230" s="164"/>
      <c r="H230" s="163">
        <v>14.962314725024292</v>
      </c>
      <c r="I230" s="164"/>
      <c r="J230" s="163">
        <v>14.846924123031817</v>
      </c>
      <c r="K230" s="164"/>
      <c r="L230" s="163">
        <v>14.962314725024292</v>
      </c>
      <c r="M230" s="164"/>
      <c r="N230" s="163">
        <v>14.962314725024292</v>
      </c>
      <c r="O230" s="164"/>
      <c r="P230" s="151"/>
      <c r="Q230" s="151"/>
      <c r="R230" s="151"/>
      <c r="S230" s="151"/>
      <c r="T230" s="151"/>
      <c r="U230" s="151"/>
      <c r="V230" s="151"/>
      <c r="W230" s="151"/>
      <c r="X230" s="151"/>
      <c r="Y230" s="151"/>
      <c r="Z230" s="151"/>
    </row>
    <row r="231" ht="12.75" customHeight="1">
      <c r="A231" s="151"/>
      <c r="B231" s="125" t="s">
        <v>522</v>
      </c>
      <c r="C231" s="126" t="s">
        <v>523</v>
      </c>
      <c r="D231" s="127" t="s">
        <v>76</v>
      </c>
      <c r="E231" s="151"/>
      <c r="F231" s="163">
        <v>47.49071186440677</v>
      </c>
      <c r="G231" s="164"/>
      <c r="H231" s="163">
        <v>44.89535593220338</v>
      </c>
      <c r="I231" s="164"/>
      <c r="J231" s="163">
        <v>42.3</v>
      </c>
      <c r="K231" s="164"/>
      <c r="L231" s="163">
        <v>44.89535593220338</v>
      </c>
      <c r="M231" s="164"/>
      <c r="N231" s="163">
        <v>44.89535593220338</v>
      </c>
      <c r="O231" s="164"/>
      <c r="P231" s="151"/>
      <c r="Q231" s="151"/>
      <c r="R231" s="151"/>
      <c r="S231" s="151"/>
      <c r="T231" s="151"/>
      <c r="U231" s="151"/>
      <c r="V231" s="151"/>
      <c r="W231" s="151"/>
      <c r="X231" s="151"/>
      <c r="Y231" s="151"/>
      <c r="Z231" s="151"/>
    </row>
    <row r="232" ht="12.75" customHeight="1">
      <c r="A232" s="151"/>
      <c r="B232" s="125" t="s">
        <v>524</v>
      </c>
      <c r="C232" s="126" t="s">
        <v>525</v>
      </c>
      <c r="D232" s="127" t="s">
        <v>76</v>
      </c>
      <c r="E232" s="151"/>
      <c r="F232" s="163">
        <v>33.12</v>
      </c>
      <c r="G232" s="164"/>
      <c r="H232" s="163">
        <v>30.869999999999997</v>
      </c>
      <c r="I232" s="164"/>
      <c r="J232" s="163">
        <v>28.62</v>
      </c>
      <c r="K232" s="164"/>
      <c r="L232" s="163">
        <v>30.869999999999997</v>
      </c>
      <c r="M232" s="164"/>
      <c r="N232" s="163">
        <v>30.869999999999997</v>
      </c>
      <c r="O232" s="164"/>
      <c r="P232" s="151"/>
      <c r="Q232" s="151"/>
      <c r="R232" s="151"/>
      <c r="S232" s="151"/>
      <c r="T232" s="151"/>
      <c r="U232" s="151"/>
      <c r="V232" s="151"/>
      <c r="W232" s="151"/>
      <c r="X232" s="151"/>
      <c r="Y232" s="151"/>
      <c r="Z232" s="151"/>
    </row>
    <row r="233" ht="12.75" customHeight="1">
      <c r="A233" s="151"/>
      <c r="B233" s="125" t="s">
        <v>526</v>
      </c>
      <c r="C233" s="126" t="s">
        <v>527</v>
      </c>
      <c r="D233" s="127" t="s">
        <v>76</v>
      </c>
      <c r="E233" s="151"/>
      <c r="F233" s="163">
        <v>48.86934914454767</v>
      </c>
      <c r="G233" s="164"/>
      <c r="H233" s="163">
        <v>43.98536527774656</v>
      </c>
      <c r="I233" s="164"/>
      <c r="J233" s="163">
        <v>39.10138141094545</v>
      </c>
      <c r="K233" s="164"/>
      <c r="L233" s="163">
        <v>43.98536527774656</v>
      </c>
      <c r="M233" s="164"/>
      <c r="N233" s="163">
        <v>43.98536527774656</v>
      </c>
      <c r="O233" s="164"/>
      <c r="P233" s="151"/>
      <c r="Q233" s="151"/>
      <c r="R233" s="151"/>
      <c r="S233" s="151"/>
      <c r="T233" s="151"/>
      <c r="U233" s="151"/>
      <c r="V233" s="151"/>
      <c r="W233" s="151"/>
      <c r="X233" s="151"/>
      <c r="Y233" s="151"/>
      <c r="Z233" s="151"/>
    </row>
    <row r="234" ht="12.75" customHeight="1">
      <c r="A234" s="151"/>
      <c r="B234" s="125" t="s">
        <v>528</v>
      </c>
      <c r="C234" s="126" t="s">
        <v>529</v>
      </c>
      <c r="D234" s="127" t="s">
        <v>76</v>
      </c>
      <c r="E234" s="151"/>
      <c r="F234" s="163">
        <v>33.12</v>
      </c>
      <c r="G234" s="164"/>
      <c r="H234" s="163">
        <v>29.86</v>
      </c>
      <c r="I234" s="164"/>
      <c r="J234" s="163">
        <v>26.6</v>
      </c>
      <c r="K234" s="164"/>
      <c r="L234" s="163">
        <v>29.86</v>
      </c>
      <c r="M234" s="164"/>
      <c r="N234" s="163">
        <v>29.86</v>
      </c>
      <c r="O234" s="164"/>
      <c r="P234" s="151"/>
      <c r="Q234" s="151"/>
      <c r="R234" s="151"/>
      <c r="S234" s="151"/>
      <c r="T234" s="151"/>
      <c r="U234" s="151"/>
      <c r="V234" s="151"/>
      <c r="W234" s="151"/>
      <c r="X234" s="151"/>
      <c r="Y234" s="151"/>
      <c r="Z234" s="151"/>
    </row>
    <row r="235" ht="12.75" customHeight="1">
      <c r="A235" s="151"/>
      <c r="B235" s="125" t="s">
        <v>530</v>
      </c>
      <c r="C235" s="126" t="s">
        <v>531</v>
      </c>
      <c r="D235" s="127" t="s">
        <v>76</v>
      </c>
      <c r="E235" s="151"/>
      <c r="F235" s="163">
        <v>23.029006574473506</v>
      </c>
      <c r="G235" s="164"/>
      <c r="H235" s="163">
        <v>24.148418728413223</v>
      </c>
      <c r="I235" s="164"/>
      <c r="J235" s="163">
        <v>25.26783088235294</v>
      </c>
      <c r="K235" s="164"/>
      <c r="L235" s="163">
        <v>24.148418728413223</v>
      </c>
      <c r="M235" s="164"/>
      <c r="N235" s="163">
        <v>24.148418728413223</v>
      </c>
      <c r="O235" s="164"/>
      <c r="P235" s="151"/>
      <c r="Q235" s="151"/>
      <c r="R235" s="151"/>
      <c r="S235" s="151"/>
      <c r="T235" s="151"/>
      <c r="U235" s="151"/>
      <c r="V235" s="151"/>
      <c r="W235" s="151"/>
      <c r="X235" s="151"/>
      <c r="Y235" s="151"/>
      <c r="Z235" s="151"/>
    </row>
    <row r="236" ht="12.75" customHeight="1">
      <c r="A236" s="151"/>
      <c r="B236" s="125" t="s">
        <v>532</v>
      </c>
      <c r="C236" s="126" t="s">
        <v>533</v>
      </c>
      <c r="D236" s="127" t="s">
        <v>76</v>
      </c>
      <c r="E236" s="151"/>
      <c r="F236" s="163">
        <v>30.1981996678834</v>
      </c>
      <c r="G236" s="164"/>
      <c r="H236" s="163">
        <v>30.13079395158876</v>
      </c>
      <c r="I236" s="164"/>
      <c r="J236" s="163">
        <v>30.06338823529412</v>
      </c>
      <c r="K236" s="164"/>
      <c r="L236" s="163">
        <v>30.13079395158876</v>
      </c>
      <c r="M236" s="164"/>
      <c r="N236" s="163">
        <v>30.13079395158876</v>
      </c>
      <c r="O236" s="164"/>
      <c r="P236" s="151"/>
      <c r="Q236" s="151"/>
      <c r="R236" s="151"/>
      <c r="S236" s="151"/>
      <c r="T236" s="151"/>
      <c r="U236" s="151"/>
      <c r="V236" s="151"/>
      <c r="W236" s="151"/>
      <c r="X236" s="151"/>
      <c r="Y236" s="151"/>
      <c r="Z236" s="151"/>
    </row>
    <row r="237" ht="12.75" customHeight="1">
      <c r="A237" s="151"/>
      <c r="B237" s="125" t="s">
        <v>534</v>
      </c>
      <c r="C237" s="126" t="s">
        <v>535</v>
      </c>
      <c r="D237" s="127" t="s">
        <v>76</v>
      </c>
      <c r="E237" s="151"/>
      <c r="F237" s="163">
        <v>23.768543959909085</v>
      </c>
      <c r="G237" s="164"/>
      <c r="H237" s="163">
        <v>24.84343815642513</v>
      </c>
      <c r="I237" s="164"/>
      <c r="J237" s="163">
        <v>25.918332352941178</v>
      </c>
      <c r="K237" s="164"/>
      <c r="L237" s="163">
        <v>24.84343815642513</v>
      </c>
      <c r="M237" s="164"/>
      <c r="N237" s="163">
        <v>24.84343815642513</v>
      </c>
      <c r="O237" s="164"/>
      <c r="P237" s="151"/>
      <c r="Q237" s="151"/>
      <c r="R237" s="151"/>
      <c r="S237" s="151"/>
      <c r="T237" s="151"/>
      <c r="U237" s="151"/>
      <c r="V237" s="151"/>
      <c r="W237" s="151"/>
      <c r="X237" s="151"/>
      <c r="Y237" s="151"/>
      <c r="Z237" s="151"/>
    </row>
    <row r="238" ht="12.75" customHeight="1">
      <c r="A238" s="151"/>
      <c r="B238" s="125" t="s">
        <v>536</v>
      </c>
      <c r="C238" s="126" t="s">
        <v>537</v>
      </c>
      <c r="D238" s="127" t="s">
        <v>76</v>
      </c>
      <c r="E238" s="151"/>
      <c r="F238" s="163">
        <v>23.019393396559156</v>
      </c>
      <c r="G238" s="164"/>
      <c r="H238" s="163">
        <v>24.06040846298546</v>
      </c>
      <c r="I238" s="164"/>
      <c r="J238" s="163">
        <v>25.101423529411765</v>
      </c>
      <c r="K238" s="164"/>
      <c r="L238" s="163">
        <v>24.06040846298546</v>
      </c>
      <c r="M238" s="164"/>
      <c r="N238" s="163">
        <v>24.06040846298546</v>
      </c>
      <c r="O238" s="164"/>
      <c r="P238" s="151"/>
      <c r="Q238" s="151"/>
      <c r="R238" s="151"/>
      <c r="S238" s="151"/>
      <c r="T238" s="151"/>
      <c r="U238" s="151"/>
      <c r="V238" s="151"/>
      <c r="W238" s="151"/>
      <c r="X238" s="151"/>
      <c r="Y238" s="151"/>
      <c r="Z238" s="151"/>
    </row>
    <row r="239" ht="12.75" customHeight="1">
      <c r="A239" s="151"/>
      <c r="B239" s="125" t="s">
        <v>538</v>
      </c>
      <c r="C239" s="126" t="s">
        <v>539</v>
      </c>
      <c r="D239" s="127" t="s">
        <v>76</v>
      </c>
      <c r="E239" s="151"/>
      <c r="F239" s="163">
        <v>27.00544698521175</v>
      </c>
      <c r="G239" s="164"/>
      <c r="H239" s="163">
        <v>26.50727349260588</v>
      </c>
      <c r="I239" s="164"/>
      <c r="J239" s="163">
        <v>26.0091</v>
      </c>
      <c r="K239" s="164"/>
      <c r="L239" s="163">
        <v>26.50727349260588</v>
      </c>
      <c r="M239" s="164"/>
      <c r="N239" s="163">
        <v>26.50727349260588</v>
      </c>
      <c r="O239" s="164"/>
      <c r="P239" s="151"/>
      <c r="Q239" s="151"/>
      <c r="R239" s="151"/>
      <c r="S239" s="151"/>
      <c r="T239" s="151"/>
      <c r="U239" s="151"/>
      <c r="V239" s="151"/>
      <c r="W239" s="151"/>
      <c r="X239" s="151"/>
      <c r="Y239" s="151"/>
      <c r="Z239" s="151"/>
    </row>
    <row r="240" ht="12.75" customHeight="1">
      <c r="A240" s="151"/>
      <c r="B240" s="125" t="s">
        <v>540</v>
      </c>
      <c r="C240" s="126" t="s">
        <v>541</v>
      </c>
      <c r="D240" s="127" t="s">
        <v>76</v>
      </c>
      <c r="E240" s="151"/>
      <c r="F240" s="163">
        <v>28.433926203208554</v>
      </c>
      <c r="G240" s="164"/>
      <c r="H240" s="163">
        <v>26.359220454545454</v>
      </c>
      <c r="I240" s="164"/>
      <c r="J240" s="163">
        <v>24.28451470588235</v>
      </c>
      <c r="K240" s="164"/>
      <c r="L240" s="163">
        <v>26.359220454545454</v>
      </c>
      <c r="M240" s="164"/>
      <c r="N240" s="163">
        <v>26.359220454545454</v>
      </c>
      <c r="O240" s="164"/>
      <c r="P240" s="151"/>
      <c r="Q240" s="151"/>
      <c r="R240" s="151"/>
      <c r="S240" s="151"/>
      <c r="T240" s="151"/>
      <c r="U240" s="151"/>
      <c r="V240" s="151"/>
      <c r="W240" s="151"/>
      <c r="X240" s="151"/>
      <c r="Y240" s="151"/>
      <c r="Z240" s="151"/>
    </row>
    <row r="241" ht="12.75" customHeight="1">
      <c r="A241" s="151"/>
      <c r="B241" s="125" t="s">
        <v>542</v>
      </c>
      <c r="C241" s="126" t="s">
        <v>543</v>
      </c>
      <c r="D241" s="127" t="s">
        <v>76</v>
      </c>
      <c r="E241" s="151"/>
      <c r="F241" s="163">
        <v>21.0</v>
      </c>
      <c r="G241" s="164"/>
      <c r="H241" s="163">
        <v>22.05</v>
      </c>
      <c r="I241" s="164"/>
      <c r="J241" s="163">
        <v>23.1</v>
      </c>
      <c r="K241" s="164"/>
      <c r="L241" s="163">
        <v>22.05</v>
      </c>
      <c r="M241" s="164"/>
      <c r="N241" s="163">
        <v>22.05</v>
      </c>
      <c r="O241" s="164"/>
      <c r="P241" s="151"/>
      <c r="Q241" s="151"/>
      <c r="R241" s="151"/>
      <c r="S241" s="151"/>
      <c r="T241" s="151"/>
      <c r="U241" s="151"/>
      <c r="V241" s="151"/>
      <c r="W241" s="151"/>
      <c r="X241" s="151"/>
      <c r="Y241" s="151"/>
      <c r="Z241" s="151"/>
    </row>
    <row r="242" ht="12.75" customHeight="1">
      <c r="A242" s="151"/>
      <c r="B242" s="125" t="s">
        <v>544</v>
      </c>
      <c r="C242" s="126" t="s">
        <v>545</v>
      </c>
      <c r="D242" s="127" t="s">
        <v>142</v>
      </c>
      <c r="E242" s="151"/>
      <c r="F242" s="163">
        <v>180.0</v>
      </c>
      <c r="G242" s="164"/>
      <c r="H242" s="163">
        <v>180.0</v>
      </c>
      <c r="I242" s="164"/>
      <c r="J242" s="163">
        <v>180.0</v>
      </c>
      <c r="K242" s="164"/>
      <c r="L242" s="163">
        <v>180.0</v>
      </c>
      <c r="M242" s="164"/>
      <c r="N242" s="163">
        <v>180.0</v>
      </c>
      <c r="O242" s="164"/>
      <c r="P242" s="151"/>
      <c r="Q242" s="151"/>
      <c r="R242" s="151"/>
      <c r="S242" s="151"/>
      <c r="T242" s="151"/>
      <c r="U242" s="151"/>
      <c r="V242" s="151"/>
      <c r="W242" s="151"/>
      <c r="X242" s="151"/>
      <c r="Y242" s="151"/>
      <c r="Z242" s="151"/>
    </row>
    <row r="243" ht="12.75" customHeight="1">
      <c r="A243" s="151"/>
      <c r="B243" s="125" t="s">
        <v>546</v>
      </c>
      <c r="C243" s="126" t="s">
        <v>547</v>
      </c>
      <c r="D243" s="127" t="s">
        <v>76</v>
      </c>
      <c r="E243" s="151"/>
      <c r="F243" s="163">
        <v>34.18</v>
      </c>
      <c r="G243" s="164"/>
      <c r="H243" s="163">
        <v>35.889</v>
      </c>
      <c r="I243" s="164"/>
      <c r="J243" s="163">
        <v>37.598000000000006</v>
      </c>
      <c r="K243" s="164"/>
      <c r="L243" s="163">
        <v>35.889</v>
      </c>
      <c r="M243" s="164"/>
      <c r="N243" s="163">
        <v>35.889</v>
      </c>
      <c r="O243" s="164"/>
      <c r="P243" s="151"/>
      <c r="Q243" s="151"/>
      <c r="R243" s="151"/>
      <c r="S243" s="151"/>
      <c r="T243" s="151"/>
      <c r="U243" s="151"/>
      <c r="V243" s="151"/>
      <c r="W243" s="151"/>
      <c r="X243" s="151"/>
      <c r="Y243" s="151"/>
      <c r="Z243" s="151"/>
    </row>
    <row r="244" ht="12.75" customHeight="1">
      <c r="A244" s="151"/>
      <c r="B244" s="125" t="s">
        <v>548</v>
      </c>
      <c r="C244" s="126" t="s">
        <v>549</v>
      </c>
      <c r="D244" s="127" t="s">
        <v>76</v>
      </c>
      <c r="E244" s="151"/>
      <c r="F244" s="163">
        <v>7.7212485</v>
      </c>
      <c r="G244" s="164"/>
      <c r="H244" s="163">
        <v>8.6462540703</v>
      </c>
      <c r="I244" s="164"/>
      <c r="J244" s="163">
        <v>9.5712596406</v>
      </c>
      <c r="K244" s="164"/>
      <c r="L244" s="163">
        <v>8.6462540703</v>
      </c>
      <c r="M244" s="164"/>
      <c r="N244" s="163">
        <v>8.6462540703</v>
      </c>
      <c r="O244" s="164"/>
      <c r="P244" s="151"/>
      <c r="Q244" s="151"/>
      <c r="R244" s="151"/>
      <c r="S244" s="151"/>
      <c r="T244" s="151"/>
      <c r="U244" s="151"/>
      <c r="V244" s="151"/>
      <c r="W244" s="151"/>
      <c r="X244" s="151"/>
      <c r="Y244" s="151"/>
      <c r="Z244" s="151"/>
    </row>
    <row r="245" ht="12.75" customHeight="1">
      <c r="A245" s="151"/>
      <c r="B245" s="125" t="s">
        <v>550</v>
      </c>
      <c r="C245" s="126" t="s">
        <v>551</v>
      </c>
      <c r="D245" s="127" t="s">
        <v>76</v>
      </c>
      <c r="E245" s="151"/>
      <c r="F245" s="163">
        <v>97.01611809166667</v>
      </c>
      <c r="G245" s="164"/>
      <c r="H245" s="163">
        <v>97.01611809166667</v>
      </c>
      <c r="I245" s="164"/>
      <c r="J245" s="163">
        <v>97.01611809166667</v>
      </c>
      <c r="K245" s="164"/>
      <c r="L245" s="163">
        <v>97.01611809166667</v>
      </c>
      <c r="M245" s="164"/>
      <c r="N245" s="163">
        <v>97.01611809166667</v>
      </c>
      <c r="O245" s="164"/>
      <c r="P245" s="151"/>
      <c r="Q245" s="151"/>
      <c r="R245" s="151"/>
      <c r="S245" s="151"/>
      <c r="T245" s="151"/>
      <c r="U245" s="151"/>
      <c r="V245" s="151"/>
      <c r="W245" s="151"/>
      <c r="X245" s="151"/>
      <c r="Y245" s="151"/>
      <c r="Z245" s="151"/>
    </row>
    <row r="246" ht="12.75" customHeight="1">
      <c r="A246" s="151"/>
      <c r="B246" s="125" t="s">
        <v>552</v>
      </c>
      <c r="C246" s="126" t="s">
        <v>553</v>
      </c>
      <c r="D246" s="127" t="s">
        <v>76</v>
      </c>
      <c r="E246" s="151"/>
      <c r="F246" s="163">
        <v>21.557542074278548</v>
      </c>
      <c r="G246" s="164"/>
      <c r="H246" s="163">
        <v>24.50627103713927</v>
      </c>
      <c r="I246" s="164"/>
      <c r="J246" s="163">
        <v>27.455</v>
      </c>
      <c r="K246" s="164"/>
      <c r="L246" s="163">
        <v>24.50627103713927</v>
      </c>
      <c r="M246" s="164"/>
      <c r="N246" s="163">
        <v>24.50627103713927</v>
      </c>
      <c r="O246" s="164"/>
      <c r="P246" s="151"/>
      <c r="Q246" s="151"/>
      <c r="R246" s="151"/>
      <c r="S246" s="151"/>
      <c r="T246" s="151"/>
      <c r="U246" s="151"/>
      <c r="V246" s="151"/>
      <c r="W246" s="151"/>
      <c r="X246" s="151"/>
      <c r="Y246" s="151"/>
      <c r="Z246" s="151"/>
    </row>
    <row r="247" ht="12.75" customHeight="1">
      <c r="A247" s="151"/>
      <c r="B247" s="125" t="s">
        <v>554</v>
      </c>
      <c r="C247" s="126" t="s">
        <v>555</v>
      </c>
      <c r="D247" s="127" t="s">
        <v>76</v>
      </c>
      <c r="E247" s="151"/>
      <c r="F247" s="163">
        <v>24.86082966727259</v>
      </c>
      <c r="G247" s="164"/>
      <c r="H247" s="163">
        <v>26.157914833636294</v>
      </c>
      <c r="I247" s="164"/>
      <c r="J247" s="163">
        <v>27.455</v>
      </c>
      <c r="K247" s="164"/>
      <c r="L247" s="163">
        <v>26.157914833636294</v>
      </c>
      <c r="M247" s="164"/>
      <c r="N247" s="163">
        <v>26.157914833636294</v>
      </c>
      <c r="O247" s="164"/>
      <c r="P247" s="151"/>
      <c r="Q247" s="151"/>
      <c r="R247" s="151"/>
      <c r="S247" s="151"/>
      <c r="T247" s="151"/>
      <c r="U247" s="151"/>
      <c r="V247" s="151"/>
      <c r="W247" s="151"/>
      <c r="X247" s="151"/>
      <c r="Y247" s="151"/>
      <c r="Z247" s="151"/>
    </row>
    <row r="248" ht="12.75" customHeight="1">
      <c r="A248" s="151"/>
      <c r="B248" s="113" t="s">
        <v>556</v>
      </c>
      <c r="C248" s="114" t="s">
        <v>557</v>
      </c>
      <c r="D248" s="115"/>
      <c r="E248" s="151"/>
      <c r="F248" s="161"/>
      <c r="G248" s="162"/>
      <c r="H248" s="161"/>
      <c r="I248" s="162"/>
      <c r="J248" s="161"/>
      <c r="K248" s="162"/>
      <c r="L248" s="161"/>
      <c r="M248" s="162"/>
      <c r="N248" s="161"/>
      <c r="O248" s="162"/>
      <c r="P248" s="151"/>
      <c r="Q248" s="151"/>
      <c r="R248" s="151"/>
      <c r="S248" s="151"/>
      <c r="T248" s="151"/>
      <c r="U248" s="151"/>
      <c r="V248" s="151"/>
      <c r="W248" s="151"/>
      <c r="X248" s="151"/>
      <c r="Y248" s="151"/>
      <c r="Z248" s="151"/>
    </row>
    <row r="249" ht="12.75" customHeight="1">
      <c r="A249" s="151"/>
      <c r="B249" s="125" t="s">
        <v>558</v>
      </c>
      <c r="C249" s="126" t="s">
        <v>559</v>
      </c>
      <c r="D249" s="127" t="s">
        <v>142</v>
      </c>
      <c r="E249" s="151"/>
      <c r="F249" s="163">
        <v>630.2707740000001</v>
      </c>
      <c r="G249" s="164"/>
      <c r="H249" s="163">
        <v>630.2707740000001</v>
      </c>
      <c r="I249" s="164"/>
      <c r="J249" s="163">
        <v>630.2707740000001</v>
      </c>
      <c r="K249" s="164"/>
      <c r="L249" s="163">
        <v>630.2707740000001</v>
      </c>
      <c r="M249" s="164"/>
      <c r="N249" s="163">
        <v>630.2707740000001</v>
      </c>
      <c r="O249" s="164"/>
      <c r="P249" s="151"/>
      <c r="Q249" s="151"/>
      <c r="R249" s="151"/>
      <c r="S249" s="151"/>
      <c r="T249" s="151"/>
      <c r="U249" s="151"/>
      <c r="V249" s="151"/>
      <c r="W249" s="151"/>
      <c r="X249" s="151"/>
      <c r="Y249" s="151"/>
      <c r="Z249" s="151"/>
    </row>
    <row r="250" ht="12.75" customHeight="1">
      <c r="A250" s="151"/>
      <c r="B250" s="125" t="s">
        <v>560</v>
      </c>
      <c r="C250" s="126" t="s">
        <v>561</v>
      </c>
      <c r="D250" s="127" t="s">
        <v>142</v>
      </c>
      <c r="E250" s="151"/>
      <c r="F250" s="163">
        <v>1012.1400000000001</v>
      </c>
      <c r="G250" s="164"/>
      <c r="H250" s="163">
        <v>1012.1400000000001</v>
      </c>
      <c r="I250" s="164"/>
      <c r="J250" s="163">
        <v>1012.1400000000001</v>
      </c>
      <c r="K250" s="164"/>
      <c r="L250" s="163">
        <v>1012.1400000000001</v>
      </c>
      <c r="M250" s="164"/>
      <c r="N250" s="163">
        <v>1012.1400000000001</v>
      </c>
      <c r="O250" s="164"/>
      <c r="P250" s="151"/>
      <c r="Q250" s="151"/>
      <c r="R250" s="151"/>
      <c r="S250" s="151"/>
      <c r="T250" s="151"/>
      <c r="U250" s="151"/>
      <c r="V250" s="151"/>
      <c r="W250" s="151"/>
      <c r="X250" s="151"/>
      <c r="Y250" s="151"/>
      <c r="Z250" s="151"/>
    </row>
    <row r="251" ht="12.75" customHeight="1">
      <c r="A251" s="151"/>
      <c r="B251" s="125" t="s">
        <v>562</v>
      </c>
      <c r="C251" s="126" t="s">
        <v>563</v>
      </c>
      <c r="D251" s="127" t="s">
        <v>142</v>
      </c>
      <c r="E251" s="151"/>
      <c r="F251" s="163">
        <v>1077.0</v>
      </c>
      <c r="G251" s="164"/>
      <c r="H251" s="163">
        <v>1077.0</v>
      </c>
      <c r="I251" s="164"/>
      <c r="J251" s="163">
        <v>1077.0</v>
      </c>
      <c r="K251" s="164"/>
      <c r="L251" s="163">
        <v>1077.0</v>
      </c>
      <c r="M251" s="164"/>
      <c r="N251" s="163">
        <v>1077.0</v>
      </c>
      <c r="O251" s="164"/>
      <c r="P251" s="151"/>
      <c r="Q251" s="151"/>
      <c r="R251" s="151"/>
      <c r="S251" s="151"/>
      <c r="T251" s="151"/>
      <c r="U251" s="151"/>
      <c r="V251" s="151"/>
      <c r="W251" s="151"/>
      <c r="X251" s="151"/>
      <c r="Y251" s="151"/>
      <c r="Z251" s="151"/>
    </row>
    <row r="252" ht="12.75" customHeight="1">
      <c r="A252" s="151"/>
      <c r="B252" s="125" t="s">
        <v>564</v>
      </c>
      <c r="C252" s="126" t="s">
        <v>565</v>
      </c>
      <c r="D252" s="127" t="s">
        <v>142</v>
      </c>
      <c r="E252" s="151"/>
      <c r="F252" s="163">
        <v>1206.95</v>
      </c>
      <c r="G252" s="164"/>
      <c r="H252" s="163">
        <v>1206.95</v>
      </c>
      <c r="I252" s="164"/>
      <c r="J252" s="163">
        <v>1206.95</v>
      </c>
      <c r="K252" s="164"/>
      <c r="L252" s="163">
        <v>1206.95</v>
      </c>
      <c r="M252" s="164"/>
      <c r="N252" s="163">
        <v>1206.95</v>
      </c>
      <c r="O252" s="164"/>
      <c r="P252" s="151"/>
      <c r="Q252" s="151"/>
      <c r="R252" s="151"/>
      <c r="S252" s="151"/>
      <c r="T252" s="151"/>
      <c r="U252" s="151"/>
      <c r="V252" s="151"/>
      <c r="W252" s="151"/>
      <c r="X252" s="151"/>
      <c r="Y252" s="151"/>
      <c r="Z252" s="151"/>
    </row>
    <row r="253" ht="12.75" customHeight="1">
      <c r="A253" s="151"/>
      <c r="B253" s="125" t="s">
        <v>566</v>
      </c>
      <c r="C253" s="126" t="s">
        <v>567</v>
      </c>
      <c r="D253" s="127" t="s">
        <v>142</v>
      </c>
      <c r="E253" s="151"/>
      <c r="F253" s="163">
        <v>1584.0</v>
      </c>
      <c r="G253" s="164"/>
      <c r="H253" s="163">
        <v>1552.0</v>
      </c>
      <c r="I253" s="164"/>
      <c r="J253" s="163">
        <v>1520.0</v>
      </c>
      <c r="K253" s="164"/>
      <c r="L253" s="163">
        <v>1552.0</v>
      </c>
      <c r="M253" s="164"/>
      <c r="N253" s="163">
        <v>1552.0</v>
      </c>
      <c r="O253" s="164"/>
      <c r="P253" s="151"/>
      <c r="Q253" s="151"/>
      <c r="R253" s="151"/>
      <c r="S253" s="151"/>
      <c r="T253" s="151"/>
      <c r="U253" s="151"/>
      <c r="V253" s="151"/>
      <c r="W253" s="151"/>
      <c r="X253" s="151"/>
      <c r="Y253" s="151"/>
      <c r="Z253" s="151"/>
    </row>
    <row r="254" ht="12.75" customHeight="1">
      <c r="A254" s="151"/>
      <c r="B254" s="125" t="s">
        <v>568</v>
      </c>
      <c r="C254" s="126" t="s">
        <v>569</v>
      </c>
      <c r="D254" s="127" t="s">
        <v>142</v>
      </c>
      <c r="E254" s="151"/>
      <c r="F254" s="163">
        <v>1047.4749180000001</v>
      </c>
      <c r="G254" s="164"/>
      <c r="H254" s="163">
        <v>1047.4749180000001</v>
      </c>
      <c r="I254" s="164"/>
      <c r="J254" s="163">
        <v>1047.4749180000001</v>
      </c>
      <c r="K254" s="164"/>
      <c r="L254" s="163">
        <v>1047.4749180000001</v>
      </c>
      <c r="M254" s="164"/>
      <c r="N254" s="163">
        <v>1047.4749180000001</v>
      </c>
      <c r="O254" s="164"/>
      <c r="P254" s="151"/>
      <c r="Q254" s="151"/>
      <c r="R254" s="151"/>
      <c r="S254" s="151"/>
      <c r="T254" s="151"/>
      <c r="U254" s="151"/>
      <c r="V254" s="151"/>
      <c r="W254" s="151"/>
      <c r="X254" s="151"/>
      <c r="Y254" s="151"/>
      <c r="Z254" s="151"/>
    </row>
    <row r="255" ht="12.75" customHeight="1">
      <c r="A255" s="151"/>
      <c r="B255" s="125" t="s">
        <v>570</v>
      </c>
      <c r="C255" s="126" t="s">
        <v>571</v>
      </c>
      <c r="D255" s="127" t="s">
        <v>142</v>
      </c>
      <c r="E255" s="151"/>
      <c r="F255" s="163">
        <v>1536.02</v>
      </c>
      <c r="G255" s="164"/>
      <c r="H255" s="163">
        <v>1367.2215</v>
      </c>
      <c r="I255" s="164"/>
      <c r="J255" s="163">
        <v>1497.0</v>
      </c>
      <c r="K255" s="164"/>
      <c r="L255" s="163">
        <v>1367.2215</v>
      </c>
      <c r="M255" s="164"/>
      <c r="N255" s="163">
        <v>1367.2215</v>
      </c>
      <c r="O255" s="164"/>
      <c r="P255" s="151"/>
      <c r="Q255" s="151"/>
      <c r="R255" s="151"/>
      <c r="S255" s="151"/>
      <c r="T255" s="151"/>
      <c r="U255" s="151"/>
      <c r="V255" s="151"/>
      <c r="W255" s="151"/>
      <c r="X255" s="151"/>
      <c r="Y255" s="151"/>
      <c r="Z255" s="151"/>
    </row>
    <row r="256" ht="12.75" customHeight="1">
      <c r="A256" s="151"/>
      <c r="B256" s="125" t="s">
        <v>572</v>
      </c>
      <c r="C256" s="126" t="s">
        <v>573</v>
      </c>
      <c r="D256" s="127" t="s">
        <v>142</v>
      </c>
      <c r="E256" s="151"/>
      <c r="F256" s="163">
        <v>1027.83</v>
      </c>
      <c r="G256" s="164"/>
      <c r="H256" s="163">
        <v>1027.83</v>
      </c>
      <c r="I256" s="164"/>
      <c r="J256" s="163">
        <v>1027.83</v>
      </c>
      <c r="K256" s="164"/>
      <c r="L256" s="163">
        <v>1027.83</v>
      </c>
      <c r="M256" s="164"/>
      <c r="N256" s="163">
        <v>1027.83</v>
      </c>
      <c r="O256" s="164"/>
      <c r="P256" s="151"/>
      <c r="Q256" s="151"/>
      <c r="R256" s="151"/>
      <c r="S256" s="151"/>
      <c r="T256" s="151"/>
      <c r="U256" s="151"/>
      <c r="V256" s="151"/>
      <c r="W256" s="151"/>
      <c r="X256" s="151"/>
      <c r="Y256" s="151"/>
      <c r="Z256" s="151"/>
    </row>
    <row r="257" ht="12.75" customHeight="1">
      <c r="A257" s="151"/>
      <c r="B257" s="125" t="s">
        <v>574</v>
      </c>
      <c r="C257" s="126" t="s">
        <v>575</v>
      </c>
      <c r="D257" s="127" t="s">
        <v>142</v>
      </c>
      <c r="E257" s="151"/>
      <c r="F257" s="163">
        <v>1324.1399999999999</v>
      </c>
      <c r="G257" s="164"/>
      <c r="H257" s="163">
        <v>1324.1399999999999</v>
      </c>
      <c r="I257" s="164"/>
      <c r="J257" s="163">
        <v>1324.1399999999999</v>
      </c>
      <c r="K257" s="164"/>
      <c r="L257" s="163">
        <v>1324.1399999999999</v>
      </c>
      <c r="M257" s="164"/>
      <c r="N257" s="163">
        <v>1324.1399999999999</v>
      </c>
      <c r="O257" s="164"/>
      <c r="P257" s="151"/>
      <c r="Q257" s="151"/>
      <c r="R257" s="151"/>
      <c r="S257" s="151"/>
      <c r="T257" s="151"/>
      <c r="U257" s="151"/>
      <c r="V257" s="151"/>
      <c r="W257" s="151"/>
      <c r="X257" s="151"/>
      <c r="Y257" s="151"/>
      <c r="Z257" s="151"/>
    </row>
    <row r="258" ht="12.75" customHeight="1">
      <c r="A258" s="151"/>
      <c r="B258" s="125" t="s">
        <v>576</v>
      </c>
      <c r="C258" s="126" t="s">
        <v>577</v>
      </c>
      <c r="D258" s="127" t="s">
        <v>142</v>
      </c>
      <c r="E258" s="151"/>
      <c r="F258" s="163">
        <v>1997.36</v>
      </c>
      <c r="G258" s="164"/>
      <c r="H258" s="163">
        <v>1852.4544999999998</v>
      </c>
      <c r="I258" s="164"/>
      <c r="J258" s="163">
        <v>1707.549</v>
      </c>
      <c r="K258" s="164"/>
      <c r="L258" s="163">
        <v>1852.4544999999998</v>
      </c>
      <c r="M258" s="164"/>
      <c r="N258" s="163">
        <v>1852.4544999999998</v>
      </c>
      <c r="O258" s="164"/>
      <c r="P258" s="151"/>
      <c r="Q258" s="151"/>
      <c r="R258" s="151"/>
      <c r="S258" s="151"/>
      <c r="T258" s="151"/>
      <c r="U258" s="151"/>
      <c r="V258" s="151"/>
      <c r="W258" s="151"/>
      <c r="X258" s="151"/>
      <c r="Y258" s="151"/>
      <c r="Z258" s="151"/>
    </row>
    <row r="259" ht="12.75" customHeight="1">
      <c r="A259" s="151"/>
      <c r="B259" s="125" t="s">
        <v>578</v>
      </c>
      <c r="C259" s="126" t="s">
        <v>579</v>
      </c>
      <c r="D259" s="127" t="s">
        <v>142</v>
      </c>
      <c r="E259" s="151"/>
      <c r="F259" s="163">
        <v>2102.59</v>
      </c>
      <c r="G259" s="164"/>
      <c r="H259" s="163">
        <v>1932.0308</v>
      </c>
      <c r="I259" s="164"/>
      <c r="J259" s="163">
        <v>1761.4716</v>
      </c>
      <c r="K259" s="164"/>
      <c r="L259" s="163">
        <v>1932.0308</v>
      </c>
      <c r="M259" s="164"/>
      <c r="N259" s="163">
        <v>1932.0308</v>
      </c>
      <c r="O259" s="164"/>
      <c r="P259" s="151"/>
      <c r="Q259" s="151"/>
      <c r="R259" s="151"/>
      <c r="S259" s="151"/>
      <c r="T259" s="151"/>
      <c r="U259" s="151"/>
      <c r="V259" s="151"/>
      <c r="W259" s="151"/>
      <c r="X259" s="151"/>
      <c r="Y259" s="151"/>
      <c r="Z259" s="151"/>
    </row>
    <row r="260" ht="12.75" customHeight="1">
      <c r="A260" s="151"/>
      <c r="B260" s="125" t="s">
        <v>580</v>
      </c>
      <c r="C260" s="126" t="s">
        <v>581</v>
      </c>
      <c r="D260" s="127" t="s">
        <v>142</v>
      </c>
      <c r="E260" s="151"/>
      <c r="F260" s="163">
        <v>1244.6599999999999</v>
      </c>
      <c r="G260" s="164"/>
      <c r="H260" s="163">
        <v>1393.7702679999998</v>
      </c>
      <c r="I260" s="164"/>
      <c r="J260" s="163">
        <v>1542.8805359999997</v>
      </c>
      <c r="K260" s="164"/>
      <c r="L260" s="163">
        <v>1393.7702679999998</v>
      </c>
      <c r="M260" s="164"/>
      <c r="N260" s="163">
        <v>1393.7702679999998</v>
      </c>
      <c r="O260" s="164"/>
      <c r="P260" s="151"/>
      <c r="Q260" s="151"/>
      <c r="R260" s="151"/>
      <c r="S260" s="151"/>
      <c r="T260" s="151"/>
      <c r="U260" s="151"/>
      <c r="V260" s="151"/>
      <c r="W260" s="151"/>
      <c r="X260" s="151"/>
      <c r="Y260" s="151"/>
      <c r="Z260" s="151"/>
    </row>
    <row r="261" ht="12.75" customHeight="1">
      <c r="A261" s="151"/>
      <c r="B261" s="125" t="s">
        <v>582</v>
      </c>
      <c r="C261" s="126" t="s">
        <v>583</v>
      </c>
      <c r="D261" s="127" t="s">
        <v>142</v>
      </c>
      <c r="E261" s="151"/>
      <c r="F261" s="163">
        <v>197.6</v>
      </c>
      <c r="G261" s="164"/>
      <c r="H261" s="163">
        <v>206.94045</v>
      </c>
      <c r="I261" s="164"/>
      <c r="J261" s="163">
        <v>216.2809</v>
      </c>
      <c r="K261" s="164"/>
      <c r="L261" s="163">
        <v>206.94045</v>
      </c>
      <c r="M261" s="164"/>
      <c r="N261" s="163">
        <v>206.94045</v>
      </c>
      <c r="O261" s="164"/>
      <c r="P261" s="151"/>
      <c r="Q261" s="151"/>
      <c r="R261" s="151"/>
      <c r="S261" s="151"/>
      <c r="T261" s="151"/>
      <c r="U261" s="151"/>
      <c r="V261" s="151"/>
      <c r="W261" s="151"/>
      <c r="X261" s="151"/>
      <c r="Y261" s="151"/>
      <c r="Z261" s="151"/>
    </row>
    <row r="262" ht="12.75" customHeight="1">
      <c r="A262" s="151"/>
      <c r="B262" s="125" t="s">
        <v>584</v>
      </c>
      <c r="C262" s="126" t="s">
        <v>585</v>
      </c>
      <c r="D262" s="127" t="s">
        <v>142</v>
      </c>
      <c r="E262" s="151"/>
      <c r="F262" s="163">
        <v>249.28553999999997</v>
      </c>
      <c r="G262" s="164"/>
      <c r="H262" s="163">
        <v>261.07327</v>
      </c>
      <c r="I262" s="164"/>
      <c r="J262" s="163">
        <v>272.861</v>
      </c>
      <c r="K262" s="164"/>
      <c r="L262" s="163">
        <v>261.07327</v>
      </c>
      <c r="M262" s="164"/>
      <c r="N262" s="163">
        <v>261.07327</v>
      </c>
      <c r="O262" s="164"/>
      <c r="P262" s="151"/>
      <c r="Q262" s="151"/>
      <c r="R262" s="151"/>
      <c r="S262" s="151"/>
      <c r="T262" s="151"/>
      <c r="U262" s="151"/>
      <c r="V262" s="151"/>
      <c r="W262" s="151"/>
      <c r="X262" s="151"/>
      <c r="Y262" s="151"/>
      <c r="Z262" s="151"/>
    </row>
    <row r="263" ht="12.75" customHeight="1">
      <c r="A263" s="151"/>
      <c r="B263" s="125" t="s">
        <v>586</v>
      </c>
      <c r="C263" s="126" t="s">
        <v>587</v>
      </c>
      <c r="D263" s="127" t="s">
        <v>142</v>
      </c>
      <c r="E263" s="151"/>
      <c r="F263" s="163">
        <v>900.0</v>
      </c>
      <c r="G263" s="164"/>
      <c r="H263" s="163">
        <v>936.0</v>
      </c>
      <c r="I263" s="164"/>
      <c r="J263" s="163">
        <v>972.0000000000001</v>
      </c>
      <c r="K263" s="164"/>
      <c r="L263" s="163">
        <v>936.0</v>
      </c>
      <c r="M263" s="164"/>
      <c r="N263" s="163">
        <v>936.0</v>
      </c>
      <c r="O263" s="164"/>
      <c r="P263" s="151"/>
      <c r="Q263" s="151"/>
      <c r="R263" s="151"/>
      <c r="S263" s="151"/>
      <c r="T263" s="151"/>
      <c r="U263" s="151"/>
      <c r="V263" s="151"/>
      <c r="W263" s="151"/>
      <c r="X263" s="151"/>
      <c r="Y263" s="151"/>
      <c r="Z263" s="151"/>
    </row>
    <row r="264" ht="12.75" customHeight="1">
      <c r="A264" s="151"/>
      <c r="B264" s="125" t="s">
        <v>588</v>
      </c>
      <c r="C264" s="126" t="s">
        <v>589</v>
      </c>
      <c r="D264" s="127" t="s">
        <v>76</v>
      </c>
      <c r="E264" s="151"/>
      <c r="F264" s="163">
        <v>1306.1681828379915</v>
      </c>
      <c r="G264" s="164"/>
      <c r="H264" s="163">
        <v>1328.0840914189957</v>
      </c>
      <c r="I264" s="164"/>
      <c r="J264" s="163">
        <v>1350.0</v>
      </c>
      <c r="K264" s="164"/>
      <c r="L264" s="163">
        <v>1328.0840914189957</v>
      </c>
      <c r="M264" s="164"/>
      <c r="N264" s="163">
        <v>1328.0840914189957</v>
      </c>
      <c r="O264" s="164"/>
      <c r="P264" s="151"/>
      <c r="Q264" s="151"/>
      <c r="R264" s="151"/>
      <c r="S264" s="151"/>
      <c r="T264" s="151"/>
      <c r="U264" s="151"/>
      <c r="V264" s="151"/>
      <c r="W264" s="151"/>
      <c r="X264" s="151"/>
      <c r="Y264" s="151"/>
      <c r="Z264" s="151"/>
    </row>
    <row r="265" ht="12.75" customHeight="1">
      <c r="A265" s="151"/>
      <c r="B265" s="125" t="s">
        <v>590</v>
      </c>
      <c r="C265" s="126" t="s">
        <v>591</v>
      </c>
      <c r="D265" s="127" t="s">
        <v>475</v>
      </c>
      <c r="E265" s="151"/>
      <c r="F265" s="163">
        <v>438.90000000000003</v>
      </c>
      <c r="G265" s="164"/>
      <c r="H265" s="163">
        <v>428.37160000000006</v>
      </c>
      <c r="I265" s="164"/>
      <c r="J265" s="163">
        <v>442.3995576</v>
      </c>
      <c r="K265" s="164"/>
      <c r="L265" s="163">
        <v>428.37160000000006</v>
      </c>
      <c r="M265" s="164"/>
      <c r="N265" s="163">
        <v>428.37160000000006</v>
      </c>
      <c r="O265" s="164"/>
      <c r="P265" s="151"/>
      <c r="Q265" s="151"/>
      <c r="R265" s="151"/>
      <c r="S265" s="151"/>
      <c r="T265" s="151"/>
      <c r="U265" s="151"/>
      <c r="V265" s="151"/>
      <c r="W265" s="151"/>
      <c r="X265" s="151"/>
      <c r="Y265" s="151"/>
      <c r="Z265" s="151"/>
    </row>
    <row r="266" ht="12.75" customHeight="1">
      <c r="A266" s="151"/>
      <c r="B266" s="125" t="s">
        <v>592</v>
      </c>
      <c r="C266" s="126" t="s">
        <v>593</v>
      </c>
      <c r="D266" s="127" t="s">
        <v>475</v>
      </c>
      <c r="E266" s="151"/>
      <c r="F266" s="163">
        <v>465.5</v>
      </c>
      <c r="G266" s="164"/>
      <c r="H266" s="163">
        <v>428.37160000000006</v>
      </c>
      <c r="I266" s="164"/>
      <c r="J266" s="163">
        <v>465.93</v>
      </c>
      <c r="K266" s="164"/>
      <c r="L266" s="163">
        <v>428.37160000000006</v>
      </c>
      <c r="M266" s="164"/>
      <c r="N266" s="163">
        <v>428.37160000000006</v>
      </c>
      <c r="O266" s="164"/>
      <c r="P266" s="151"/>
      <c r="Q266" s="151"/>
      <c r="R266" s="151"/>
      <c r="S266" s="151"/>
      <c r="T266" s="151"/>
      <c r="U266" s="151"/>
      <c r="V266" s="151"/>
      <c r="W266" s="151"/>
      <c r="X266" s="151"/>
      <c r="Y266" s="151"/>
      <c r="Z266" s="151"/>
    </row>
    <row r="267" ht="12.75" customHeight="1">
      <c r="A267" s="151"/>
      <c r="B267" s="125" t="s">
        <v>594</v>
      </c>
      <c r="C267" s="126" t="s">
        <v>595</v>
      </c>
      <c r="D267" s="127" t="s">
        <v>475</v>
      </c>
      <c r="E267" s="151"/>
      <c r="F267" s="163">
        <v>492.1</v>
      </c>
      <c r="G267" s="164"/>
      <c r="H267" s="163">
        <v>494.06975198</v>
      </c>
      <c r="I267" s="164"/>
      <c r="J267" s="163">
        <v>496.03950396</v>
      </c>
      <c r="K267" s="164"/>
      <c r="L267" s="163">
        <v>494.06975198</v>
      </c>
      <c r="M267" s="164"/>
      <c r="N267" s="163">
        <v>494.06975198</v>
      </c>
      <c r="O267" s="164"/>
      <c r="P267" s="151"/>
      <c r="Q267" s="151"/>
      <c r="R267" s="151"/>
      <c r="S267" s="151"/>
      <c r="T267" s="151"/>
      <c r="U267" s="151"/>
      <c r="V267" s="151"/>
      <c r="W267" s="151"/>
      <c r="X267" s="151"/>
      <c r="Y267" s="151"/>
      <c r="Z267" s="151"/>
    </row>
    <row r="268" ht="12.75" customHeight="1">
      <c r="A268" s="151"/>
      <c r="B268" s="125" t="s">
        <v>596</v>
      </c>
      <c r="C268" s="126" t="s">
        <v>597</v>
      </c>
      <c r="D268" s="127" t="s">
        <v>475</v>
      </c>
      <c r="E268" s="151"/>
      <c r="F268" s="163">
        <v>518.7</v>
      </c>
      <c r="G268" s="164"/>
      <c r="H268" s="163">
        <v>520.8097385399999</v>
      </c>
      <c r="I268" s="164"/>
      <c r="J268" s="163">
        <v>522.9194770799999</v>
      </c>
      <c r="K268" s="164"/>
      <c r="L268" s="163">
        <v>520.8097385399999</v>
      </c>
      <c r="M268" s="164"/>
      <c r="N268" s="163">
        <v>520.8097385399999</v>
      </c>
      <c r="O268" s="164"/>
      <c r="P268" s="151"/>
      <c r="Q268" s="151"/>
      <c r="R268" s="151"/>
      <c r="S268" s="151"/>
      <c r="T268" s="151"/>
      <c r="U268" s="151"/>
      <c r="V268" s="151"/>
      <c r="W268" s="151"/>
      <c r="X268" s="151"/>
      <c r="Y268" s="151"/>
      <c r="Z268" s="151"/>
    </row>
    <row r="269" ht="12.75" customHeight="1">
      <c r="A269" s="151"/>
      <c r="B269" s="113" t="s">
        <v>598</v>
      </c>
      <c r="C269" s="114" t="s">
        <v>599</v>
      </c>
      <c r="D269" s="115"/>
      <c r="E269" s="151"/>
      <c r="F269" s="161"/>
      <c r="G269" s="162"/>
      <c r="H269" s="161"/>
      <c r="I269" s="162"/>
      <c r="J269" s="161"/>
      <c r="K269" s="162"/>
      <c r="L269" s="161"/>
      <c r="M269" s="162"/>
      <c r="N269" s="161"/>
      <c r="O269" s="162"/>
      <c r="P269" s="151"/>
      <c r="Q269" s="151"/>
      <c r="R269" s="151"/>
      <c r="S269" s="151"/>
      <c r="T269" s="151"/>
      <c r="U269" s="151"/>
      <c r="V269" s="151"/>
      <c r="W269" s="151"/>
      <c r="X269" s="151"/>
      <c r="Y269" s="151"/>
      <c r="Z269" s="151"/>
    </row>
    <row r="270" ht="12.75" customHeight="1">
      <c r="A270" s="151"/>
      <c r="B270" s="125" t="s">
        <v>600</v>
      </c>
      <c r="C270" s="126" t="s">
        <v>601</v>
      </c>
      <c r="D270" s="127" t="s">
        <v>180</v>
      </c>
      <c r="E270" s="151"/>
      <c r="F270" s="163">
        <v>37.9</v>
      </c>
      <c r="G270" s="164"/>
      <c r="H270" s="163">
        <v>38.599980349999996</v>
      </c>
      <c r="I270" s="164"/>
      <c r="J270" s="163">
        <v>39.2999607</v>
      </c>
      <c r="K270" s="164"/>
      <c r="L270" s="163">
        <v>38.599980349999996</v>
      </c>
      <c r="M270" s="164"/>
      <c r="N270" s="163">
        <v>38.599980349999996</v>
      </c>
      <c r="O270" s="164"/>
      <c r="P270" s="151"/>
      <c r="Q270" s="151"/>
      <c r="R270" s="151"/>
      <c r="S270" s="151"/>
      <c r="T270" s="151"/>
      <c r="U270" s="151"/>
      <c r="V270" s="151"/>
      <c r="W270" s="151"/>
      <c r="X270" s="151"/>
      <c r="Y270" s="151"/>
      <c r="Z270" s="151"/>
    </row>
    <row r="271" ht="12.75" customHeight="1">
      <c r="A271" s="151"/>
      <c r="B271" s="125" t="s">
        <v>602</v>
      </c>
      <c r="C271" s="126" t="s">
        <v>603</v>
      </c>
      <c r="D271" s="127" t="s">
        <v>180</v>
      </c>
      <c r="E271" s="151"/>
      <c r="F271" s="163">
        <v>37.9</v>
      </c>
      <c r="G271" s="164"/>
      <c r="H271" s="163">
        <v>38.599980349999996</v>
      </c>
      <c r="I271" s="164"/>
      <c r="J271" s="163">
        <v>39.2999607</v>
      </c>
      <c r="K271" s="164"/>
      <c r="L271" s="163">
        <v>38.599980349999996</v>
      </c>
      <c r="M271" s="164"/>
      <c r="N271" s="163">
        <v>38.599980349999996</v>
      </c>
      <c r="O271" s="164"/>
      <c r="P271" s="151"/>
      <c r="Q271" s="151"/>
      <c r="R271" s="151"/>
      <c r="S271" s="151"/>
      <c r="T271" s="151"/>
      <c r="U271" s="151"/>
      <c r="V271" s="151"/>
      <c r="W271" s="151"/>
      <c r="X271" s="151"/>
      <c r="Y271" s="151"/>
      <c r="Z271" s="151"/>
    </row>
    <row r="272" ht="12.75" customHeight="1">
      <c r="A272" s="151"/>
      <c r="B272" s="125" t="s">
        <v>604</v>
      </c>
      <c r="C272" s="126" t="s">
        <v>605</v>
      </c>
      <c r="D272" s="127" t="s">
        <v>180</v>
      </c>
      <c r="E272" s="151"/>
      <c r="F272" s="163">
        <v>131.4866033511232</v>
      </c>
      <c r="G272" s="164"/>
      <c r="H272" s="163">
        <v>129.90332067556162</v>
      </c>
      <c r="I272" s="164"/>
      <c r="J272" s="163">
        <v>128.320038</v>
      </c>
      <c r="K272" s="164"/>
      <c r="L272" s="163">
        <v>129.90332067556162</v>
      </c>
      <c r="M272" s="164"/>
      <c r="N272" s="163">
        <v>129.90332067556162</v>
      </c>
      <c r="O272" s="164"/>
      <c r="P272" s="151"/>
      <c r="Q272" s="151"/>
      <c r="R272" s="151"/>
      <c r="S272" s="151"/>
      <c r="T272" s="151"/>
      <c r="U272" s="151"/>
      <c r="V272" s="151"/>
      <c r="W272" s="151"/>
      <c r="X272" s="151"/>
      <c r="Y272" s="151"/>
      <c r="Z272" s="151"/>
    </row>
    <row r="273" ht="12.75" customHeight="1">
      <c r="A273" s="151"/>
      <c r="B273" s="125" t="s">
        <v>606</v>
      </c>
      <c r="C273" s="126" t="s">
        <v>607</v>
      </c>
      <c r="D273" s="127" t="s">
        <v>142</v>
      </c>
      <c r="E273" s="151"/>
      <c r="F273" s="163">
        <v>165.73787065590344</v>
      </c>
      <c r="G273" s="164"/>
      <c r="H273" s="163">
        <v>163.7489353279517</v>
      </c>
      <c r="I273" s="164"/>
      <c r="J273" s="163">
        <v>161.76</v>
      </c>
      <c r="K273" s="164"/>
      <c r="L273" s="163">
        <v>163.7489353279517</v>
      </c>
      <c r="M273" s="164"/>
      <c r="N273" s="163">
        <v>163.7489353279517</v>
      </c>
      <c r="O273" s="164"/>
      <c r="P273" s="151"/>
      <c r="Q273" s="151"/>
      <c r="R273" s="151"/>
      <c r="S273" s="151"/>
      <c r="T273" s="151"/>
      <c r="U273" s="151"/>
      <c r="V273" s="151"/>
      <c r="W273" s="151"/>
      <c r="X273" s="151"/>
      <c r="Y273" s="151"/>
      <c r="Z273" s="151"/>
    </row>
    <row r="274" ht="12.75" customHeight="1">
      <c r="A274" s="151"/>
      <c r="B274" s="125" t="s">
        <v>608</v>
      </c>
      <c r="C274" s="126" t="s">
        <v>609</v>
      </c>
      <c r="D274" s="127" t="s">
        <v>180</v>
      </c>
      <c r="E274" s="151"/>
      <c r="F274" s="163">
        <v>242.3052097908412</v>
      </c>
      <c r="G274" s="164"/>
      <c r="H274" s="163">
        <v>238.1126048954206</v>
      </c>
      <c r="I274" s="164"/>
      <c r="J274" s="163">
        <v>233.92</v>
      </c>
      <c r="K274" s="164"/>
      <c r="L274" s="163">
        <v>238.1126048954206</v>
      </c>
      <c r="M274" s="164"/>
      <c r="N274" s="163">
        <v>238.1126048954206</v>
      </c>
      <c r="O274" s="164"/>
      <c r="P274" s="151"/>
      <c r="Q274" s="151"/>
      <c r="R274" s="151"/>
      <c r="S274" s="151"/>
      <c r="T274" s="151"/>
      <c r="U274" s="151"/>
      <c r="V274" s="151"/>
      <c r="W274" s="151"/>
      <c r="X274" s="151"/>
      <c r="Y274" s="151"/>
      <c r="Z274" s="151"/>
    </row>
    <row r="275" ht="12.75" customHeight="1">
      <c r="A275" s="151"/>
      <c r="B275" s="125" t="s">
        <v>610</v>
      </c>
      <c r="C275" s="126" t="s">
        <v>611</v>
      </c>
      <c r="D275" s="127" t="s">
        <v>76</v>
      </c>
      <c r="E275" s="151"/>
      <c r="F275" s="163">
        <v>488.775</v>
      </c>
      <c r="G275" s="164"/>
      <c r="H275" s="163">
        <v>488.3875</v>
      </c>
      <c r="I275" s="164"/>
      <c r="J275" s="163">
        <v>488.0</v>
      </c>
      <c r="K275" s="164"/>
      <c r="L275" s="163">
        <v>488.3875</v>
      </c>
      <c r="M275" s="164"/>
      <c r="N275" s="163">
        <v>488.3875</v>
      </c>
      <c r="O275" s="164"/>
      <c r="P275" s="151"/>
      <c r="Q275" s="151"/>
      <c r="R275" s="151"/>
      <c r="S275" s="151"/>
      <c r="T275" s="151"/>
      <c r="U275" s="151"/>
      <c r="V275" s="151"/>
      <c r="W275" s="151"/>
      <c r="X275" s="151"/>
      <c r="Y275" s="151"/>
      <c r="Z275" s="151"/>
    </row>
    <row r="276" ht="12.75" customHeight="1">
      <c r="A276" s="151"/>
      <c r="B276" s="125" t="s">
        <v>612</v>
      </c>
      <c r="C276" s="126" t="s">
        <v>613</v>
      </c>
      <c r="D276" s="127" t="s">
        <v>76</v>
      </c>
      <c r="E276" s="151"/>
      <c r="F276" s="163">
        <v>448.94050319252835</v>
      </c>
      <c r="G276" s="164"/>
      <c r="H276" s="163">
        <v>455.7202515962642</v>
      </c>
      <c r="I276" s="164"/>
      <c r="J276" s="163">
        <v>462.5</v>
      </c>
      <c r="K276" s="164"/>
      <c r="L276" s="163">
        <v>455.7202515962642</v>
      </c>
      <c r="M276" s="164"/>
      <c r="N276" s="163">
        <v>455.7202515962642</v>
      </c>
      <c r="O276" s="164"/>
      <c r="P276" s="151"/>
      <c r="Q276" s="151"/>
      <c r="R276" s="151"/>
      <c r="S276" s="151"/>
      <c r="T276" s="151"/>
      <c r="U276" s="151"/>
      <c r="V276" s="151"/>
      <c r="W276" s="151"/>
      <c r="X276" s="151"/>
      <c r="Y276" s="151"/>
      <c r="Z276" s="151"/>
    </row>
    <row r="277" ht="12.75" customHeight="1">
      <c r="A277" s="151"/>
      <c r="B277" s="125" t="s">
        <v>614</v>
      </c>
      <c r="C277" s="126" t="s">
        <v>615</v>
      </c>
      <c r="D277" s="127" t="s">
        <v>180</v>
      </c>
      <c r="E277" s="151"/>
      <c r="F277" s="163">
        <v>397.93076920249996</v>
      </c>
      <c r="G277" s="164"/>
      <c r="H277" s="163">
        <v>413.8479999706</v>
      </c>
      <c r="I277" s="164"/>
      <c r="J277" s="163">
        <v>429.7652307387</v>
      </c>
      <c r="K277" s="164"/>
      <c r="L277" s="163">
        <v>413.8479999706</v>
      </c>
      <c r="M277" s="164"/>
      <c r="N277" s="163">
        <v>413.8479999706</v>
      </c>
      <c r="O277" s="164"/>
      <c r="P277" s="151"/>
      <c r="Q277" s="151"/>
      <c r="R277" s="151"/>
      <c r="S277" s="151"/>
      <c r="T277" s="151"/>
      <c r="U277" s="151"/>
      <c r="V277" s="151"/>
      <c r="W277" s="151"/>
      <c r="X277" s="151"/>
      <c r="Y277" s="151"/>
      <c r="Z277" s="151"/>
    </row>
    <row r="278" ht="12.75" customHeight="1">
      <c r="A278" s="151"/>
      <c r="B278" s="125" t="s">
        <v>616</v>
      </c>
      <c r="C278" s="126" t="s">
        <v>617</v>
      </c>
      <c r="D278" s="127" t="s">
        <v>76</v>
      </c>
      <c r="E278" s="151"/>
      <c r="F278" s="163">
        <v>682.0970421052632</v>
      </c>
      <c r="G278" s="164"/>
      <c r="H278" s="163">
        <v>673.9081881926317</v>
      </c>
      <c r="I278" s="164"/>
      <c r="J278" s="163">
        <v>665.7193342800001</v>
      </c>
      <c r="K278" s="164"/>
      <c r="L278" s="163">
        <v>673.9081881926317</v>
      </c>
      <c r="M278" s="164"/>
      <c r="N278" s="163">
        <v>673.9081881926317</v>
      </c>
      <c r="O278" s="164"/>
      <c r="P278" s="151"/>
      <c r="Q278" s="151"/>
      <c r="R278" s="151"/>
      <c r="S278" s="151"/>
      <c r="T278" s="151"/>
      <c r="U278" s="151"/>
      <c r="V278" s="151"/>
      <c r="W278" s="151"/>
      <c r="X278" s="151"/>
      <c r="Y278" s="151"/>
      <c r="Z278" s="151"/>
    </row>
    <row r="279" ht="12.75" customHeight="1">
      <c r="A279" s="151"/>
      <c r="B279" s="125" t="s">
        <v>618</v>
      </c>
      <c r="C279" s="126" t="s">
        <v>619</v>
      </c>
      <c r="D279" s="127" t="s">
        <v>76</v>
      </c>
      <c r="E279" s="151"/>
      <c r="F279" s="163">
        <v>568.4485751999999</v>
      </c>
      <c r="G279" s="164"/>
      <c r="H279" s="163">
        <v>561.6240101999999</v>
      </c>
      <c r="I279" s="164"/>
      <c r="J279" s="163">
        <v>554.7994451999999</v>
      </c>
      <c r="K279" s="164"/>
      <c r="L279" s="163">
        <v>561.6240101999999</v>
      </c>
      <c r="M279" s="164"/>
      <c r="N279" s="163">
        <v>561.6240101999999</v>
      </c>
      <c r="O279" s="164"/>
      <c r="P279" s="151"/>
      <c r="Q279" s="151"/>
      <c r="R279" s="151"/>
      <c r="S279" s="151"/>
      <c r="T279" s="151"/>
      <c r="U279" s="151"/>
      <c r="V279" s="151"/>
      <c r="W279" s="151"/>
      <c r="X279" s="151"/>
      <c r="Y279" s="151"/>
      <c r="Z279" s="151"/>
    </row>
    <row r="280" ht="12.75" customHeight="1">
      <c r="A280" s="151"/>
      <c r="B280" s="125" t="s">
        <v>620</v>
      </c>
      <c r="C280" s="126" t="s">
        <v>621</v>
      </c>
      <c r="D280" s="127" t="s">
        <v>76</v>
      </c>
      <c r="E280" s="151"/>
      <c r="F280" s="163">
        <v>936.0378286416185</v>
      </c>
      <c r="G280" s="164"/>
      <c r="H280" s="163">
        <v>924.8035105254841</v>
      </c>
      <c r="I280" s="164"/>
      <c r="J280" s="163">
        <v>913.5691924093499</v>
      </c>
      <c r="K280" s="164"/>
      <c r="L280" s="163">
        <v>924.8035105254841</v>
      </c>
      <c r="M280" s="164"/>
      <c r="N280" s="163">
        <v>924.8035105254841</v>
      </c>
      <c r="O280" s="164"/>
      <c r="P280" s="151"/>
      <c r="Q280" s="151"/>
      <c r="R280" s="151"/>
      <c r="S280" s="151"/>
      <c r="T280" s="151"/>
      <c r="U280" s="151"/>
      <c r="V280" s="151"/>
      <c r="W280" s="151"/>
      <c r="X280" s="151"/>
      <c r="Y280" s="151"/>
      <c r="Z280" s="151"/>
    </row>
    <row r="281" ht="12.75" customHeight="1">
      <c r="A281" s="151"/>
      <c r="B281" s="125" t="s">
        <v>622</v>
      </c>
      <c r="C281" s="126" t="s">
        <v>623</v>
      </c>
      <c r="D281" s="127" t="s">
        <v>76</v>
      </c>
      <c r="E281" s="151"/>
      <c r="F281" s="163">
        <v>664.3584284252631</v>
      </c>
      <c r="G281" s="164"/>
      <c r="H281" s="163">
        <v>664.3592142126315</v>
      </c>
      <c r="I281" s="164"/>
      <c r="J281" s="163">
        <v>664.36</v>
      </c>
      <c r="K281" s="164"/>
      <c r="L281" s="163">
        <v>664.3592142126315</v>
      </c>
      <c r="M281" s="164"/>
      <c r="N281" s="163">
        <v>664.3592142126315</v>
      </c>
      <c r="O281" s="164"/>
      <c r="P281" s="151"/>
      <c r="Q281" s="151"/>
      <c r="R281" s="151"/>
      <c r="S281" s="151"/>
      <c r="T281" s="151"/>
      <c r="U281" s="151"/>
      <c r="V281" s="151"/>
      <c r="W281" s="151"/>
      <c r="X281" s="151"/>
      <c r="Y281" s="151"/>
      <c r="Z281" s="151"/>
    </row>
    <row r="282" ht="12.75" customHeight="1">
      <c r="A282" s="151"/>
      <c r="B282" s="125" t="s">
        <v>624</v>
      </c>
      <c r="C282" s="126" t="s">
        <v>625</v>
      </c>
      <c r="D282" s="127" t="s">
        <v>76</v>
      </c>
      <c r="E282" s="151"/>
      <c r="F282" s="163">
        <v>710.28</v>
      </c>
      <c r="G282" s="164"/>
      <c r="H282" s="163">
        <v>701.7996533400001</v>
      </c>
      <c r="I282" s="164"/>
      <c r="J282" s="163">
        <v>693.3193066800001</v>
      </c>
      <c r="K282" s="164"/>
      <c r="L282" s="163">
        <v>701.7996533400001</v>
      </c>
      <c r="M282" s="164"/>
      <c r="N282" s="163">
        <v>701.7996533400001</v>
      </c>
      <c r="O282" s="164"/>
      <c r="P282" s="151"/>
      <c r="Q282" s="151"/>
      <c r="R282" s="151"/>
      <c r="S282" s="151"/>
      <c r="T282" s="151"/>
      <c r="U282" s="151"/>
      <c r="V282" s="151"/>
      <c r="W282" s="151"/>
      <c r="X282" s="151"/>
      <c r="Y282" s="151"/>
      <c r="Z282" s="151"/>
    </row>
    <row r="283" ht="12.75" customHeight="1">
      <c r="A283" s="151"/>
      <c r="B283" s="125" t="s">
        <v>626</v>
      </c>
      <c r="C283" s="126" t="s">
        <v>627</v>
      </c>
      <c r="D283" s="127" t="s">
        <v>76</v>
      </c>
      <c r="E283" s="151"/>
      <c r="F283" s="163">
        <v>624.6193654444444</v>
      </c>
      <c r="G283" s="164"/>
      <c r="H283" s="163">
        <v>617.1243779072222</v>
      </c>
      <c r="I283" s="164"/>
      <c r="J283" s="163">
        <v>609.62939037</v>
      </c>
      <c r="K283" s="164"/>
      <c r="L283" s="163">
        <v>617.1243779072222</v>
      </c>
      <c r="M283" s="164"/>
      <c r="N283" s="163">
        <v>617.1243779072222</v>
      </c>
      <c r="O283" s="164"/>
      <c r="P283" s="151"/>
      <c r="Q283" s="151"/>
      <c r="R283" s="151"/>
      <c r="S283" s="151"/>
      <c r="T283" s="151"/>
      <c r="U283" s="151"/>
      <c r="V283" s="151"/>
      <c r="W283" s="151"/>
      <c r="X283" s="151"/>
      <c r="Y283" s="151"/>
      <c r="Z283" s="151"/>
    </row>
    <row r="284" ht="12.75" customHeight="1">
      <c r="A284" s="151"/>
      <c r="B284" s="125" t="s">
        <v>628</v>
      </c>
      <c r="C284" s="126" t="s">
        <v>629</v>
      </c>
      <c r="D284" s="127" t="s">
        <v>142</v>
      </c>
      <c r="E284" s="151"/>
      <c r="F284" s="163">
        <v>246.5</v>
      </c>
      <c r="G284" s="164"/>
      <c r="H284" s="163">
        <v>243.53987971</v>
      </c>
      <c r="I284" s="164"/>
      <c r="J284" s="163">
        <v>240.57975942000002</v>
      </c>
      <c r="K284" s="164"/>
      <c r="L284" s="163">
        <v>243.53987971</v>
      </c>
      <c r="M284" s="164"/>
      <c r="N284" s="163">
        <v>243.53987971</v>
      </c>
      <c r="O284" s="164"/>
      <c r="P284" s="151"/>
      <c r="Q284" s="151"/>
      <c r="R284" s="151"/>
      <c r="S284" s="151"/>
      <c r="T284" s="151"/>
      <c r="U284" s="151"/>
      <c r="V284" s="151"/>
      <c r="W284" s="151"/>
      <c r="X284" s="151"/>
      <c r="Y284" s="151"/>
      <c r="Z284" s="151"/>
    </row>
    <row r="285" ht="12.75" customHeight="1">
      <c r="A285" s="151"/>
      <c r="B285" s="125" t="s">
        <v>630</v>
      </c>
      <c r="C285" s="126" t="s">
        <v>631</v>
      </c>
      <c r="D285" s="127" t="s">
        <v>142</v>
      </c>
      <c r="E285" s="151"/>
      <c r="F285" s="163">
        <v>693.472</v>
      </c>
      <c r="G285" s="164"/>
      <c r="H285" s="163">
        <v>693.472</v>
      </c>
      <c r="I285" s="164"/>
      <c r="J285" s="163">
        <v>693.472</v>
      </c>
      <c r="K285" s="164"/>
      <c r="L285" s="163">
        <v>693.472</v>
      </c>
      <c r="M285" s="164"/>
      <c r="N285" s="163">
        <v>693.472</v>
      </c>
      <c r="O285" s="164"/>
      <c r="P285" s="151"/>
      <c r="Q285" s="151"/>
      <c r="R285" s="151"/>
      <c r="S285" s="151"/>
      <c r="T285" s="151"/>
      <c r="U285" s="151"/>
      <c r="V285" s="151"/>
      <c r="W285" s="151"/>
      <c r="X285" s="151"/>
      <c r="Y285" s="151"/>
      <c r="Z285" s="151"/>
    </row>
    <row r="286" ht="12.75" customHeight="1">
      <c r="A286" s="151"/>
      <c r="B286" s="125" t="s">
        <v>632</v>
      </c>
      <c r="C286" s="126" t="s">
        <v>633</v>
      </c>
      <c r="D286" s="127" t="s">
        <v>76</v>
      </c>
      <c r="E286" s="151"/>
      <c r="F286" s="163">
        <v>101.2</v>
      </c>
      <c r="G286" s="164"/>
      <c r="H286" s="163">
        <v>104.78994581</v>
      </c>
      <c r="I286" s="164"/>
      <c r="J286" s="163">
        <v>108.37989162</v>
      </c>
      <c r="K286" s="164"/>
      <c r="L286" s="163">
        <v>104.78994581</v>
      </c>
      <c r="M286" s="164"/>
      <c r="N286" s="163">
        <v>104.78994581</v>
      </c>
      <c r="O286" s="164"/>
      <c r="P286" s="151"/>
      <c r="Q286" s="151"/>
      <c r="R286" s="151"/>
      <c r="S286" s="151"/>
      <c r="T286" s="151"/>
      <c r="U286" s="151"/>
      <c r="V286" s="151"/>
      <c r="W286" s="151"/>
      <c r="X286" s="151"/>
      <c r="Y286" s="151"/>
      <c r="Z286" s="151"/>
    </row>
    <row r="287" ht="12.75" customHeight="1">
      <c r="A287" s="151"/>
      <c r="B287" s="125" t="s">
        <v>634</v>
      </c>
      <c r="C287" s="126" t="s">
        <v>635</v>
      </c>
      <c r="D287" s="127" t="s">
        <v>180</v>
      </c>
      <c r="E287" s="151"/>
      <c r="F287" s="163">
        <v>250.0</v>
      </c>
      <c r="G287" s="164"/>
      <c r="H287" s="163">
        <v>247.32</v>
      </c>
      <c r="I287" s="164"/>
      <c r="J287" s="163">
        <v>244.64</v>
      </c>
      <c r="K287" s="164"/>
      <c r="L287" s="163">
        <v>247.32</v>
      </c>
      <c r="M287" s="164"/>
      <c r="N287" s="163">
        <v>247.32</v>
      </c>
      <c r="O287" s="164"/>
      <c r="P287" s="151"/>
      <c r="Q287" s="151"/>
      <c r="R287" s="151"/>
      <c r="S287" s="151"/>
      <c r="T287" s="151"/>
      <c r="U287" s="151"/>
      <c r="V287" s="151"/>
      <c r="W287" s="151"/>
      <c r="X287" s="151"/>
      <c r="Y287" s="151"/>
      <c r="Z287" s="151"/>
    </row>
    <row r="288" ht="12.75" customHeight="1">
      <c r="A288" s="151"/>
      <c r="B288" s="125" t="s">
        <v>636</v>
      </c>
      <c r="C288" s="126" t="s">
        <v>637</v>
      </c>
      <c r="D288" s="127" t="s">
        <v>180</v>
      </c>
      <c r="E288" s="151"/>
      <c r="F288" s="163">
        <v>301.11577031249993</v>
      </c>
      <c r="G288" s="164"/>
      <c r="H288" s="163">
        <v>298.94773676624993</v>
      </c>
      <c r="I288" s="164"/>
      <c r="J288" s="163">
        <v>296.77970322</v>
      </c>
      <c r="K288" s="164"/>
      <c r="L288" s="163">
        <v>298.94773676624993</v>
      </c>
      <c r="M288" s="164"/>
      <c r="N288" s="163">
        <v>298.94773676624993</v>
      </c>
      <c r="O288" s="164"/>
      <c r="P288" s="151"/>
      <c r="Q288" s="151"/>
      <c r="R288" s="151"/>
      <c r="S288" s="151"/>
      <c r="T288" s="151"/>
      <c r="U288" s="151"/>
      <c r="V288" s="151"/>
      <c r="W288" s="151"/>
      <c r="X288" s="151"/>
      <c r="Y288" s="151"/>
      <c r="Z288" s="151"/>
    </row>
    <row r="289" ht="12.75" customHeight="1">
      <c r="A289" s="151"/>
      <c r="B289" s="125" t="s">
        <v>638</v>
      </c>
      <c r="C289" s="126" t="s">
        <v>639</v>
      </c>
      <c r="D289" s="127" t="s">
        <v>180</v>
      </c>
      <c r="E289" s="151"/>
      <c r="F289" s="163">
        <v>229.24603174603178</v>
      </c>
      <c r="G289" s="164"/>
      <c r="H289" s="163">
        <v>230.1629003330159</v>
      </c>
      <c r="I289" s="164"/>
      <c r="J289" s="163">
        <v>231.07976892</v>
      </c>
      <c r="K289" s="164"/>
      <c r="L289" s="163">
        <v>230.1629003330159</v>
      </c>
      <c r="M289" s="164"/>
      <c r="N289" s="163">
        <v>230.1629003330159</v>
      </c>
      <c r="O289" s="164"/>
      <c r="P289" s="151"/>
      <c r="Q289" s="151"/>
      <c r="R289" s="151"/>
      <c r="S289" s="151"/>
      <c r="T289" s="151"/>
      <c r="U289" s="151"/>
      <c r="V289" s="151"/>
      <c r="W289" s="151"/>
      <c r="X289" s="151"/>
      <c r="Y289" s="151"/>
      <c r="Z289" s="151"/>
    </row>
    <row r="290" ht="12.75" customHeight="1">
      <c r="A290" s="151"/>
      <c r="B290" s="125" t="s">
        <v>640</v>
      </c>
      <c r="C290" s="126" t="s">
        <v>641</v>
      </c>
      <c r="D290" s="127" t="s">
        <v>180</v>
      </c>
      <c r="E290" s="151"/>
      <c r="F290" s="163">
        <v>196.62539325058987</v>
      </c>
      <c r="G290" s="164"/>
      <c r="H290" s="163">
        <v>197.41179572439404</v>
      </c>
      <c r="I290" s="164"/>
      <c r="J290" s="163">
        <v>198.19819819819818</v>
      </c>
      <c r="K290" s="164"/>
      <c r="L290" s="163">
        <v>197.41179572439404</v>
      </c>
      <c r="M290" s="164"/>
      <c r="N290" s="163">
        <v>197.41179572439404</v>
      </c>
      <c r="O290" s="164"/>
      <c r="P290" s="151"/>
      <c r="Q290" s="151"/>
      <c r="R290" s="151"/>
      <c r="S290" s="151"/>
      <c r="T290" s="151"/>
      <c r="U290" s="151"/>
      <c r="V290" s="151"/>
      <c r="W290" s="151"/>
      <c r="X290" s="151"/>
      <c r="Y290" s="151"/>
      <c r="Z290" s="151"/>
    </row>
    <row r="291" ht="12.75" customHeight="1">
      <c r="A291" s="151"/>
      <c r="B291" s="113" t="s">
        <v>642</v>
      </c>
      <c r="C291" s="114" t="s">
        <v>643</v>
      </c>
      <c r="D291" s="115"/>
      <c r="E291" s="151"/>
      <c r="F291" s="161"/>
      <c r="G291" s="162"/>
      <c r="H291" s="161"/>
      <c r="I291" s="162"/>
      <c r="J291" s="161"/>
      <c r="K291" s="162"/>
      <c r="L291" s="161"/>
      <c r="M291" s="162"/>
      <c r="N291" s="161"/>
      <c r="O291" s="162"/>
      <c r="P291" s="151"/>
      <c r="Q291" s="151"/>
      <c r="R291" s="151"/>
      <c r="S291" s="151"/>
      <c r="T291" s="151"/>
      <c r="U291" s="151"/>
      <c r="V291" s="151"/>
      <c r="W291" s="151"/>
      <c r="X291" s="151"/>
      <c r="Y291" s="151"/>
      <c r="Z291" s="151"/>
    </row>
    <row r="292" ht="12.75" customHeight="1">
      <c r="A292" s="151"/>
      <c r="B292" s="125" t="s">
        <v>644</v>
      </c>
      <c r="C292" s="126" t="s">
        <v>645</v>
      </c>
      <c r="D292" s="127" t="s">
        <v>76</v>
      </c>
      <c r="E292" s="151"/>
      <c r="F292" s="163">
        <v>761.495145631068</v>
      </c>
      <c r="G292" s="164"/>
      <c r="H292" s="163">
        <v>752.3522012105341</v>
      </c>
      <c r="I292" s="164"/>
      <c r="J292" s="163">
        <v>743.20925679</v>
      </c>
      <c r="K292" s="164"/>
      <c r="L292" s="163">
        <v>752.3522012105341</v>
      </c>
      <c r="M292" s="164"/>
      <c r="N292" s="163">
        <v>752.3522012105341</v>
      </c>
      <c r="O292" s="164"/>
      <c r="P292" s="151"/>
      <c r="Q292" s="151"/>
      <c r="R292" s="151"/>
      <c r="S292" s="151"/>
      <c r="T292" s="151"/>
      <c r="U292" s="151"/>
      <c r="V292" s="151"/>
      <c r="W292" s="151"/>
      <c r="X292" s="151"/>
      <c r="Y292" s="151"/>
      <c r="Z292" s="151"/>
    </row>
    <row r="293" ht="12.75" customHeight="1">
      <c r="A293" s="151"/>
      <c r="B293" s="125" t="s">
        <v>646</v>
      </c>
      <c r="C293" s="126" t="s">
        <v>647</v>
      </c>
      <c r="D293" s="127" t="s">
        <v>76</v>
      </c>
      <c r="E293" s="151"/>
      <c r="F293" s="163">
        <v>737.7310523322525</v>
      </c>
      <c r="G293" s="164"/>
      <c r="H293" s="163">
        <v>751.3704761661262</v>
      </c>
      <c r="I293" s="164"/>
      <c r="J293" s="163">
        <v>765.0099</v>
      </c>
      <c r="K293" s="164"/>
      <c r="L293" s="163">
        <v>751.3704761661262</v>
      </c>
      <c r="M293" s="164"/>
      <c r="N293" s="163">
        <v>751.3704761661262</v>
      </c>
      <c r="O293" s="164"/>
      <c r="P293" s="151"/>
      <c r="Q293" s="151"/>
      <c r="R293" s="151"/>
      <c r="S293" s="151"/>
      <c r="T293" s="151"/>
      <c r="U293" s="151"/>
      <c r="V293" s="151"/>
      <c r="W293" s="151"/>
      <c r="X293" s="151"/>
      <c r="Y293" s="151"/>
      <c r="Z293" s="151"/>
    </row>
    <row r="294" ht="12.75" customHeight="1">
      <c r="A294" s="151"/>
      <c r="B294" s="125" t="s">
        <v>648</v>
      </c>
      <c r="C294" s="126" t="s">
        <v>649</v>
      </c>
      <c r="D294" s="127" t="s">
        <v>76</v>
      </c>
      <c r="E294" s="151"/>
      <c r="F294" s="163">
        <v>456.33165770166283</v>
      </c>
      <c r="G294" s="164"/>
      <c r="H294" s="163">
        <v>464.7668288508314</v>
      </c>
      <c r="I294" s="164"/>
      <c r="J294" s="163">
        <v>473.20199999999994</v>
      </c>
      <c r="K294" s="164"/>
      <c r="L294" s="163">
        <v>464.7668288508314</v>
      </c>
      <c r="M294" s="164"/>
      <c r="N294" s="163">
        <v>464.7668288508314</v>
      </c>
      <c r="O294" s="164"/>
      <c r="P294" s="151"/>
      <c r="Q294" s="151"/>
      <c r="R294" s="151"/>
      <c r="S294" s="151"/>
      <c r="T294" s="151"/>
      <c r="U294" s="151"/>
      <c r="V294" s="151"/>
      <c r="W294" s="151"/>
      <c r="X294" s="151"/>
      <c r="Y294" s="151"/>
      <c r="Z294" s="151"/>
    </row>
    <row r="295" ht="12.75" customHeight="1">
      <c r="A295" s="151"/>
      <c r="B295" s="125" t="s">
        <v>650</v>
      </c>
      <c r="C295" s="126" t="s">
        <v>651</v>
      </c>
      <c r="D295" s="127" t="s">
        <v>76</v>
      </c>
      <c r="E295" s="151"/>
      <c r="F295" s="163">
        <v>486.87</v>
      </c>
      <c r="G295" s="164"/>
      <c r="H295" s="163">
        <v>481.01476242</v>
      </c>
      <c r="I295" s="164"/>
      <c r="J295" s="163">
        <v>475.15952484</v>
      </c>
      <c r="K295" s="164"/>
      <c r="L295" s="163">
        <v>481.01476242</v>
      </c>
      <c r="M295" s="164"/>
      <c r="N295" s="163">
        <v>481.01476242</v>
      </c>
      <c r="O295" s="164"/>
      <c r="P295" s="151"/>
      <c r="Q295" s="151"/>
      <c r="R295" s="151"/>
      <c r="S295" s="151"/>
      <c r="T295" s="151"/>
      <c r="U295" s="151"/>
      <c r="V295" s="151"/>
      <c r="W295" s="151"/>
      <c r="X295" s="151"/>
      <c r="Y295" s="151"/>
      <c r="Z295" s="151"/>
    </row>
    <row r="296" ht="12.75" customHeight="1">
      <c r="A296" s="151"/>
      <c r="B296" s="125" t="s">
        <v>652</v>
      </c>
      <c r="C296" s="126" t="s">
        <v>653</v>
      </c>
      <c r="D296" s="127" t="s">
        <v>142</v>
      </c>
      <c r="E296" s="151"/>
      <c r="F296" s="163">
        <v>1034.8495797331134</v>
      </c>
      <c r="G296" s="164"/>
      <c r="H296" s="163">
        <v>1022.4247898665566</v>
      </c>
      <c r="I296" s="164"/>
      <c r="J296" s="163">
        <v>1010.0</v>
      </c>
      <c r="K296" s="164"/>
      <c r="L296" s="163">
        <v>1022.4247898665566</v>
      </c>
      <c r="M296" s="164"/>
      <c r="N296" s="163">
        <v>1022.4247898665566</v>
      </c>
      <c r="O296" s="164"/>
      <c r="P296" s="151"/>
      <c r="Q296" s="151"/>
      <c r="R296" s="151"/>
      <c r="S296" s="151"/>
      <c r="T296" s="151"/>
      <c r="U296" s="151"/>
      <c r="V296" s="151"/>
      <c r="W296" s="151"/>
      <c r="X296" s="151"/>
      <c r="Y296" s="151"/>
      <c r="Z296" s="151"/>
    </row>
    <row r="297" ht="12.75" customHeight="1">
      <c r="A297" s="151"/>
      <c r="B297" s="125" t="s">
        <v>654</v>
      </c>
      <c r="C297" s="126" t="s">
        <v>655</v>
      </c>
      <c r="D297" s="127" t="s">
        <v>142</v>
      </c>
      <c r="E297" s="151"/>
      <c r="F297" s="163">
        <v>1228.540268912489</v>
      </c>
      <c r="G297" s="164"/>
      <c r="H297" s="163">
        <v>1278.0901344562446</v>
      </c>
      <c r="I297" s="164"/>
      <c r="J297" s="163">
        <v>1327.64</v>
      </c>
      <c r="K297" s="164"/>
      <c r="L297" s="163">
        <v>1278.0901344562446</v>
      </c>
      <c r="M297" s="164"/>
      <c r="N297" s="163">
        <v>1278.0901344562446</v>
      </c>
      <c r="O297" s="164"/>
      <c r="P297" s="151"/>
      <c r="Q297" s="151"/>
      <c r="R297" s="151"/>
      <c r="S297" s="151"/>
      <c r="T297" s="151"/>
      <c r="U297" s="151"/>
      <c r="V297" s="151"/>
      <c r="W297" s="151"/>
      <c r="X297" s="151"/>
      <c r="Y297" s="151"/>
      <c r="Z297" s="151"/>
    </row>
    <row r="298" ht="12.75" customHeight="1">
      <c r="A298" s="151"/>
      <c r="B298" s="125" t="s">
        <v>656</v>
      </c>
      <c r="C298" s="126" t="s">
        <v>657</v>
      </c>
      <c r="D298" s="127" t="s">
        <v>142</v>
      </c>
      <c r="E298" s="151"/>
      <c r="F298" s="163">
        <v>1370.6977653211065</v>
      </c>
      <c r="G298" s="164"/>
      <c r="H298" s="163">
        <v>1407.0674885668031</v>
      </c>
      <c r="I298" s="164"/>
      <c r="J298" s="163">
        <v>1443.4372118124998</v>
      </c>
      <c r="K298" s="164"/>
      <c r="L298" s="163">
        <v>1407.0674885668031</v>
      </c>
      <c r="M298" s="164"/>
      <c r="N298" s="163">
        <v>1407.0674885668031</v>
      </c>
      <c r="O298" s="164"/>
      <c r="P298" s="151"/>
      <c r="Q298" s="151"/>
      <c r="R298" s="151"/>
      <c r="S298" s="151"/>
      <c r="T298" s="151"/>
      <c r="U298" s="151"/>
      <c r="V298" s="151"/>
      <c r="W298" s="151"/>
      <c r="X298" s="151"/>
      <c r="Y298" s="151"/>
      <c r="Z298" s="151"/>
    </row>
    <row r="299" ht="12.75" customHeight="1">
      <c r="A299" s="151"/>
      <c r="B299" s="125" t="s">
        <v>658</v>
      </c>
      <c r="C299" s="126" t="s">
        <v>659</v>
      </c>
      <c r="D299" s="127" t="s">
        <v>76</v>
      </c>
      <c r="E299" s="151"/>
      <c r="F299" s="163">
        <v>615.3855697667027</v>
      </c>
      <c r="G299" s="164"/>
      <c r="H299" s="163">
        <v>607.9927848833513</v>
      </c>
      <c r="I299" s="164"/>
      <c r="J299" s="163">
        <v>600.6</v>
      </c>
      <c r="K299" s="164"/>
      <c r="L299" s="163">
        <v>607.9927848833513</v>
      </c>
      <c r="M299" s="164"/>
      <c r="N299" s="163">
        <v>607.9927848833513</v>
      </c>
      <c r="O299" s="164"/>
      <c r="P299" s="151"/>
      <c r="Q299" s="151"/>
      <c r="R299" s="151"/>
      <c r="S299" s="151"/>
      <c r="T299" s="151"/>
      <c r="U299" s="151"/>
      <c r="V299" s="151"/>
      <c r="W299" s="151"/>
      <c r="X299" s="151"/>
      <c r="Y299" s="151"/>
      <c r="Z299" s="151"/>
    </row>
    <row r="300" ht="12.75" customHeight="1">
      <c r="A300" s="151"/>
      <c r="B300" s="113" t="s">
        <v>660</v>
      </c>
      <c r="C300" s="114" t="s">
        <v>661</v>
      </c>
      <c r="D300" s="115"/>
      <c r="E300" s="151"/>
      <c r="F300" s="161"/>
      <c r="G300" s="162"/>
      <c r="H300" s="161"/>
      <c r="I300" s="162"/>
      <c r="J300" s="161"/>
      <c r="K300" s="162"/>
      <c r="L300" s="161"/>
      <c r="M300" s="162"/>
      <c r="N300" s="161"/>
      <c r="O300" s="162"/>
      <c r="P300" s="151"/>
      <c r="Q300" s="151"/>
      <c r="R300" s="151"/>
      <c r="S300" s="151"/>
      <c r="T300" s="151"/>
      <c r="U300" s="151"/>
      <c r="V300" s="151"/>
      <c r="W300" s="151"/>
      <c r="X300" s="151"/>
      <c r="Y300" s="151"/>
      <c r="Z300" s="151"/>
    </row>
    <row r="301" ht="12.75" customHeight="1">
      <c r="A301" s="151"/>
      <c r="B301" s="125" t="s">
        <v>662</v>
      </c>
      <c r="C301" s="126" t="s">
        <v>663</v>
      </c>
      <c r="D301" s="127" t="s">
        <v>142</v>
      </c>
      <c r="E301" s="151"/>
      <c r="F301" s="163">
        <v>53.2</v>
      </c>
      <c r="G301" s="164"/>
      <c r="H301" s="163">
        <v>53.2</v>
      </c>
      <c r="I301" s="164"/>
      <c r="J301" s="163">
        <v>53.2</v>
      </c>
      <c r="K301" s="164"/>
      <c r="L301" s="163">
        <v>53.2</v>
      </c>
      <c r="M301" s="164"/>
      <c r="N301" s="163">
        <v>53.2</v>
      </c>
      <c r="O301" s="164"/>
      <c r="P301" s="151"/>
      <c r="Q301" s="151"/>
      <c r="R301" s="151"/>
      <c r="S301" s="151"/>
      <c r="T301" s="151"/>
      <c r="U301" s="151"/>
      <c r="V301" s="151"/>
      <c r="W301" s="151"/>
      <c r="X301" s="151"/>
      <c r="Y301" s="151"/>
      <c r="Z301" s="151"/>
    </row>
    <row r="302" ht="12.75" customHeight="1">
      <c r="A302" s="151"/>
      <c r="B302" s="125" t="s">
        <v>664</v>
      </c>
      <c r="C302" s="126" t="s">
        <v>665</v>
      </c>
      <c r="D302" s="127" t="s">
        <v>142</v>
      </c>
      <c r="E302" s="151"/>
      <c r="F302" s="163">
        <v>255.87197999999998</v>
      </c>
      <c r="G302" s="164"/>
      <c r="H302" s="163">
        <v>255.87197999999998</v>
      </c>
      <c r="I302" s="164"/>
      <c r="J302" s="163">
        <v>255.87197999999998</v>
      </c>
      <c r="K302" s="164"/>
      <c r="L302" s="163">
        <v>255.87197999999998</v>
      </c>
      <c r="M302" s="164"/>
      <c r="N302" s="163">
        <v>255.87197999999998</v>
      </c>
      <c r="O302" s="164"/>
      <c r="P302" s="151"/>
      <c r="Q302" s="151"/>
      <c r="R302" s="151"/>
      <c r="S302" s="151"/>
      <c r="T302" s="151"/>
      <c r="U302" s="151"/>
      <c r="V302" s="151"/>
      <c r="W302" s="151"/>
      <c r="X302" s="151"/>
      <c r="Y302" s="151"/>
      <c r="Z302" s="151"/>
    </row>
    <row r="303" ht="12.75" customHeight="1">
      <c r="A303" s="151"/>
      <c r="B303" s="125" t="s">
        <v>666</v>
      </c>
      <c r="C303" s="126" t="s">
        <v>667</v>
      </c>
      <c r="D303" s="127" t="s">
        <v>142</v>
      </c>
      <c r="E303" s="151"/>
      <c r="F303" s="163">
        <v>133.8</v>
      </c>
      <c r="G303" s="164"/>
      <c r="H303" s="163">
        <v>140.49</v>
      </c>
      <c r="I303" s="164"/>
      <c r="J303" s="163">
        <v>147.18000000000004</v>
      </c>
      <c r="K303" s="164"/>
      <c r="L303" s="163">
        <v>140.49</v>
      </c>
      <c r="M303" s="164"/>
      <c r="N303" s="163">
        <v>140.49</v>
      </c>
      <c r="O303" s="164"/>
      <c r="P303" s="151"/>
      <c r="Q303" s="151"/>
      <c r="R303" s="151"/>
      <c r="S303" s="151"/>
      <c r="T303" s="151"/>
      <c r="U303" s="151"/>
      <c r="V303" s="151"/>
      <c r="W303" s="151"/>
      <c r="X303" s="151"/>
      <c r="Y303" s="151"/>
      <c r="Z303" s="151"/>
    </row>
    <row r="304" ht="12.75" customHeight="1">
      <c r="A304" s="151"/>
      <c r="B304" s="113" t="s">
        <v>668</v>
      </c>
      <c r="C304" s="114" t="s">
        <v>669</v>
      </c>
      <c r="D304" s="115"/>
      <c r="E304" s="151"/>
      <c r="F304" s="161"/>
      <c r="G304" s="162"/>
      <c r="H304" s="161"/>
      <c r="I304" s="162"/>
      <c r="J304" s="161"/>
      <c r="K304" s="162"/>
      <c r="L304" s="161"/>
      <c r="M304" s="162"/>
      <c r="N304" s="161"/>
      <c r="O304" s="162"/>
      <c r="P304" s="151"/>
      <c r="Q304" s="151"/>
      <c r="R304" s="151"/>
      <c r="S304" s="151"/>
      <c r="T304" s="151"/>
      <c r="U304" s="151"/>
      <c r="V304" s="151"/>
      <c r="W304" s="151"/>
      <c r="X304" s="151"/>
      <c r="Y304" s="151"/>
      <c r="Z304" s="151"/>
    </row>
    <row r="305" ht="12.75" customHeight="1">
      <c r="A305" s="151"/>
      <c r="B305" s="125" t="s">
        <v>670</v>
      </c>
      <c r="C305" s="126" t="s">
        <v>671</v>
      </c>
      <c r="D305" s="127" t="s">
        <v>142</v>
      </c>
      <c r="E305" s="151"/>
      <c r="F305" s="163">
        <v>379.6954559999999</v>
      </c>
      <c r="G305" s="164"/>
      <c r="H305" s="163">
        <v>379.6954559999999</v>
      </c>
      <c r="I305" s="164"/>
      <c r="J305" s="163">
        <v>379.6954559999999</v>
      </c>
      <c r="K305" s="164"/>
      <c r="L305" s="163">
        <v>379.6954559999999</v>
      </c>
      <c r="M305" s="164"/>
      <c r="N305" s="163">
        <v>379.6954559999999</v>
      </c>
      <c r="O305" s="164"/>
      <c r="P305" s="151"/>
      <c r="Q305" s="151"/>
      <c r="R305" s="151"/>
      <c r="S305" s="151"/>
      <c r="T305" s="151"/>
      <c r="U305" s="151"/>
      <c r="V305" s="151"/>
      <c r="W305" s="151"/>
      <c r="X305" s="151"/>
      <c r="Y305" s="151"/>
      <c r="Z305" s="151"/>
    </row>
    <row r="306" ht="12.75" customHeight="1">
      <c r="A306" s="151"/>
      <c r="B306" s="125" t="s">
        <v>672</v>
      </c>
      <c r="C306" s="126" t="s">
        <v>673</v>
      </c>
      <c r="D306" s="127" t="s">
        <v>142</v>
      </c>
      <c r="E306" s="151"/>
      <c r="F306" s="163">
        <v>242.7990959919165</v>
      </c>
      <c r="G306" s="164"/>
      <c r="H306" s="163">
        <v>242.79954799595825</v>
      </c>
      <c r="I306" s="164"/>
      <c r="J306" s="163">
        <v>242.8</v>
      </c>
      <c r="K306" s="164"/>
      <c r="L306" s="163">
        <v>242.79954799595825</v>
      </c>
      <c r="M306" s="164"/>
      <c r="N306" s="163">
        <v>242.79954799595825</v>
      </c>
      <c r="O306" s="164"/>
      <c r="P306" s="151"/>
      <c r="Q306" s="151"/>
      <c r="R306" s="151"/>
      <c r="S306" s="151"/>
      <c r="T306" s="151"/>
      <c r="U306" s="151"/>
      <c r="V306" s="151"/>
      <c r="W306" s="151"/>
      <c r="X306" s="151"/>
      <c r="Y306" s="151"/>
      <c r="Z306" s="151"/>
    </row>
    <row r="307" ht="12.75" customHeight="1">
      <c r="A307" s="151"/>
      <c r="B307" s="125" t="s">
        <v>674</v>
      </c>
      <c r="C307" s="126" t="s">
        <v>675</v>
      </c>
      <c r="D307" s="127" t="s">
        <v>142</v>
      </c>
      <c r="E307" s="151"/>
      <c r="F307" s="163">
        <v>300.0</v>
      </c>
      <c r="G307" s="164"/>
      <c r="H307" s="163">
        <v>300.0</v>
      </c>
      <c r="I307" s="164"/>
      <c r="J307" s="163">
        <v>300.0</v>
      </c>
      <c r="K307" s="164"/>
      <c r="L307" s="163">
        <v>300.0</v>
      </c>
      <c r="M307" s="164"/>
      <c r="N307" s="163">
        <v>300.0</v>
      </c>
      <c r="O307" s="164"/>
      <c r="P307" s="151"/>
      <c r="Q307" s="151"/>
      <c r="R307" s="151"/>
      <c r="S307" s="151"/>
      <c r="T307" s="151"/>
      <c r="U307" s="151"/>
      <c r="V307" s="151"/>
      <c r="W307" s="151"/>
      <c r="X307" s="151"/>
      <c r="Y307" s="151"/>
      <c r="Z307" s="151"/>
    </row>
    <row r="308" ht="12.75" customHeight="1">
      <c r="A308" s="151"/>
      <c r="B308" s="125" t="s">
        <v>676</v>
      </c>
      <c r="C308" s="126" t="s">
        <v>677</v>
      </c>
      <c r="D308" s="127" t="s">
        <v>76</v>
      </c>
      <c r="E308" s="151"/>
      <c r="F308" s="163">
        <v>162.19612499999997</v>
      </c>
      <c r="G308" s="164"/>
      <c r="H308" s="163">
        <v>165.43797816</v>
      </c>
      <c r="I308" s="164"/>
      <c r="J308" s="163">
        <v>168.67983132</v>
      </c>
      <c r="K308" s="164"/>
      <c r="L308" s="163">
        <v>165.43797816</v>
      </c>
      <c r="M308" s="164"/>
      <c r="N308" s="163">
        <v>165.43797816</v>
      </c>
      <c r="O308" s="164"/>
      <c r="P308" s="151"/>
      <c r="Q308" s="151"/>
      <c r="R308" s="151"/>
      <c r="S308" s="151"/>
      <c r="T308" s="151"/>
      <c r="U308" s="151"/>
      <c r="V308" s="151"/>
      <c r="W308" s="151"/>
      <c r="X308" s="151"/>
      <c r="Y308" s="151"/>
      <c r="Z308" s="151"/>
    </row>
    <row r="309" ht="12.75" customHeight="1">
      <c r="A309" s="151"/>
      <c r="B309" s="125" t="s">
        <v>678</v>
      </c>
      <c r="C309" s="126" t="s">
        <v>679</v>
      </c>
      <c r="D309" s="127" t="s">
        <v>76</v>
      </c>
      <c r="E309" s="151"/>
      <c r="F309" s="163">
        <v>158.0</v>
      </c>
      <c r="G309" s="164"/>
      <c r="H309" s="163">
        <v>161.15991784</v>
      </c>
      <c r="I309" s="164"/>
      <c r="J309" s="163">
        <v>164.31983568</v>
      </c>
      <c r="K309" s="164"/>
      <c r="L309" s="163">
        <v>161.15991784</v>
      </c>
      <c r="M309" s="164"/>
      <c r="N309" s="163">
        <v>161.15991784</v>
      </c>
      <c r="O309" s="164"/>
      <c r="P309" s="151"/>
      <c r="Q309" s="151"/>
      <c r="R309" s="151"/>
      <c r="S309" s="151"/>
      <c r="T309" s="151"/>
      <c r="U309" s="151"/>
      <c r="V309" s="151"/>
      <c r="W309" s="151"/>
      <c r="X309" s="151"/>
      <c r="Y309" s="151"/>
      <c r="Z309" s="151"/>
    </row>
    <row r="310" ht="12.75" customHeight="1">
      <c r="A310" s="151"/>
      <c r="B310" s="125" t="s">
        <v>680</v>
      </c>
      <c r="C310" s="126" t="s">
        <v>681</v>
      </c>
      <c r="D310" s="127" t="s">
        <v>76</v>
      </c>
      <c r="E310" s="151"/>
      <c r="F310" s="163">
        <v>1350.0</v>
      </c>
      <c r="G310" s="164"/>
      <c r="H310" s="163">
        <v>1350.0</v>
      </c>
      <c r="I310" s="164"/>
      <c r="J310" s="163">
        <v>1350.0</v>
      </c>
      <c r="K310" s="164"/>
      <c r="L310" s="163">
        <v>1350.0</v>
      </c>
      <c r="M310" s="164"/>
      <c r="N310" s="163">
        <v>1350.0</v>
      </c>
      <c r="O310" s="164"/>
      <c r="P310" s="151"/>
      <c r="Q310" s="151"/>
      <c r="R310" s="151"/>
      <c r="S310" s="151"/>
      <c r="T310" s="151"/>
      <c r="U310" s="151"/>
      <c r="V310" s="151"/>
      <c r="W310" s="151"/>
      <c r="X310" s="151"/>
      <c r="Y310" s="151"/>
      <c r="Z310" s="151"/>
    </row>
    <row r="311" ht="12.75" customHeight="1">
      <c r="A311" s="151"/>
      <c r="B311" s="125" t="s">
        <v>682</v>
      </c>
      <c r="C311" s="126" t="s">
        <v>683</v>
      </c>
      <c r="D311" s="127" t="s">
        <v>76</v>
      </c>
      <c r="E311" s="151"/>
      <c r="F311" s="163">
        <v>1400.0</v>
      </c>
      <c r="G311" s="164"/>
      <c r="H311" s="163">
        <v>1400.0</v>
      </c>
      <c r="I311" s="164"/>
      <c r="J311" s="163">
        <v>1400.0</v>
      </c>
      <c r="K311" s="164"/>
      <c r="L311" s="163">
        <v>1400.0</v>
      </c>
      <c r="M311" s="164"/>
      <c r="N311" s="163">
        <v>1400.0</v>
      </c>
      <c r="O311" s="164"/>
      <c r="P311" s="151"/>
      <c r="Q311" s="151"/>
      <c r="R311" s="151"/>
      <c r="S311" s="151"/>
      <c r="T311" s="151"/>
      <c r="U311" s="151"/>
      <c r="V311" s="151"/>
      <c r="W311" s="151"/>
      <c r="X311" s="151"/>
      <c r="Y311" s="151"/>
      <c r="Z311" s="151"/>
    </row>
    <row r="312" ht="12.75" customHeight="1">
      <c r="A312" s="151"/>
      <c r="B312" s="125" t="s">
        <v>684</v>
      </c>
      <c r="C312" s="126" t="s">
        <v>685</v>
      </c>
      <c r="D312" s="127" t="s">
        <v>76</v>
      </c>
      <c r="E312" s="151"/>
      <c r="F312" s="163">
        <v>759.6374799599998</v>
      </c>
      <c r="G312" s="164"/>
      <c r="H312" s="163">
        <v>797.6193539579998</v>
      </c>
      <c r="I312" s="164"/>
      <c r="J312" s="163">
        <v>835.6012279559999</v>
      </c>
      <c r="K312" s="164"/>
      <c r="L312" s="163">
        <v>797.6193539579998</v>
      </c>
      <c r="M312" s="164"/>
      <c r="N312" s="163">
        <v>797.6193539579998</v>
      </c>
      <c r="O312" s="164"/>
      <c r="P312" s="151"/>
      <c r="Q312" s="151"/>
      <c r="R312" s="151"/>
      <c r="S312" s="151"/>
      <c r="T312" s="151"/>
      <c r="U312" s="151"/>
      <c r="V312" s="151"/>
      <c r="W312" s="151"/>
      <c r="X312" s="151"/>
      <c r="Y312" s="151"/>
      <c r="Z312" s="151"/>
    </row>
    <row r="313" ht="12.75" customHeight="1">
      <c r="A313" s="151"/>
      <c r="B313" s="125" t="s">
        <v>686</v>
      </c>
      <c r="C313" s="126" t="s">
        <v>687</v>
      </c>
      <c r="D313" s="127" t="s">
        <v>76</v>
      </c>
      <c r="E313" s="151"/>
      <c r="F313" s="163">
        <v>74.88</v>
      </c>
      <c r="G313" s="164"/>
      <c r="H313" s="163">
        <v>78.624</v>
      </c>
      <c r="I313" s="164"/>
      <c r="J313" s="163">
        <v>82.368</v>
      </c>
      <c r="K313" s="164"/>
      <c r="L313" s="163">
        <v>78.624</v>
      </c>
      <c r="M313" s="164"/>
      <c r="N313" s="163">
        <v>78.624</v>
      </c>
      <c r="O313" s="164"/>
      <c r="P313" s="151"/>
      <c r="Q313" s="151"/>
      <c r="R313" s="151"/>
      <c r="S313" s="151"/>
      <c r="T313" s="151"/>
      <c r="U313" s="151"/>
      <c r="V313" s="151"/>
      <c r="W313" s="151"/>
      <c r="X313" s="151"/>
      <c r="Y313" s="151"/>
      <c r="Z313" s="151"/>
    </row>
    <row r="314" ht="12.75" customHeight="1">
      <c r="A314" s="151"/>
      <c r="B314" s="125" t="s">
        <v>688</v>
      </c>
      <c r="C314" s="126" t="s">
        <v>689</v>
      </c>
      <c r="D314" s="127" t="s">
        <v>76</v>
      </c>
      <c r="E314" s="151"/>
      <c r="F314" s="163">
        <v>99.45</v>
      </c>
      <c r="G314" s="164"/>
      <c r="H314" s="163">
        <v>104.42250000000001</v>
      </c>
      <c r="I314" s="164"/>
      <c r="J314" s="163">
        <v>109.39500000000001</v>
      </c>
      <c r="K314" s="164"/>
      <c r="L314" s="163">
        <v>104.42250000000001</v>
      </c>
      <c r="M314" s="164"/>
      <c r="N314" s="163">
        <v>104.42250000000001</v>
      </c>
      <c r="O314" s="164"/>
      <c r="P314" s="151"/>
      <c r="Q314" s="151"/>
      <c r="R314" s="151"/>
      <c r="S314" s="151"/>
      <c r="T314" s="151"/>
      <c r="U314" s="151"/>
      <c r="V314" s="151"/>
      <c r="W314" s="151"/>
      <c r="X314" s="151"/>
      <c r="Y314" s="151"/>
      <c r="Z314" s="151"/>
    </row>
    <row r="315" ht="12.75" customHeight="1">
      <c r="A315" s="151"/>
      <c r="B315" s="125" t="s">
        <v>690</v>
      </c>
      <c r="C315" s="126" t="s">
        <v>691</v>
      </c>
      <c r="D315" s="127" t="s">
        <v>76</v>
      </c>
      <c r="E315" s="151"/>
      <c r="F315" s="163">
        <v>73.96116504854369</v>
      </c>
      <c r="G315" s="164"/>
      <c r="H315" s="163">
        <v>80.66389563106796</v>
      </c>
      <c r="I315" s="164"/>
      <c r="J315" s="163">
        <v>87.36662621359224</v>
      </c>
      <c r="K315" s="164"/>
      <c r="L315" s="163">
        <v>80.66389563106796</v>
      </c>
      <c r="M315" s="164"/>
      <c r="N315" s="163">
        <v>80.66389563106796</v>
      </c>
      <c r="O315" s="164"/>
      <c r="P315" s="151"/>
      <c r="Q315" s="151"/>
      <c r="R315" s="151"/>
      <c r="S315" s="151"/>
      <c r="T315" s="151"/>
      <c r="U315" s="151"/>
      <c r="V315" s="151"/>
      <c r="W315" s="151"/>
      <c r="X315" s="151"/>
      <c r="Y315" s="151"/>
      <c r="Z315" s="151"/>
    </row>
    <row r="316" ht="12.75" customHeight="1">
      <c r="A316" s="151"/>
      <c r="B316" s="125" t="s">
        <v>692</v>
      </c>
      <c r="C316" s="126" t="s">
        <v>693</v>
      </c>
      <c r="D316" s="127" t="s">
        <v>76</v>
      </c>
      <c r="E316" s="151"/>
      <c r="F316" s="163">
        <v>102.02912621359224</v>
      </c>
      <c r="G316" s="164"/>
      <c r="H316" s="163">
        <v>106.11029126213593</v>
      </c>
      <c r="I316" s="164"/>
      <c r="J316" s="163">
        <v>110.19145631067963</v>
      </c>
      <c r="K316" s="164"/>
      <c r="L316" s="163">
        <v>106.11029126213593</v>
      </c>
      <c r="M316" s="164"/>
      <c r="N316" s="163">
        <v>106.11029126213593</v>
      </c>
      <c r="O316" s="164"/>
      <c r="P316" s="151"/>
      <c r="Q316" s="151"/>
      <c r="R316" s="151"/>
      <c r="S316" s="151"/>
      <c r="T316" s="151"/>
      <c r="U316" s="151"/>
      <c r="V316" s="151"/>
      <c r="W316" s="151"/>
      <c r="X316" s="151"/>
      <c r="Y316" s="151"/>
      <c r="Z316" s="151"/>
    </row>
    <row r="317" ht="12.75" customHeight="1">
      <c r="A317" s="151"/>
      <c r="B317" s="125" t="s">
        <v>694</v>
      </c>
      <c r="C317" s="126" t="s">
        <v>695</v>
      </c>
      <c r="D317" s="127" t="s">
        <v>76</v>
      </c>
      <c r="E317" s="151"/>
      <c r="F317" s="163">
        <v>383.0</v>
      </c>
      <c r="G317" s="164"/>
      <c r="H317" s="163">
        <v>402.15</v>
      </c>
      <c r="I317" s="164"/>
      <c r="J317" s="163">
        <v>421.3</v>
      </c>
      <c r="K317" s="164"/>
      <c r="L317" s="163">
        <v>402.15</v>
      </c>
      <c r="M317" s="164"/>
      <c r="N317" s="163">
        <v>402.15</v>
      </c>
      <c r="O317" s="164"/>
      <c r="P317" s="151"/>
      <c r="Q317" s="151"/>
      <c r="R317" s="151"/>
      <c r="S317" s="151"/>
      <c r="T317" s="151"/>
      <c r="U317" s="151"/>
      <c r="V317" s="151"/>
      <c r="W317" s="151"/>
      <c r="X317" s="151"/>
      <c r="Y317" s="151"/>
      <c r="Z317" s="151"/>
    </row>
    <row r="318" ht="12.75" customHeight="1">
      <c r="A318" s="151"/>
      <c r="B318" s="125" t="s">
        <v>696</v>
      </c>
      <c r="C318" s="126" t="s">
        <v>697</v>
      </c>
      <c r="D318" s="127" t="s">
        <v>142</v>
      </c>
      <c r="E318" s="151"/>
      <c r="F318" s="163">
        <v>1685.092812831858</v>
      </c>
      <c r="G318" s="164"/>
      <c r="H318" s="163">
        <v>1514.601069415929</v>
      </c>
      <c r="I318" s="164"/>
      <c r="J318" s="163">
        <v>1344.1093259999998</v>
      </c>
      <c r="K318" s="164"/>
      <c r="L318" s="163">
        <v>1514.601069415929</v>
      </c>
      <c r="M318" s="164"/>
      <c r="N318" s="163">
        <v>1514.601069415929</v>
      </c>
      <c r="O318" s="164"/>
      <c r="P318" s="151"/>
      <c r="Q318" s="151"/>
      <c r="R318" s="151"/>
      <c r="S318" s="151"/>
      <c r="T318" s="151"/>
      <c r="U318" s="151"/>
      <c r="V318" s="151"/>
      <c r="W318" s="151"/>
      <c r="X318" s="151"/>
      <c r="Y318" s="151"/>
      <c r="Z318" s="151"/>
    </row>
    <row r="319" ht="12.75" customHeight="1">
      <c r="A319" s="151"/>
      <c r="B319" s="125" t="s">
        <v>698</v>
      </c>
      <c r="C319" s="126" t="s">
        <v>699</v>
      </c>
      <c r="D319" s="127" t="s">
        <v>142</v>
      </c>
      <c r="E319" s="151"/>
      <c r="F319" s="163">
        <v>310.53929256</v>
      </c>
      <c r="G319" s="164"/>
      <c r="H319" s="163">
        <v>286.85409228000003</v>
      </c>
      <c r="I319" s="164"/>
      <c r="J319" s="163">
        <v>263.168892</v>
      </c>
      <c r="K319" s="164"/>
      <c r="L319" s="163">
        <v>286.85409228000003</v>
      </c>
      <c r="M319" s="164"/>
      <c r="N319" s="163">
        <v>286.85409228000003</v>
      </c>
      <c r="O319" s="164"/>
      <c r="P319" s="151"/>
      <c r="Q319" s="151"/>
      <c r="R319" s="151"/>
      <c r="S319" s="151"/>
      <c r="T319" s="151"/>
      <c r="U319" s="151"/>
      <c r="V319" s="151"/>
      <c r="W319" s="151"/>
      <c r="X319" s="151"/>
      <c r="Y319" s="151"/>
      <c r="Z319" s="151"/>
    </row>
    <row r="320" ht="12.75" customHeight="1">
      <c r="A320" s="151"/>
      <c r="B320" s="125" t="s">
        <v>700</v>
      </c>
      <c r="C320" s="126" t="s">
        <v>701</v>
      </c>
      <c r="D320" s="127" t="s">
        <v>142</v>
      </c>
      <c r="E320" s="151"/>
      <c r="F320" s="163">
        <v>306.8</v>
      </c>
      <c r="G320" s="164"/>
      <c r="H320" s="163">
        <v>319.21500000000003</v>
      </c>
      <c r="I320" s="164"/>
      <c r="J320" s="163">
        <v>331.63</v>
      </c>
      <c r="K320" s="164"/>
      <c r="L320" s="163">
        <v>319.21500000000003</v>
      </c>
      <c r="M320" s="164"/>
      <c r="N320" s="163">
        <v>319.21500000000003</v>
      </c>
      <c r="O320" s="164"/>
      <c r="P320" s="151"/>
      <c r="Q320" s="151"/>
      <c r="R320" s="151"/>
      <c r="S320" s="151"/>
      <c r="T320" s="151"/>
      <c r="U320" s="151"/>
      <c r="V320" s="151"/>
      <c r="W320" s="151"/>
      <c r="X320" s="151"/>
      <c r="Y320" s="151"/>
      <c r="Z320" s="151"/>
    </row>
    <row r="321" ht="12.75" customHeight="1">
      <c r="A321" s="151"/>
      <c r="B321" s="125" t="s">
        <v>702</v>
      </c>
      <c r="C321" s="126" t="s">
        <v>703</v>
      </c>
      <c r="D321" s="127" t="s">
        <v>142</v>
      </c>
      <c r="E321" s="151"/>
      <c r="F321" s="163">
        <v>454.29999999999995</v>
      </c>
      <c r="G321" s="164"/>
      <c r="H321" s="163">
        <v>452.88199999999995</v>
      </c>
      <c r="I321" s="164"/>
      <c r="J321" s="163">
        <v>451.464</v>
      </c>
      <c r="K321" s="164"/>
      <c r="L321" s="163">
        <v>452.88199999999995</v>
      </c>
      <c r="M321" s="164"/>
      <c r="N321" s="163">
        <v>452.88199999999995</v>
      </c>
      <c r="O321" s="164"/>
      <c r="P321" s="151"/>
      <c r="Q321" s="151"/>
      <c r="R321" s="151"/>
      <c r="S321" s="151"/>
      <c r="T321" s="151"/>
      <c r="U321" s="151"/>
      <c r="V321" s="151"/>
      <c r="W321" s="151"/>
      <c r="X321" s="151"/>
      <c r="Y321" s="151"/>
      <c r="Z321" s="151"/>
    </row>
    <row r="322" ht="12.75" customHeight="1">
      <c r="A322" s="151"/>
      <c r="B322" s="113" t="s">
        <v>704</v>
      </c>
      <c r="C322" s="114" t="s">
        <v>705</v>
      </c>
      <c r="D322" s="115"/>
      <c r="E322" s="151"/>
      <c r="F322" s="161"/>
      <c r="G322" s="162"/>
      <c r="H322" s="161"/>
      <c r="I322" s="162"/>
      <c r="J322" s="161"/>
      <c r="K322" s="162"/>
      <c r="L322" s="161"/>
      <c r="M322" s="162"/>
      <c r="N322" s="161"/>
      <c r="O322" s="162"/>
      <c r="P322" s="151"/>
      <c r="Q322" s="151"/>
      <c r="R322" s="151"/>
      <c r="S322" s="151"/>
      <c r="T322" s="151"/>
      <c r="U322" s="151"/>
      <c r="V322" s="151"/>
      <c r="W322" s="151"/>
      <c r="X322" s="151"/>
      <c r="Y322" s="151"/>
      <c r="Z322" s="151"/>
    </row>
    <row r="323" ht="12.75" customHeight="1">
      <c r="A323" s="151"/>
      <c r="B323" s="125" t="s">
        <v>706</v>
      </c>
      <c r="C323" s="126" t="s">
        <v>707</v>
      </c>
      <c r="D323" s="127" t="s">
        <v>180</v>
      </c>
      <c r="E323" s="151"/>
      <c r="F323" s="163">
        <v>98.81179244861713</v>
      </c>
      <c r="G323" s="164"/>
      <c r="H323" s="163">
        <v>93.87455869838264</v>
      </c>
      <c r="I323" s="164"/>
      <c r="J323" s="163">
        <v>88.93732494814816</v>
      </c>
      <c r="K323" s="164"/>
      <c r="L323" s="163">
        <v>93.87455869838264</v>
      </c>
      <c r="M323" s="164"/>
      <c r="N323" s="163">
        <v>93.87455869838264</v>
      </c>
      <c r="O323" s="164"/>
      <c r="P323" s="151"/>
      <c r="Q323" s="151"/>
      <c r="R323" s="151"/>
      <c r="S323" s="151"/>
      <c r="T323" s="151"/>
      <c r="U323" s="151"/>
      <c r="V323" s="151"/>
      <c r="W323" s="151"/>
      <c r="X323" s="151"/>
      <c r="Y323" s="151"/>
      <c r="Z323" s="151"/>
    </row>
    <row r="324" ht="12.75" customHeight="1">
      <c r="A324" s="151"/>
      <c r="B324" s="125" t="s">
        <v>708</v>
      </c>
      <c r="C324" s="126" t="s">
        <v>709</v>
      </c>
      <c r="D324" s="127" t="s">
        <v>180</v>
      </c>
      <c r="E324" s="151"/>
      <c r="F324" s="163">
        <v>142.28703703703704</v>
      </c>
      <c r="G324" s="164"/>
      <c r="H324" s="163">
        <v>147.9785185185185</v>
      </c>
      <c r="I324" s="164"/>
      <c r="J324" s="163">
        <v>153.67000000000002</v>
      </c>
      <c r="K324" s="164"/>
      <c r="L324" s="163">
        <v>147.9785185185185</v>
      </c>
      <c r="M324" s="164"/>
      <c r="N324" s="163">
        <v>147.9785185185185</v>
      </c>
      <c r="O324" s="164"/>
      <c r="P324" s="151"/>
      <c r="Q324" s="151"/>
      <c r="R324" s="151"/>
      <c r="S324" s="151"/>
      <c r="T324" s="151"/>
      <c r="U324" s="151"/>
      <c r="V324" s="151"/>
      <c r="W324" s="151"/>
      <c r="X324" s="151"/>
      <c r="Y324" s="151"/>
      <c r="Z324" s="151"/>
    </row>
    <row r="325" ht="12.75" customHeight="1">
      <c r="A325" s="151"/>
      <c r="B325" s="125" t="s">
        <v>710</v>
      </c>
      <c r="C325" s="126" t="s">
        <v>711</v>
      </c>
      <c r="D325" s="127" t="s">
        <v>135</v>
      </c>
      <c r="E325" s="151"/>
      <c r="F325" s="163">
        <v>23.958256434649293</v>
      </c>
      <c r="G325" s="164"/>
      <c r="H325" s="163">
        <v>23.228534217324643</v>
      </c>
      <c r="I325" s="164"/>
      <c r="J325" s="163">
        <v>22.498811999999997</v>
      </c>
      <c r="K325" s="164"/>
      <c r="L325" s="163">
        <v>23.228534217324643</v>
      </c>
      <c r="M325" s="164"/>
      <c r="N325" s="163">
        <v>23.228534217324643</v>
      </c>
      <c r="O325" s="164"/>
      <c r="P325" s="151"/>
      <c r="Q325" s="151"/>
      <c r="R325" s="151"/>
      <c r="S325" s="151"/>
      <c r="T325" s="151"/>
      <c r="U325" s="151"/>
      <c r="V325" s="151"/>
      <c r="W325" s="151"/>
      <c r="X325" s="151"/>
      <c r="Y325" s="151"/>
      <c r="Z325" s="151"/>
    </row>
    <row r="326" ht="12.75" customHeight="1">
      <c r="A326" s="151"/>
      <c r="B326" s="125" t="s">
        <v>712</v>
      </c>
      <c r="C326" s="126" t="s">
        <v>713</v>
      </c>
      <c r="D326" s="127" t="s">
        <v>76</v>
      </c>
      <c r="E326" s="151"/>
      <c r="F326" s="163">
        <v>260.5</v>
      </c>
      <c r="G326" s="164"/>
      <c r="H326" s="163">
        <v>213.579726</v>
      </c>
      <c r="I326" s="164"/>
      <c r="J326" s="163">
        <v>200.00129605263157</v>
      </c>
      <c r="K326" s="164"/>
      <c r="L326" s="163">
        <v>213.579726</v>
      </c>
      <c r="M326" s="164"/>
      <c r="N326" s="163">
        <v>213.579726</v>
      </c>
      <c r="O326" s="164"/>
      <c r="P326" s="151"/>
      <c r="Q326" s="151"/>
      <c r="R326" s="151"/>
      <c r="S326" s="151"/>
      <c r="T326" s="151"/>
      <c r="U326" s="151"/>
      <c r="V326" s="151"/>
      <c r="W326" s="151"/>
      <c r="X326" s="151"/>
      <c r="Y326" s="151"/>
      <c r="Z326" s="151"/>
    </row>
    <row r="327" ht="12.75" customHeight="1">
      <c r="A327" s="151"/>
      <c r="B327" s="125" t="s">
        <v>714</v>
      </c>
      <c r="C327" s="126" t="s">
        <v>715</v>
      </c>
      <c r="D327" s="127" t="s">
        <v>76</v>
      </c>
      <c r="E327" s="151"/>
      <c r="F327" s="163">
        <v>200.0</v>
      </c>
      <c r="G327" s="164"/>
      <c r="H327" s="163">
        <v>190.26463529283643</v>
      </c>
      <c r="I327" s="164"/>
      <c r="J327" s="163">
        <v>203.5</v>
      </c>
      <c r="K327" s="164"/>
      <c r="L327" s="163">
        <v>190.26463529283643</v>
      </c>
      <c r="M327" s="164"/>
      <c r="N327" s="163">
        <v>190.26463529283643</v>
      </c>
      <c r="O327" s="164"/>
      <c r="P327" s="151"/>
      <c r="Q327" s="151"/>
      <c r="R327" s="151"/>
      <c r="S327" s="151"/>
      <c r="T327" s="151"/>
      <c r="U327" s="151"/>
      <c r="V327" s="151"/>
      <c r="W327" s="151"/>
      <c r="X327" s="151"/>
      <c r="Y327" s="151"/>
      <c r="Z327" s="151"/>
    </row>
    <row r="328" ht="12.75" customHeight="1">
      <c r="A328" s="151"/>
      <c r="B328" s="125" t="s">
        <v>716</v>
      </c>
      <c r="C328" s="126" t="s">
        <v>717</v>
      </c>
      <c r="D328" s="127" t="s">
        <v>180</v>
      </c>
      <c r="E328" s="151"/>
      <c r="F328" s="163">
        <v>78.09186141505072</v>
      </c>
      <c r="G328" s="164"/>
      <c r="H328" s="163">
        <v>76.72335006236406</v>
      </c>
      <c r="I328" s="164"/>
      <c r="J328" s="163">
        <v>75.35483870967742</v>
      </c>
      <c r="K328" s="164"/>
      <c r="L328" s="163">
        <v>76.72335006236406</v>
      </c>
      <c r="M328" s="164"/>
      <c r="N328" s="163">
        <v>76.72335006236406</v>
      </c>
      <c r="O328" s="164"/>
      <c r="P328" s="151"/>
      <c r="Q328" s="151"/>
      <c r="R328" s="151"/>
      <c r="S328" s="151"/>
      <c r="T328" s="151"/>
      <c r="U328" s="151"/>
      <c r="V328" s="151"/>
      <c r="W328" s="151"/>
      <c r="X328" s="151"/>
      <c r="Y328" s="151"/>
      <c r="Z328" s="151"/>
    </row>
    <row r="329" ht="12.75" customHeight="1">
      <c r="A329" s="151"/>
      <c r="B329" s="125" t="s">
        <v>718</v>
      </c>
      <c r="C329" s="126" t="s">
        <v>719</v>
      </c>
      <c r="D329" s="127" t="s">
        <v>180</v>
      </c>
      <c r="E329" s="151"/>
      <c r="F329" s="163">
        <v>25.439999999999998</v>
      </c>
      <c r="G329" s="164"/>
      <c r="H329" s="163">
        <v>26.4576</v>
      </c>
      <c r="I329" s="164"/>
      <c r="J329" s="163">
        <v>27.4752</v>
      </c>
      <c r="K329" s="164"/>
      <c r="L329" s="163">
        <v>26.4576</v>
      </c>
      <c r="M329" s="164"/>
      <c r="N329" s="163">
        <v>26.4576</v>
      </c>
      <c r="O329" s="164"/>
      <c r="P329" s="151"/>
      <c r="Q329" s="151"/>
      <c r="R329" s="151"/>
      <c r="S329" s="151"/>
      <c r="T329" s="151"/>
      <c r="U329" s="151"/>
      <c r="V329" s="151"/>
      <c r="W329" s="151"/>
      <c r="X329" s="151"/>
      <c r="Y329" s="151"/>
      <c r="Z329" s="151"/>
    </row>
    <row r="330" ht="12.75" customHeight="1">
      <c r="A330" s="151"/>
      <c r="B330" s="125" t="s">
        <v>720</v>
      </c>
      <c r="C330" s="126" t="s">
        <v>721</v>
      </c>
      <c r="D330" s="127" t="s">
        <v>180</v>
      </c>
      <c r="E330" s="151"/>
      <c r="F330" s="163">
        <v>30.590000000000003</v>
      </c>
      <c r="G330" s="164"/>
      <c r="H330" s="163">
        <v>31.813600000000005</v>
      </c>
      <c r="I330" s="164"/>
      <c r="J330" s="163">
        <v>33.037200000000006</v>
      </c>
      <c r="K330" s="164"/>
      <c r="L330" s="163">
        <v>31.813600000000005</v>
      </c>
      <c r="M330" s="164"/>
      <c r="N330" s="163">
        <v>31.813600000000005</v>
      </c>
      <c r="O330" s="164"/>
      <c r="P330" s="151"/>
      <c r="Q330" s="151"/>
      <c r="R330" s="151"/>
      <c r="S330" s="151"/>
      <c r="T330" s="151"/>
      <c r="U330" s="151"/>
      <c r="V330" s="151"/>
      <c r="W330" s="151"/>
      <c r="X330" s="151"/>
      <c r="Y330" s="151"/>
      <c r="Z330" s="151"/>
    </row>
    <row r="331" ht="12.75" customHeight="1">
      <c r="A331" s="151"/>
      <c r="B331" s="125" t="s">
        <v>722</v>
      </c>
      <c r="C331" s="126" t="s">
        <v>723</v>
      </c>
      <c r="D331" s="127" t="s">
        <v>76</v>
      </c>
      <c r="E331" s="151"/>
      <c r="F331" s="163">
        <v>65.9625</v>
      </c>
      <c r="G331" s="164"/>
      <c r="H331" s="163">
        <v>77.02625</v>
      </c>
      <c r="I331" s="164"/>
      <c r="J331" s="163">
        <v>88.09</v>
      </c>
      <c r="K331" s="164"/>
      <c r="L331" s="163">
        <v>77.02625</v>
      </c>
      <c r="M331" s="164"/>
      <c r="N331" s="163">
        <v>77.02625</v>
      </c>
      <c r="O331" s="164"/>
      <c r="P331" s="151"/>
      <c r="Q331" s="151"/>
      <c r="R331" s="151"/>
      <c r="S331" s="151"/>
      <c r="T331" s="151"/>
      <c r="U331" s="151"/>
      <c r="V331" s="151"/>
      <c r="W331" s="151"/>
      <c r="X331" s="151"/>
      <c r="Y331" s="151"/>
      <c r="Z331" s="151"/>
    </row>
    <row r="332" ht="12.75" customHeight="1">
      <c r="A332" s="151"/>
      <c r="B332" s="125" t="s">
        <v>724</v>
      </c>
      <c r="C332" s="126" t="s">
        <v>725</v>
      </c>
      <c r="D332" s="127" t="s">
        <v>76</v>
      </c>
      <c r="E332" s="151"/>
      <c r="F332" s="163">
        <v>38.823899999999995</v>
      </c>
      <c r="G332" s="164"/>
      <c r="H332" s="163">
        <v>40.37685599999999</v>
      </c>
      <c r="I332" s="164"/>
      <c r="J332" s="163">
        <v>41.929812</v>
      </c>
      <c r="K332" s="164"/>
      <c r="L332" s="163">
        <v>40.37685599999999</v>
      </c>
      <c r="M332" s="164"/>
      <c r="N332" s="163">
        <v>40.37685599999999</v>
      </c>
      <c r="O332" s="164"/>
      <c r="P332" s="151"/>
      <c r="Q332" s="151"/>
      <c r="R332" s="151"/>
      <c r="S332" s="151"/>
      <c r="T332" s="151"/>
      <c r="U332" s="151"/>
      <c r="V332" s="151"/>
      <c r="W332" s="151"/>
      <c r="X332" s="151"/>
      <c r="Y332" s="151"/>
      <c r="Z332" s="151"/>
    </row>
    <row r="333" ht="12.75" customHeight="1">
      <c r="A333" s="151"/>
      <c r="B333" s="125" t="s">
        <v>726</v>
      </c>
      <c r="C333" s="126" t="s">
        <v>727</v>
      </c>
      <c r="D333" s="127" t="s">
        <v>76</v>
      </c>
      <c r="E333" s="151"/>
      <c r="F333" s="163">
        <v>219.11442129587175</v>
      </c>
      <c r="G333" s="164"/>
      <c r="H333" s="163">
        <v>210.1547106479359</v>
      </c>
      <c r="I333" s="164"/>
      <c r="J333" s="163">
        <v>201.195</v>
      </c>
      <c r="K333" s="164"/>
      <c r="L333" s="163">
        <v>210.1547106479359</v>
      </c>
      <c r="M333" s="164"/>
      <c r="N333" s="163">
        <v>210.1547106479359</v>
      </c>
      <c r="O333" s="164"/>
      <c r="P333" s="151"/>
      <c r="Q333" s="151"/>
      <c r="R333" s="151"/>
      <c r="S333" s="151"/>
      <c r="T333" s="151"/>
      <c r="U333" s="151"/>
      <c r="V333" s="151"/>
      <c r="W333" s="151"/>
      <c r="X333" s="151"/>
      <c r="Y333" s="151"/>
      <c r="Z333" s="151"/>
    </row>
    <row r="334" ht="12.75" customHeight="1">
      <c r="A334" s="151"/>
      <c r="B334" s="125" t="s">
        <v>728</v>
      </c>
      <c r="C334" s="126" t="s">
        <v>729</v>
      </c>
      <c r="D334" s="127" t="s">
        <v>76</v>
      </c>
      <c r="E334" s="151"/>
      <c r="F334" s="163">
        <v>150.77</v>
      </c>
      <c r="G334" s="164"/>
      <c r="H334" s="163">
        <v>146.179</v>
      </c>
      <c r="I334" s="164"/>
      <c r="J334" s="163">
        <v>141.588</v>
      </c>
      <c r="K334" s="164"/>
      <c r="L334" s="163">
        <v>146.179</v>
      </c>
      <c r="M334" s="164"/>
      <c r="N334" s="163">
        <v>146.179</v>
      </c>
      <c r="O334" s="164"/>
      <c r="P334" s="151"/>
      <c r="Q334" s="151"/>
      <c r="R334" s="151"/>
      <c r="S334" s="151"/>
      <c r="T334" s="151"/>
      <c r="U334" s="151"/>
      <c r="V334" s="151"/>
      <c r="W334" s="151"/>
      <c r="X334" s="151"/>
      <c r="Y334" s="151"/>
      <c r="Z334" s="151"/>
    </row>
    <row r="335" ht="12.75" customHeight="1">
      <c r="A335" s="151"/>
      <c r="B335" s="125" t="s">
        <v>730</v>
      </c>
      <c r="C335" s="126" t="s">
        <v>731</v>
      </c>
      <c r="D335" s="127" t="s">
        <v>76</v>
      </c>
      <c r="E335" s="151"/>
      <c r="F335" s="163">
        <v>65.01599999999999</v>
      </c>
      <c r="G335" s="164"/>
      <c r="H335" s="163">
        <v>67.61663999999999</v>
      </c>
      <c r="I335" s="164"/>
      <c r="J335" s="163">
        <v>70.21727999999999</v>
      </c>
      <c r="K335" s="164"/>
      <c r="L335" s="163">
        <v>67.61663999999999</v>
      </c>
      <c r="M335" s="164"/>
      <c r="N335" s="163">
        <v>67.61663999999999</v>
      </c>
      <c r="O335" s="164"/>
      <c r="P335" s="151"/>
      <c r="Q335" s="151"/>
      <c r="R335" s="151"/>
      <c r="S335" s="151"/>
      <c r="T335" s="151"/>
      <c r="U335" s="151"/>
      <c r="V335" s="151"/>
      <c r="W335" s="151"/>
      <c r="X335" s="151"/>
      <c r="Y335" s="151"/>
      <c r="Z335" s="151"/>
    </row>
    <row r="336" ht="12.75" customHeight="1">
      <c r="A336" s="151"/>
      <c r="B336" s="125" t="s">
        <v>732</v>
      </c>
      <c r="C336" s="126" t="s">
        <v>733</v>
      </c>
      <c r="D336" s="127" t="s">
        <v>76</v>
      </c>
      <c r="E336" s="151"/>
      <c r="F336" s="163">
        <v>76.47</v>
      </c>
      <c r="G336" s="164"/>
      <c r="H336" s="163">
        <v>79.5288</v>
      </c>
      <c r="I336" s="164"/>
      <c r="J336" s="163">
        <v>82.58760000000001</v>
      </c>
      <c r="K336" s="164"/>
      <c r="L336" s="163">
        <v>79.5288</v>
      </c>
      <c r="M336" s="164"/>
      <c r="N336" s="163">
        <v>79.5288</v>
      </c>
      <c r="O336" s="164"/>
      <c r="P336" s="151"/>
      <c r="Q336" s="151"/>
      <c r="R336" s="151"/>
      <c r="S336" s="151"/>
      <c r="T336" s="151"/>
      <c r="U336" s="151"/>
      <c r="V336" s="151"/>
      <c r="W336" s="151"/>
      <c r="X336" s="151"/>
      <c r="Y336" s="151"/>
      <c r="Z336" s="151"/>
    </row>
    <row r="337" ht="12.75" customHeight="1">
      <c r="A337" s="151"/>
      <c r="B337" s="125" t="s">
        <v>734</v>
      </c>
      <c r="C337" s="126" t="s">
        <v>735</v>
      </c>
      <c r="D337" s="127" t="s">
        <v>76</v>
      </c>
      <c r="E337" s="151"/>
      <c r="F337" s="163">
        <v>47.50188954047448</v>
      </c>
      <c r="G337" s="164"/>
      <c r="H337" s="163">
        <v>52.635944770237245</v>
      </c>
      <c r="I337" s="164"/>
      <c r="J337" s="163">
        <v>57.77</v>
      </c>
      <c r="K337" s="164"/>
      <c r="L337" s="163">
        <v>52.635944770237245</v>
      </c>
      <c r="M337" s="164"/>
      <c r="N337" s="163">
        <v>52.635944770237245</v>
      </c>
      <c r="O337" s="164"/>
      <c r="P337" s="151"/>
      <c r="Q337" s="151"/>
      <c r="R337" s="151"/>
      <c r="S337" s="151"/>
      <c r="T337" s="151"/>
      <c r="U337" s="151"/>
      <c r="V337" s="151"/>
      <c r="W337" s="151"/>
      <c r="X337" s="151"/>
      <c r="Y337" s="151"/>
      <c r="Z337" s="151"/>
    </row>
    <row r="338" ht="12.75" customHeight="1">
      <c r="A338" s="151"/>
      <c r="B338" s="125" t="s">
        <v>736</v>
      </c>
      <c r="C338" s="126" t="s">
        <v>737</v>
      </c>
      <c r="D338" s="127" t="s">
        <v>425</v>
      </c>
      <c r="E338" s="151"/>
      <c r="F338" s="163">
        <v>55.16</v>
      </c>
      <c r="G338" s="164"/>
      <c r="H338" s="163">
        <v>55.16</v>
      </c>
      <c r="I338" s="164"/>
      <c r="J338" s="163">
        <v>55.16</v>
      </c>
      <c r="K338" s="164"/>
      <c r="L338" s="163">
        <v>55.16</v>
      </c>
      <c r="M338" s="164"/>
      <c r="N338" s="163">
        <v>55.16</v>
      </c>
      <c r="O338" s="164"/>
      <c r="P338" s="151"/>
      <c r="Q338" s="151"/>
      <c r="R338" s="151"/>
      <c r="S338" s="151"/>
      <c r="T338" s="151"/>
      <c r="U338" s="151"/>
      <c r="V338" s="151"/>
      <c r="W338" s="151"/>
      <c r="X338" s="151"/>
      <c r="Y338" s="151"/>
      <c r="Z338" s="151"/>
    </row>
    <row r="339" ht="12.75" customHeight="1">
      <c r="A339" s="151"/>
      <c r="B339" s="113" t="s">
        <v>738</v>
      </c>
      <c r="C339" s="114" t="s">
        <v>739</v>
      </c>
      <c r="D339" s="115"/>
      <c r="E339" s="151"/>
      <c r="F339" s="161"/>
      <c r="G339" s="162"/>
      <c r="H339" s="161"/>
      <c r="I339" s="162"/>
      <c r="J339" s="161"/>
      <c r="K339" s="162"/>
      <c r="L339" s="161"/>
      <c r="M339" s="162"/>
      <c r="N339" s="161"/>
      <c r="O339" s="162"/>
      <c r="P339" s="151"/>
      <c r="Q339" s="151"/>
      <c r="R339" s="151"/>
      <c r="S339" s="151"/>
      <c r="T339" s="151"/>
      <c r="U339" s="151"/>
      <c r="V339" s="151"/>
      <c r="W339" s="151"/>
      <c r="X339" s="151"/>
      <c r="Y339" s="151"/>
      <c r="Z339" s="151"/>
    </row>
    <row r="340" ht="12.75" customHeight="1">
      <c r="A340" s="151"/>
      <c r="B340" s="125" t="s">
        <v>740</v>
      </c>
      <c r="C340" s="126" t="s">
        <v>741</v>
      </c>
      <c r="D340" s="127" t="s">
        <v>425</v>
      </c>
      <c r="E340" s="151"/>
      <c r="F340" s="163">
        <v>5.32</v>
      </c>
      <c r="G340" s="164"/>
      <c r="H340" s="163">
        <v>5.32</v>
      </c>
      <c r="I340" s="164"/>
      <c r="J340" s="163">
        <v>5.32</v>
      </c>
      <c r="K340" s="164"/>
      <c r="L340" s="163">
        <v>5.32</v>
      </c>
      <c r="M340" s="164"/>
      <c r="N340" s="163">
        <v>5.32</v>
      </c>
      <c r="O340" s="164"/>
      <c r="P340" s="151"/>
      <c r="Q340" s="151"/>
      <c r="R340" s="151"/>
      <c r="S340" s="151"/>
      <c r="T340" s="151"/>
      <c r="U340" s="151"/>
      <c r="V340" s="151"/>
      <c r="W340" s="151"/>
      <c r="X340" s="151"/>
      <c r="Y340" s="151"/>
      <c r="Z340" s="151"/>
    </row>
    <row r="341" ht="12.75" customHeight="1">
      <c r="A341" s="151"/>
      <c r="B341" s="125" t="s">
        <v>742</v>
      </c>
      <c r="C341" s="126" t="s">
        <v>743</v>
      </c>
      <c r="D341" s="127" t="s">
        <v>64</v>
      </c>
      <c r="E341" s="151"/>
      <c r="F341" s="163">
        <v>1647.68</v>
      </c>
      <c r="G341" s="164"/>
      <c r="H341" s="163">
        <v>1664.064159775</v>
      </c>
      <c r="I341" s="164"/>
      <c r="J341" s="163">
        <v>1680.4483195500002</v>
      </c>
      <c r="K341" s="164"/>
      <c r="L341" s="163">
        <v>1664.064159775</v>
      </c>
      <c r="M341" s="164"/>
      <c r="N341" s="163">
        <v>1664.064159775</v>
      </c>
      <c r="O341" s="164"/>
      <c r="P341" s="151"/>
      <c r="Q341" s="151"/>
      <c r="R341" s="151"/>
      <c r="S341" s="151"/>
      <c r="T341" s="151"/>
      <c r="U341" s="151"/>
      <c r="V341" s="151"/>
      <c r="W341" s="151"/>
      <c r="X341" s="151"/>
      <c r="Y341" s="151"/>
      <c r="Z341" s="151"/>
    </row>
    <row r="342" ht="12.75" customHeight="1">
      <c r="A342" s="151"/>
      <c r="B342" s="125" t="s">
        <v>744</v>
      </c>
      <c r="C342" s="126" t="s">
        <v>745</v>
      </c>
      <c r="D342" s="127" t="s">
        <v>167</v>
      </c>
      <c r="E342" s="151"/>
      <c r="F342" s="163">
        <v>1751.929237729651</v>
      </c>
      <c r="G342" s="164"/>
      <c r="H342" s="163">
        <v>1793.6146188648256</v>
      </c>
      <c r="I342" s="164"/>
      <c r="J342" s="163">
        <v>1835.3</v>
      </c>
      <c r="K342" s="164"/>
      <c r="L342" s="163">
        <v>1793.6146188648256</v>
      </c>
      <c r="M342" s="164"/>
      <c r="N342" s="163">
        <v>1793.6146188648256</v>
      </c>
      <c r="O342" s="164"/>
      <c r="P342" s="151"/>
      <c r="Q342" s="151"/>
      <c r="R342" s="151"/>
      <c r="S342" s="151"/>
      <c r="T342" s="151"/>
      <c r="U342" s="151"/>
      <c r="V342" s="151"/>
      <c r="W342" s="151"/>
      <c r="X342" s="151"/>
      <c r="Y342" s="151"/>
      <c r="Z342" s="151"/>
    </row>
    <row r="343" ht="12.75" customHeight="1">
      <c r="A343" s="151"/>
      <c r="B343" s="125"/>
      <c r="C343" s="126" t="s">
        <v>746</v>
      </c>
      <c r="D343" s="127" t="s">
        <v>746</v>
      </c>
      <c r="E343" s="151"/>
      <c r="F343" s="163"/>
      <c r="G343" s="164"/>
      <c r="H343" s="163"/>
      <c r="I343" s="164"/>
      <c r="J343" s="163"/>
      <c r="K343" s="164"/>
      <c r="L343" s="163"/>
      <c r="M343" s="164"/>
      <c r="N343" s="163"/>
      <c r="O343" s="164"/>
      <c r="P343" s="151"/>
      <c r="Q343" s="151"/>
      <c r="R343" s="151"/>
      <c r="S343" s="151"/>
      <c r="T343" s="151"/>
      <c r="U343" s="151"/>
      <c r="V343" s="151"/>
      <c r="W343" s="151"/>
      <c r="X343" s="151"/>
      <c r="Y343" s="151"/>
      <c r="Z343" s="151"/>
    </row>
    <row r="344" ht="12.75" customHeight="1">
      <c r="A344" s="151"/>
      <c r="B344" s="101" t="s">
        <v>747</v>
      </c>
      <c r="C344" s="102" t="s">
        <v>748</v>
      </c>
      <c r="D344" s="103"/>
      <c r="E344" s="151"/>
      <c r="F344" s="159"/>
      <c r="G344" s="160"/>
      <c r="H344" s="159"/>
      <c r="I344" s="160"/>
      <c r="J344" s="159"/>
      <c r="K344" s="160"/>
      <c r="L344" s="159"/>
      <c r="M344" s="160"/>
      <c r="N344" s="159"/>
      <c r="O344" s="160"/>
      <c r="P344" s="151"/>
      <c r="Q344" s="151"/>
      <c r="R344" s="151"/>
      <c r="S344" s="151"/>
      <c r="T344" s="151"/>
      <c r="U344" s="151"/>
      <c r="V344" s="151"/>
      <c r="W344" s="151"/>
      <c r="X344" s="151"/>
      <c r="Y344" s="151"/>
      <c r="Z344" s="151"/>
    </row>
    <row r="345" ht="12.75" customHeight="1">
      <c r="A345" s="151"/>
      <c r="B345" s="113" t="s">
        <v>749</v>
      </c>
      <c r="C345" s="114" t="s">
        <v>750</v>
      </c>
      <c r="D345" s="115"/>
      <c r="E345" s="151"/>
      <c r="F345" s="161"/>
      <c r="G345" s="162"/>
      <c r="H345" s="161"/>
      <c r="I345" s="162"/>
      <c r="J345" s="161"/>
      <c r="K345" s="162"/>
      <c r="L345" s="161"/>
      <c r="M345" s="162"/>
      <c r="N345" s="161"/>
      <c r="O345" s="162"/>
      <c r="P345" s="151"/>
      <c r="Q345" s="151"/>
      <c r="R345" s="151"/>
      <c r="S345" s="151"/>
      <c r="T345" s="151"/>
      <c r="U345" s="151"/>
      <c r="V345" s="151"/>
      <c r="W345" s="151"/>
      <c r="X345" s="151"/>
      <c r="Y345" s="151"/>
      <c r="Z345" s="151"/>
    </row>
    <row r="346" ht="12.75" customHeight="1">
      <c r="A346" s="151"/>
      <c r="B346" s="125" t="s">
        <v>751</v>
      </c>
      <c r="C346" s="126" t="s">
        <v>752</v>
      </c>
      <c r="D346" s="127" t="s">
        <v>142</v>
      </c>
      <c r="E346" s="151"/>
      <c r="F346" s="163">
        <v>1866.62</v>
      </c>
      <c r="G346" s="164"/>
      <c r="H346" s="163">
        <v>1941.2848</v>
      </c>
      <c r="I346" s="164"/>
      <c r="J346" s="163">
        <v>2015.9496</v>
      </c>
      <c r="K346" s="164"/>
      <c r="L346" s="163">
        <v>1941.2848</v>
      </c>
      <c r="M346" s="164"/>
      <c r="N346" s="163">
        <v>1941.2848</v>
      </c>
      <c r="O346" s="164"/>
      <c r="P346" s="151"/>
      <c r="Q346" s="151"/>
      <c r="R346" s="151"/>
      <c r="S346" s="151"/>
      <c r="T346" s="151"/>
      <c r="U346" s="151"/>
      <c r="V346" s="151"/>
      <c r="W346" s="151"/>
      <c r="X346" s="151"/>
      <c r="Y346" s="151"/>
      <c r="Z346" s="151"/>
    </row>
    <row r="347" ht="12.75" customHeight="1">
      <c r="A347" s="151"/>
      <c r="B347" s="125" t="s">
        <v>753</v>
      </c>
      <c r="C347" s="126" t="s">
        <v>754</v>
      </c>
      <c r="D347" s="127" t="s">
        <v>142</v>
      </c>
      <c r="E347" s="151"/>
      <c r="F347" s="163">
        <v>2406.1000000000004</v>
      </c>
      <c r="G347" s="164"/>
      <c r="H347" s="163">
        <v>2502.3440000000005</v>
      </c>
      <c r="I347" s="164"/>
      <c r="J347" s="163">
        <v>2598.5880000000006</v>
      </c>
      <c r="K347" s="164"/>
      <c r="L347" s="163">
        <v>2502.3440000000005</v>
      </c>
      <c r="M347" s="164"/>
      <c r="N347" s="163">
        <v>2502.3440000000005</v>
      </c>
      <c r="O347" s="164"/>
      <c r="P347" s="151"/>
      <c r="Q347" s="151"/>
      <c r="R347" s="151"/>
      <c r="S347" s="151"/>
      <c r="T347" s="151"/>
      <c r="U347" s="151"/>
      <c r="V347" s="151"/>
      <c r="W347" s="151"/>
      <c r="X347" s="151"/>
      <c r="Y347" s="151"/>
      <c r="Z347" s="151"/>
    </row>
    <row r="348" ht="12.75" customHeight="1">
      <c r="A348" s="151"/>
      <c r="B348" s="125" t="s">
        <v>755</v>
      </c>
      <c r="C348" s="126" t="s">
        <v>756</v>
      </c>
      <c r="D348" s="127" t="s">
        <v>142</v>
      </c>
      <c r="E348" s="151"/>
      <c r="F348" s="163">
        <v>4611.1</v>
      </c>
      <c r="G348" s="164"/>
      <c r="H348" s="163">
        <v>4795.544</v>
      </c>
      <c r="I348" s="164"/>
      <c r="J348" s="163">
        <v>4979.988</v>
      </c>
      <c r="K348" s="164"/>
      <c r="L348" s="163">
        <v>4795.544</v>
      </c>
      <c r="M348" s="164"/>
      <c r="N348" s="163">
        <v>4795.544</v>
      </c>
      <c r="O348" s="164"/>
      <c r="P348" s="151"/>
      <c r="Q348" s="151"/>
      <c r="R348" s="151"/>
      <c r="S348" s="151"/>
      <c r="T348" s="151"/>
      <c r="U348" s="151"/>
      <c r="V348" s="151"/>
      <c r="W348" s="151"/>
      <c r="X348" s="151"/>
      <c r="Y348" s="151"/>
      <c r="Z348" s="151"/>
    </row>
    <row r="349" ht="12.75" customHeight="1">
      <c r="A349" s="151"/>
      <c r="B349" s="125" t="s">
        <v>757</v>
      </c>
      <c r="C349" s="126" t="s">
        <v>758</v>
      </c>
      <c r="D349" s="127" t="s">
        <v>142</v>
      </c>
      <c r="E349" s="151"/>
      <c r="F349" s="163">
        <v>6952.874</v>
      </c>
      <c r="G349" s="164"/>
      <c r="H349" s="163">
        <v>7230.988960000001</v>
      </c>
      <c r="I349" s="164"/>
      <c r="J349" s="163">
        <v>7509.1039200000005</v>
      </c>
      <c r="K349" s="164"/>
      <c r="L349" s="163">
        <v>7230.988960000001</v>
      </c>
      <c r="M349" s="164"/>
      <c r="N349" s="163">
        <v>7230.988960000001</v>
      </c>
      <c r="O349" s="164"/>
      <c r="P349" s="151"/>
      <c r="Q349" s="151"/>
      <c r="R349" s="151"/>
      <c r="S349" s="151"/>
      <c r="T349" s="151"/>
      <c r="U349" s="151"/>
      <c r="V349" s="151"/>
      <c r="W349" s="151"/>
      <c r="X349" s="151"/>
      <c r="Y349" s="151"/>
      <c r="Z349" s="151"/>
    </row>
    <row r="350" ht="12.75" customHeight="1">
      <c r="A350" s="151"/>
      <c r="B350" s="125" t="s">
        <v>759</v>
      </c>
      <c r="C350" s="126" t="s">
        <v>760</v>
      </c>
      <c r="D350" s="127" t="s">
        <v>142</v>
      </c>
      <c r="E350" s="151"/>
      <c r="F350" s="163">
        <v>5207.41</v>
      </c>
      <c r="G350" s="164"/>
      <c r="H350" s="163">
        <v>5415.7064</v>
      </c>
      <c r="I350" s="164"/>
      <c r="J350" s="163">
        <v>5624.0028</v>
      </c>
      <c r="K350" s="164"/>
      <c r="L350" s="163">
        <v>5415.7064</v>
      </c>
      <c r="M350" s="164"/>
      <c r="N350" s="163">
        <v>5415.7064</v>
      </c>
      <c r="O350" s="164"/>
      <c r="P350" s="151"/>
      <c r="Q350" s="151"/>
      <c r="R350" s="151"/>
      <c r="S350" s="151"/>
      <c r="T350" s="151"/>
      <c r="U350" s="151"/>
      <c r="V350" s="151"/>
      <c r="W350" s="151"/>
      <c r="X350" s="151"/>
      <c r="Y350" s="151"/>
      <c r="Z350" s="151"/>
    </row>
    <row r="351" ht="12.75" customHeight="1">
      <c r="A351" s="151"/>
      <c r="B351" s="125" t="s">
        <v>761</v>
      </c>
      <c r="C351" s="126" t="s">
        <v>762</v>
      </c>
      <c r="D351" s="127" t="s">
        <v>142</v>
      </c>
      <c r="E351" s="151"/>
      <c r="F351" s="163">
        <v>7222.33</v>
      </c>
      <c r="G351" s="164"/>
      <c r="H351" s="163">
        <v>7511.2232</v>
      </c>
      <c r="I351" s="164"/>
      <c r="J351" s="163">
        <v>7800.116400000001</v>
      </c>
      <c r="K351" s="164"/>
      <c r="L351" s="163">
        <v>7511.2232</v>
      </c>
      <c r="M351" s="164"/>
      <c r="N351" s="163">
        <v>7511.2232</v>
      </c>
      <c r="O351" s="164"/>
      <c r="P351" s="151"/>
      <c r="Q351" s="151"/>
      <c r="R351" s="151"/>
      <c r="S351" s="151"/>
      <c r="T351" s="151"/>
      <c r="U351" s="151"/>
      <c r="V351" s="151"/>
      <c r="W351" s="151"/>
      <c r="X351" s="151"/>
      <c r="Y351" s="151"/>
      <c r="Z351" s="151"/>
    </row>
    <row r="352" ht="12.75" customHeight="1">
      <c r="A352" s="151"/>
      <c r="B352" s="125" t="s">
        <v>763</v>
      </c>
      <c r="C352" s="126" t="s">
        <v>764</v>
      </c>
      <c r="D352" s="127" t="s">
        <v>142</v>
      </c>
      <c r="E352" s="151"/>
      <c r="F352" s="163">
        <v>9814.73</v>
      </c>
      <c r="G352" s="164"/>
      <c r="H352" s="163">
        <v>10207.3192</v>
      </c>
      <c r="I352" s="164"/>
      <c r="J352" s="163">
        <v>10599.9084</v>
      </c>
      <c r="K352" s="164"/>
      <c r="L352" s="163">
        <v>10207.3192</v>
      </c>
      <c r="M352" s="164"/>
      <c r="N352" s="163">
        <v>10207.3192</v>
      </c>
      <c r="O352" s="164"/>
      <c r="P352" s="151"/>
      <c r="Q352" s="151"/>
      <c r="R352" s="151"/>
      <c r="S352" s="151"/>
      <c r="T352" s="151"/>
      <c r="U352" s="151"/>
      <c r="V352" s="151"/>
      <c r="W352" s="151"/>
      <c r="X352" s="151"/>
      <c r="Y352" s="151"/>
      <c r="Z352" s="151"/>
    </row>
    <row r="353" ht="12.75" customHeight="1">
      <c r="A353" s="151"/>
      <c r="B353" s="113" t="s">
        <v>765</v>
      </c>
      <c r="C353" s="114" t="s">
        <v>766</v>
      </c>
      <c r="D353" s="115"/>
      <c r="E353" s="151"/>
      <c r="F353" s="161"/>
      <c r="G353" s="162"/>
      <c r="H353" s="161"/>
      <c r="I353" s="162"/>
      <c r="J353" s="161"/>
      <c r="K353" s="162"/>
      <c r="L353" s="161"/>
      <c r="M353" s="162"/>
      <c r="N353" s="161"/>
      <c r="O353" s="162"/>
      <c r="P353" s="151"/>
      <c r="Q353" s="151"/>
      <c r="R353" s="151"/>
      <c r="S353" s="151"/>
      <c r="T353" s="151"/>
      <c r="U353" s="151"/>
      <c r="V353" s="151"/>
      <c r="W353" s="151"/>
      <c r="X353" s="151"/>
      <c r="Y353" s="151"/>
      <c r="Z353" s="151"/>
    </row>
    <row r="354" ht="12.75" customHeight="1">
      <c r="A354" s="151"/>
      <c r="B354" s="113" t="s">
        <v>767</v>
      </c>
      <c r="C354" s="114" t="s">
        <v>768</v>
      </c>
      <c r="D354" s="115"/>
      <c r="E354" s="151"/>
      <c r="F354" s="161"/>
      <c r="G354" s="162"/>
      <c r="H354" s="161"/>
      <c r="I354" s="162"/>
      <c r="J354" s="161"/>
      <c r="K354" s="162"/>
      <c r="L354" s="161"/>
      <c r="M354" s="162"/>
      <c r="N354" s="161"/>
      <c r="O354" s="162"/>
      <c r="P354" s="151"/>
      <c r="Q354" s="151"/>
      <c r="R354" s="151"/>
      <c r="S354" s="151"/>
      <c r="T354" s="151"/>
      <c r="U354" s="151"/>
      <c r="V354" s="151"/>
      <c r="W354" s="151"/>
      <c r="X354" s="151"/>
      <c r="Y354" s="151"/>
      <c r="Z354" s="151"/>
    </row>
    <row r="355" ht="12.75" customHeight="1">
      <c r="A355" s="151"/>
      <c r="B355" s="125" t="s">
        <v>769</v>
      </c>
      <c r="C355" s="126" t="s">
        <v>770</v>
      </c>
      <c r="D355" s="127" t="s">
        <v>180</v>
      </c>
      <c r="E355" s="151"/>
      <c r="F355" s="163">
        <v>17.419999999999998</v>
      </c>
      <c r="G355" s="164"/>
      <c r="H355" s="163">
        <v>18.116799999999998</v>
      </c>
      <c r="I355" s="164"/>
      <c r="J355" s="163">
        <v>18.8136</v>
      </c>
      <c r="K355" s="164"/>
      <c r="L355" s="163">
        <v>18.116799999999998</v>
      </c>
      <c r="M355" s="164"/>
      <c r="N355" s="163">
        <v>18.116799999999998</v>
      </c>
      <c r="O355" s="164"/>
      <c r="P355" s="151"/>
      <c r="Q355" s="151"/>
      <c r="R355" s="151"/>
      <c r="S355" s="151"/>
      <c r="T355" s="151"/>
      <c r="U355" s="151"/>
      <c r="V355" s="151"/>
      <c r="W355" s="151"/>
      <c r="X355" s="151"/>
      <c r="Y355" s="151"/>
      <c r="Z355" s="151"/>
    </row>
    <row r="356" ht="12.75" customHeight="1">
      <c r="A356" s="151"/>
      <c r="B356" s="125" t="s">
        <v>771</v>
      </c>
      <c r="C356" s="126" t="s">
        <v>772</v>
      </c>
      <c r="D356" s="127" t="s">
        <v>180</v>
      </c>
      <c r="E356" s="151"/>
      <c r="F356" s="163">
        <v>20.62</v>
      </c>
      <c r="G356" s="164"/>
      <c r="H356" s="163">
        <v>19.80471639738</v>
      </c>
      <c r="I356" s="164"/>
      <c r="J356" s="163">
        <v>22.269600000000004</v>
      </c>
      <c r="K356" s="164"/>
      <c r="L356" s="163">
        <v>19.80471639738</v>
      </c>
      <c r="M356" s="164"/>
      <c r="N356" s="163">
        <v>19.80471639738</v>
      </c>
      <c r="O356" s="164"/>
      <c r="P356" s="151"/>
      <c r="Q356" s="151"/>
      <c r="R356" s="151"/>
      <c r="S356" s="151"/>
      <c r="T356" s="151"/>
      <c r="U356" s="151"/>
      <c r="V356" s="151"/>
      <c r="W356" s="151"/>
      <c r="X356" s="151"/>
      <c r="Y356" s="151"/>
      <c r="Z356" s="151"/>
    </row>
    <row r="357" ht="12.75" customHeight="1">
      <c r="A357" s="151"/>
      <c r="B357" s="125" t="s">
        <v>773</v>
      </c>
      <c r="C357" s="126" t="s">
        <v>774</v>
      </c>
      <c r="D357" s="127" t="s">
        <v>180</v>
      </c>
      <c r="E357" s="151"/>
      <c r="F357" s="163">
        <v>25.950000000000003</v>
      </c>
      <c r="G357" s="164"/>
      <c r="H357" s="163">
        <v>26.988000000000003</v>
      </c>
      <c r="I357" s="164"/>
      <c r="J357" s="163">
        <v>28.026000000000003</v>
      </c>
      <c r="K357" s="164"/>
      <c r="L357" s="163">
        <v>26.988000000000003</v>
      </c>
      <c r="M357" s="164"/>
      <c r="N357" s="163">
        <v>26.988000000000003</v>
      </c>
      <c r="O357" s="164"/>
      <c r="P357" s="151"/>
      <c r="Q357" s="151"/>
      <c r="R357" s="151"/>
      <c r="S357" s="151"/>
      <c r="T357" s="151"/>
      <c r="U357" s="151"/>
      <c r="V357" s="151"/>
      <c r="W357" s="151"/>
      <c r="X357" s="151"/>
      <c r="Y357" s="151"/>
      <c r="Z357" s="151"/>
    </row>
    <row r="358" ht="12.75" customHeight="1">
      <c r="A358" s="151"/>
      <c r="B358" s="125" t="s">
        <v>775</v>
      </c>
      <c r="C358" s="126" t="s">
        <v>776</v>
      </c>
      <c r="D358" s="127" t="s">
        <v>180</v>
      </c>
      <c r="E358" s="151"/>
      <c r="F358" s="163">
        <v>22.86</v>
      </c>
      <c r="G358" s="164"/>
      <c r="H358" s="163">
        <v>23.7744</v>
      </c>
      <c r="I358" s="164"/>
      <c r="J358" s="163">
        <v>24.6888</v>
      </c>
      <c r="K358" s="164"/>
      <c r="L358" s="163">
        <v>23.7744</v>
      </c>
      <c r="M358" s="164"/>
      <c r="N358" s="163">
        <v>23.7744</v>
      </c>
      <c r="O358" s="164"/>
      <c r="P358" s="151"/>
      <c r="Q358" s="151"/>
      <c r="R358" s="151"/>
      <c r="S358" s="151"/>
      <c r="T358" s="151"/>
      <c r="U358" s="151"/>
      <c r="V358" s="151"/>
      <c r="W358" s="151"/>
      <c r="X358" s="151"/>
      <c r="Y358" s="151"/>
      <c r="Z358" s="151"/>
    </row>
    <row r="359" ht="12.75" customHeight="1">
      <c r="A359" s="151"/>
      <c r="B359" s="125" t="s">
        <v>777</v>
      </c>
      <c r="C359" s="126" t="s">
        <v>778</v>
      </c>
      <c r="D359" s="127" t="s">
        <v>180</v>
      </c>
      <c r="E359" s="151"/>
      <c r="F359" s="163">
        <v>25.220000000000002</v>
      </c>
      <c r="G359" s="164"/>
      <c r="H359" s="163">
        <v>26.228800000000003</v>
      </c>
      <c r="I359" s="164"/>
      <c r="J359" s="163">
        <v>27.237600000000004</v>
      </c>
      <c r="K359" s="164"/>
      <c r="L359" s="163">
        <v>26.228800000000003</v>
      </c>
      <c r="M359" s="164"/>
      <c r="N359" s="163">
        <v>26.228800000000003</v>
      </c>
      <c r="O359" s="164"/>
      <c r="P359" s="151"/>
      <c r="Q359" s="151"/>
      <c r="R359" s="151"/>
      <c r="S359" s="151"/>
      <c r="T359" s="151"/>
      <c r="U359" s="151"/>
      <c r="V359" s="151"/>
      <c r="W359" s="151"/>
      <c r="X359" s="151"/>
      <c r="Y359" s="151"/>
      <c r="Z359" s="151"/>
    </row>
    <row r="360" ht="12.75" customHeight="1">
      <c r="A360" s="151"/>
      <c r="B360" s="125" t="s">
        <v>779</v>
      </c>
      <c r="C360" s="126" t="s">
        <v>780</v>
      </c>
      <c r="D360" s="127" t="s">
        <v>180</v>
      </c>
      <c r="E360" s="151"/>
      <c r="F360" s="163">
        <v>24.64</v>
      </c>
      <c r="G360" s="164"/>
      <c r="H360" s="163">
        <v>25.625600000000002</v>
      </c>
      <c r="I360" s="164"/>
      <c r="J360" s="163">
        <v>26.611200000000004</v>
      </c>
      <c r="K360" s="164"/>
      <c r="L360" s="163">
        <v>25.625600000000002</v>
      </c>
      <c r="M360" s="164"/>
      <c r="N360" s="163">
        <v>25.625600000000002</v>
      </c>
      <c r="O360" s="164"/>
      <c r="P360" s="151"/>
      <c r="Q360" s="151"/>
      <c r="R360" s="151"/>
      <c r="S360" s="151"/>
      <c r="T360" s="151"/>
      <c r="U360" s="151"/>
      <c r="V360" s="151"/>
      <c r="W360" s="151"/>
      <c r="X360" s="151"/>
      <c r="Y360" s="151"/>
      <c r="Z360" s="151"/>
    </row>
    <row r="361" ht="12.75" customHeight="1">
      <c r="A361" s="151"/>
      <c r="B361" s="125" t="s">
        <v>781</v>
      </c>
      <c r="C361" s="126" t="s">
        <v>782</v>
      </c>
      <c r="D361" s="127" t="s">
        <v>180</v>
      </c>
      <c r="E361" s="151"/>
      <c r="F361" s="163">
        <v>39.58581639999999</v>
      </c>
      <c r="G361" s="164"/>
      <c r="H361" s="163">
        <v>41.16924905599999</v>
      </c>
      <c r="I361" s="164"/>
      <c r="J361" s="163">
        <v>42.75268171199999</v>
      </c>
      <c r="K361" s="164"/>
      <c r="L361" s="163">
        <v>41.16924905599999</v>
      </c>
      <c r="M361" s="164"/>
      <c r="N361" s="163">
        <v>41.16924905599999</v>
      </c>
      <c r="O361" s="164"/>
      <c r="P361" s="151"/>
      <c r="Q361" s="151"/>
      <c r="R361" s="151"/>
      <c r="S361" s="151"/>
      <c r="T361" s="151"/>
      <c r="U361" s="151"/>
      <c r="V361" s="151"/>
      <c r="W361" s="151"/>
      <c r="X361" s="151"/>
      <c r="Y361" s="151"/>
      <c r="Z361" s="151"/>
    </row>
    <row r="362" ht="12.75" customHeight="1">
      <c r="A362" s="151"/>
      <c r="B362" s="125" t="s">
        <v>783</v>
      </c>
      <c r="C362" s="126" t="s">
        <v>784</v>
      </c>
      <c r="D362" s="127" t="s">
        <v>180</v>
      </c>
      <c r="E362" s="151"/>
      <c r="F362" s="163">
        <v>58.236006399999994</v>
      </c>
      <c r="G362" s="164"/>
      <c r="H362" s="163">
        <v>60.56544665599999</v>
      </c>
      <c r="I362" s="164"/>
      <c r="J362" s="163">
        <v>62.894886912</v>
      </c>
      <c r="K362" s="164"/>
      <c r="L362" s="163">
        <v>60.56544665599999</v>
      </c>
      <c r="M362" s="164"/>
      <c r="N362" s="163">
        <v>60.56544665599999</v>
      </c>
      <c r="O362" s="164"/>
      <c r="P362" s="151"/>
      <c r="Q362" s="151"/>
      <c r="R362" s="151"/>
      <c r="S362" s="151"/>
      <c r="T362" s="151"/>
      <c r="U362" s="151"/>
      <c r="V362" s="151"/>
      <c r="W362" s="151"/>
      <c r="X362" s="151"/>
      <c r="Y362" s="151"/>
      <c r="Z362" s="151"/>
    </row>
    <row r="363" ht="12.75" customHeight="1">
      <c r="A363" s="151"/>
      <c r="B363" s="125" t="s">
        <v>785</v>
      </c>
      <c r="C363" s="126" t="s">
        <v>786</v>
      </c>
      <c r="D363" s="127" t="s">
        <v>180</v>
      </c>
      <c r="E363" s="151"/>
      <c r="F363" s="163">
        <v>76.51223424000001</v>
      </c>
      <c r="G363" s="164"/>
      <c r="H363" s="163">
        <v>77.27111712000001</v>
      </c>
      <c r="I363" s="164"/>
      <c r="J363" s="163">
        <v>78.03</v>
      </c>
      <c r="K363" s="164"/>
      <c r="L363" s="163">
        <v>77.27111712000001</v>
      </c>
      <c r="M363" s="164"/>
      <c r="N363" s="163">
        <v>77.27111712000001</v>
      </c>
      <c r="O363" s="164"/>
      <c r="P363" s="151"/>
      <c r="Q363" s="151"/>
      <c r="R363" s="151"/>
      <c r="S363" s="151"/>
      <c r="T363" s="151"/>
      <c r="U363" s="151"/>
      <c r="V363" s="151"/>
      <c r="W363" s="151"/>
      <c r="X363" s="151"/>
      <c r="Y363" s="151"/>
      <c r="Z363" s="151"/>
    </row>
    <row r="364" ht="12.75" customHeight="1">
      <c r="A364" s="151"/>
      <c r="B364" s="125" t="s">
        <v>787</v>
      </c>
      <c r="C364" s="126" t="s">
        <v>788</v>
      </c>
      <c r="D364" s="127" t="s">
        <v>180</v>
      </c>
      <c r="E364" s="151"/>
      <c r="F364" s="163">
        <v>3.3</v>
      </c>
      <c r="G364" s="164"/>
      <c r="H364" s="163">
        <v>3.432</v>
      </c>
      <c r="I364" s="164"/>
      <c r="J364" s="163">
        <v>3.564</v>
      </c>
      <c r="K364" s="164"/>
      <c r="L364" s="163">
        <v>3.432</v>
      </c>
      <c r="M364" s="164"/>
      <c r="N364" s="163">
        <v>3.432</v>
      </c>
      <c r="O364" s="164"/>
      <c r="P364" s="151"/>
      <c r="Q364" s="151"/>
      <c r="R364" s="151"/>
      <c r="S364" s="151"/>
      <c r="T364" s="151"/>
      <c r="U364" s="151"/>
      <c r="V364" s="151"/>
      <c r="W364" s="151"/>
      <c r="X364" s="151"/>
      <c r="Y364" s="151"/>
      <c r="Z364" s="151"/>
    </row>
    <row r="365" ht="12.75" customHeight="1">
      <c r="A365" s="151"/>
      <c r="B365" s="125" t="s">
        <v>789</v>
      </c>
      <c r="C365" s="126" t="s">
        <v>790</v>
      </c>
      <c r="D365" s="127" t="s">
        <v>180</v>
      </c>
      <c r="E365" s="151"/>
      <c r="F365" s="163">
        <v>8.984871794871795</v>
      </c>
      <c r="G365" s="164"/>
      <c r="H365" s="163">
        <v>9.344266666666666</v>
      </c>
      <c r="I365" s="164"/>
      <c r="J365" s="163">
        <v>9.703661538461539</v>
      </c>
      <c r="K365" s="164"/>
      <c r="L365" s="163">
        <v>9.344266666666666</v>
      </c>
      <c r="M365" s="164"/>
      <c r="N365" s="163">
        <v>9.344266666666666</v>
      </c>
      <c r="O365" s="164"/>
      <c r="P365" s="151"/>
      <c r="Q365" s="151"/>
      <c r="R365" s="151"/>
      <c r="S365" s="151"/>
      <c r="T365" s="151"/>
      <c r="U365" s="151"/>
      <c r="V365" s="151"/>
      <c r="W365" s="151"/>
      <c r="X365" s="151"/>
      <c r="Y365" s="151"/>
      <c r="Z365" s="151"/>
    </row>
    <row r="366" ht="12.75" customHeight="1">
      <c r="A366" s="151"/>
      <c r="B366" s="125" t="s">
        <v>791</v>
      </c>
      <c r="C366" s="126" t="s">
        <v>792</v>
      </c>
      <c r="D366" s="127" t="s">
        <v>180</v>
      </c>
      <c r="E366" s="151"/>
      <c r="F366" s="163">
        <v>10.0</v>
      </c>
      <c r="G366" s="164"/>
      <c r="H366" s="163">
        <v>10.4</v>
      </c>
      <c r="I366" s="164"/>
      <c r="J366" s="163">
        <v>10.8</v>
      </c>
      <c r="K366" s="164"/>
      <c r="L366" s="163">
        <v>10.4</v>
      </c>
      <c r="M366" s="164"/>
      <c r="N366" s="163">
        <v>10.4</v>
      </c>
      <c r="O366" s="164"/>
      <c r="P366" s="151"/>
      <c r="Q366" s="151"/>
      <c r="R366" s="151"/>
      <c r="S366" s="151"/>
      <c r="T366" s="151"/>
      <c r="U366" s="151"/>
      <c r="V366" s="151"/>
      <c r="W366" s="151"/>
      <c r="X366" s="151"/>
      <c r="Y366" s="151"/>
      <c r="Z366" s="151"/>
    </row>
    <row r="367" ht="12.75" customHeight="1">
      <c r="A367" s="151"/>
      <c r="B367" s="125" t="s">
        <v>793</v>
      </c>
      <c r="C367" s="126" t="s">
        <v>794</v>
      </c>
      <c r="D367" s="127" t="s">
        <v>180</v>
      </c>
      <c r="E367" s="151"/>
      <c r="F367" s="163">
        <v>15.417700794351278</v>
      </c>
      <c r="G367" s="164"/>
      <c r="H367" s="163">
        <v>16.03440882612533</v>
      </c>
      <c r="I367" s="164"/>
      <c r="J367" s="163">
        <v>16.651116857899382</v>
      </c>
      <c r="K367" s="164"/>
      <c r="L367" s="163">
        <v>16.03440882612533</v>
      </c>
      <c r="M367" s="164"/>
      <c r="N367" s="163">
        <v>16.03440882612533</v>
      </c>
      <c r="O367" s="164"/>
      <c r="P367" s="151"/>
      <c r="Q367" s="151"/>
      <c r="R367" s="151"/>
      <c r="S367" s="151"/>
      <c r="T367" s="151"/>
      <c r="U367" s="151"/>
      <c r="V367" s="151"/>
      <c r="W367" s="151"/>
      <c r="X367" s="151"/>
      <c r="Y367" s="151"/>
      <c r="Z367" s="151"/>
    </row>
    <row r="368" ht="12.75" customHeight="1">
      <c r="A368" s="151"/>
      <c r="B368" s="125" t="s">
        <v>795</v>
      </c>
      <c r="C368" s="126" t="s">
        <v>796</v>
      </c>
      <c r="D368" s="127" t="s">
        <v>180</v>
      </c>
      <c r="E368" s="151"/>
      <c r="F368" s="163">
        <v>12.8717836</v>
      </c>
      <c r="G368" s="164"/>
      <c r="H368" s="163">
        <v>13.386654944</v>
      </c>
      <c r="I368" s="164"/>
      <c r="J368" s="163">
        <v>13.901526288000001</v>
      </c>
      <c r="K368" s="164"/>
      <c r="L368" s="163">
        <v>13.386654944</v>
      </c>
      <c r="M368" s="164"/>
      <c r="N368" s="163">
        <v>13.386654944</v>
      </c>
      <c r="O368" s="164"/>
      <c r="P368" s="151"/>
      <c r="Q368" s="151"/>
      <c r="R368" s="151"/>
      <c r="S368" s="151"/>
      <c r="T368" s="151"/>
      <c r="U368" s="151"/>
      <c r="V368" s="151"/>
      <c r="W368" s="151"/>
      <c r="X368" s="151"/>
      <c r="Y368" s="151"/>
      <c r="Z368" s="151"/>
    </row>
    <row r="369" ht="12.75" customHeight="1">
      <c r="A369" s="151"/>
      <c r="B369" s="125" t="s">
        <v>797</v>
      </c>
      <c r="C369" s="126" t="s">
        <v>798</v>
      </c>
      <c r="D369" s="127" t="s">
        <v>180</v>
      </c>
      <c r="E369" s="151"/>
      <c r="F369" s="163">
        <v>16.32</v>
      </c>
      <c r="G369" s="164"/>
      <c r="H369" s="163">
        <v>16.9728</v>
      </c>
      <c r="I369" s="164"/>
      <c r="J369" s="163">
        <v>17.625600000000002</v>
      </c>
      <c r="K369" s="164"/>
      <c r="L369" s="163">
        <v>16.9728</v>
      </c>
      <c r="M369" s="164"/>
      <c r="N369" s="163">
        <v>16.9728</v>
      </c>
      <c r="O369" s="164"/>
      <c r="P369" s="151"/>
      <c r="Q369" s="151"/>
      <c r="R369" s="151"/>
      <c r="S369" s="151"/>
      <c r="T369" s="151"/>
      <c r="U369" s="151"/>
      <c r="V369" s="151"/>
      <c r="W369" s="151"/>
      <c r="X369" s="151"/>
      <c r="Y369" s="151"/>
      <c r="Z369" s="151"/>
    </row>
    <row r="370" ht="12.75" customHeight="1">
      <c r="A370" s="151"/>
      <c r="B370" s="125" t="s">
        <v>799</v>
      </c>
      <c r="C370" s="126" t="s">
        <v>800</v>
      </c>
      <c r="D370" s="127" t="s">
        <v>180</v>
      </c>
      <c r="E370" s="151"/>
      <c r="F370" s="163">
        <v>29.659999999999997</v>
      </c>
      <c r="G370" s="164"/>
      <c r="H370" s="163">
        <v>30.8464</v>
      </c>
      <c r="I370" s="164"/>
      <c r="J370" s="163">
        <v>32.0328</v>
      </c>
      <c r="K370" s="164"/>
      <c r="L370" s="163">
        <v>30.8464</v>
      </c>
      <c r="M370" s="164"/>
      <c r="N370" s="163">
        <v>30.8464</v>
      </c>
      <c r="O370" s="164"/>
      <c r="P370" s="151"/>
      <c r="Q370" s="151"/>
      <c r="R370" s="151"/>
      <c r="S370" s="151"/>
      <c r="T370" s="151"/>
      <c r="U370" s="151"/>
      <c r="V370" s="151"/>
      <c r="W370" s="151"/>
      <c r="X370" s="151"/>
      <c r="Y370" s="151"/>
      <c r="Z370" s="151"/>
    </row>
    <row r="371" ht="12.75" customHeight="1">
      <c r="A371" s="151"/>
      <c r="B371" s="125" t="s">
        <v>801</v>
      </c>
      <c r="C371" s="126" t="s">
        <v>802</v>
      </c>
      <c r="D371" s="127" t="s">
        <v>180</v>
      </c>
      <c r="E371" s="151"/>
      <c r="F371" s="163">
        <v>32.790842239999996</v>
      </c>
      <c r="G371" s="164"/>
      <c r="H371" s="163">
        <v>34.1024759296</v>
      </c>
      <c r="I371" s="164"/>
      <c r="J371" s="163">
        <v>35.4141096192</v>
      </c>
      <c r="K371" s="164"/>
      <c r="L371" s="163">
        <v>34.1024759296</v>
      </c>
      <c r="M371" s="164"/>
      <c r="N371" s="163">
        <v>34.1024759296</v>
      </c>
      <c r="O371" s="164"/>
      <c r="P371" s="151"/>
      <c r="Q371" s="151"/>
      <c r="R371" s="151"/>
      <c r="S371" s="151"/>
      <c r="T371" s="151"/>
      <c r="U371" s="151"/>
      <c r="V371" s="151"/>
      <c r="W371" s="151"/>
      <c r="X371" s="151"/>
      <c r="Y371" s="151"/>
      <c r="Z371" s="151"/>
    </row>
    <row r="372" ht="12.75" customHeight="1">
      <c r="A372" s="151"/>
      <c r="B372" s="125" t="s">
        <v>803</v>
      </c>
      <c r="C372" s="126" t="s">
        <v>804</v>
      </c>
      <c r="D372" s="127" t="s">
        <v>180</v>
      </c>
      <c r="E372" s="151"/>
      <c r="F372" s="163">
        <v>46.1</v>
      </c>
      <c r="G372" s="164"/>
      <c r="H372" s="163">
        <v>47.944</v>
      </c>
      <c r="I372" s="164"/>
      <c r="J372" s="163">
        <v>49.788000000000004</v>
      </c>
      <c r="K372" s="164"/>
      <c r="L372" s="163">
        <v>47.944</v>
      </c>
      <c r="M372" s="164"/>
      <c r="N372" s="163">
        <v>47.944</v>
      </c>
      <c r="O372" s="164"/>
      <c r="P372" s="151"/>
      <c r="Q372" s="151"/>
      <c r="R372" s="151"/>
      <c r="S372" s="151"/>
      <c r="T372" s="151"/>
      <c r="U372" s="151"/>
      <c r="V372" s="151"/>
      <c r="W372" s="151"/>
      <c r="X372" s="151"/>
      <c r="Y372" s="151"/>
      <c r="Z372" s="151"/>
    </row>
    <row r="373" ht="12.75" customHeight="1">
      <c r="A373" s="151"/>
      <c r="B373" s="125" t="s">
        <v>805</v>
      </c>
      <c r="C373" s="126" t="s">
        <v>806</v>
      </c>
      <c r="D373" s="127" t="s">
        <v>180</v>
      </c>
      <c r="E373" s="151"/>
      <c r="F373" s="163">
        <v>9.350000000000001</v>
      </c>
      <c r="G373" s="164"/>
      <c r="H373" s="163">
        <v>9.817500000000003</v>
      </c>
      <c r="I373" s="164"/>
      <c r="J373" s="163">
        <v>10.285000000000002</v>
      </c>
      <c r="K373" s="164"/>
      <c r="L373" s="163">
        <v>9.817500000000003</v>
      </c>
      <c r="M373" s="164"/>
      <c r="N373" s="163">
        <v>9.817500000000003</v>
      </c>
      <c r="O373" s="164"/>
      <c r="P373" s="151"/>
      <c r="Q373" s="151"/>
      <c r="R373" s="151"/>
      <c r="S373" s="151"/>
      <c r="T373" s="151"/>
      <c r="U373" s="151"/>
      <c r="V373" s="151"/>
      <c r="W373" s="151"/>
      <c r="X373" s="151"/>
      <c r="Y373" s="151"/>
      <c r="Z373" s="151"/>
    </row>
    <row r="374" ht="12.75" customHeight="1">
      <c r="A374" s="151"/>
      <c r="B374" s="125" t="s">
        <v>807</v>
      </c>
      <c r="C374" s="126" t="s">
        <v>808</v>
      </c>
      <c r="D374" s="127" t="s">
        <v>180</v>
      </c>
      <c r="E374" s="151"/>
      <c r="F374" s="163">
        <v>9.95</v>
      </c>
      <c r="G374" s="164"/>
      <c r="H374" s="163">
        <v>10.4475</v>
      </c>
      <c r="I374" s="164"/>
      <c r="J374" s="163">
        <v>10.945</v>
      </c>
      <c r="K374" s="164"/>
      <c r="L374" s="163">
        <v>10.4475</v>
      </c>
      <c r="M374" s="164"/>
      <c r="N374" s="163">
        <v>10.4475</v>
      </c>
      <c r="O374" s="164"/>
      <c r="P374" s="151"/>
      <c r="Q374" s="151"/>
      <c r="R374" s="151"/>
      <c r="S374" s="151"/>
      <c r="T374" s="151"/>
      <c r="U374" s="151"/>
      <c r="V374" s="151"/>
      <c r="W374" s="151"/>
      <c r="X374" s="151"/>
      <c r="Y374" s="151"/>
      <c r="Z374" s="151"/>
    </row>
    <row r="375" ht="12.75" customHeight="1">
      <c r="A375" s="151"/>
      <c r="B375" s="113" t="s">
        <v>809</v>
      </c>
      <c r="C375" s="114" t="s">
        <v>810</v>
      </c>
      <c r="D375" s="115"/>
      <c r="E375" s="151"/>
      <c r="F375" s="161"/>
      <c r="G375" s="162"/>
      <c r="H375" s="161"/>
      <c r="I375" s="162"/>
      <c r="J375" s="161"/>
      <c r="K375" s="162"/>
      <c r="L375" s="161"/>
      <c r="M375" s="162"/>
      <c r="N375" s="161"/>
      <c r="O375" s="162"/>
      <c r="P375" s="151"/>
      <c r="Q375" s="151"/>
      <c r="R375" s="151"/>
      <c r="S375" s="151"/>
      <c r="T375" s="151"/>
      <c r="U375" s="151"/>
      <c r="V375" s="151"/>
      <c r="W375" s="151"/>
      <c r="X375" s="151"/>
      <c r="Y375" s="151"/>
      <c r="Z375" s="151"/>
    </row>
    <row r="376" ht="12.75" customHeight="1">
      <c r="A376" s="151"/>
      <c r="B376" s="125" t="s">
        <v>811</v>
      </c>
      <c r="C376" s="126" t="s">
        <v>812</v>
      </c>
      <c r="D376" s="127" t="s">
        <v>142</v>
      </c>
      <c r="E376" s="151"/>
      <c r="F376" s="163">
        <v>2.7973205741626788</v>
      </c>
      <c r="G376" s="164"/>
      <c r="H376" s="163">
        <v>2.9371866028708125</v>
      </c>
      <c r="I376" s="164"/>
      <c r="J376" s="163">
        <v>3.0770526315789466</v>
      </c>
      <c r="K376" s="164"/>
      <c r="L376" s="163">
        <v>2.9371866028708125</v>
      </c>
      <c r="M376" s="164"/>
      <c r="N376" s="163">
        <v>2.9371866028708125</v>
      </c>
      <c r="O376" s="164"/>
      <c r="P376" s="151"/>
      <c r="Q376" s="151"/>
      <c r="R376" s="151"/>
      <c r="S376" s="151"/>
      <c r="T376" s="151"/>
      <c r="U376" s="151"/>
      <c r="V376" s="151"/>
      <c r="W376" s="151"/>
      <c r="X376" s="151"/>
      <c r="Y376" s="151"/>
      <c r="Z376" s="151"/>
    </row>
    <row r="377" ht="12.75" customHeight="1">
      <c r="A377" s="151"/>
      <c r="B377" s="125" t="s">
        <v>813</v>
      </c>
      <c r="C377" s="126" t="s">
        <v>814</v>
      </c>
      <c r="D377" s="127" t="s">
        <v>142</v>
      </c>
      <c r="E377" s="151"/>
      <c r="F377" s="163">
        <v>5.244976076555022</v>
      </c>
      <c r="G377" s="164"/>
      <c r="H377" s="163">
        <v>5.507224880382773</v>
      </c>
      <c r="I377" s="164"/>
      <c r="J377" s="163">
        <v>5.769473684210525</v>
      </c>
      <c r="K377" s="164"/>
      <c r="L377" s="163">
        <v>5.507224880382773</v>
      </c>
      <c r="M377" s="164"/>
      <c r="N377" s="163">
        <v>5.507224880382773</v>
      </c>
      <c r="O377" s="164"/>
      <c r="P377" s="151"/>
      <c r="Q377" s="151"/>
      <c r="R377" s="151"/>
      <c r="S377" s="151"/>
      <c r="T377" s="151"/>
      <c r="U377" s="151"/>
      <c r="V377" s="151"/>
      <c r="W377" s="151"/>
      <c r="X377" s="151"/>
      <c r="Y377" s="151"/>
      <c r="Z377" s="151"/>
    </row>
    <row r="378" ht="12.75" customHeight="1">
      <c r="A378" s="151"/>
      <c r="B378" s="125" t="s">
        <v>815</v>
      </c>
      <c r="C378" s="126" t="s">
        <v>816</v>
      </c>
      <c r="D378" s="127" t="s">
        <v>142</v>
      </c>
      <c r="E378" s="151"/>
      <c r="F378" s="163">
        <v>7.597056459330141</v>
      </c>
      <c r="G378" s="164"/>
      <c r="H378" s="163">
        <v>7.976909282296648</v>
      </c>
      <c r="I378" s="164"/>
      <c r="J378" s="163">
        <v>8.356762105263156</v>
      </c>
      <c r="K378" s="164"/>
      <c r="L378" s="163">
        <v>7.976909282296648</v>
      </c>
      <c r="M378" s="164"/>
      <c r="N378" s="163">
        <v>7.976909282296648</v>
      </c>
      <c r="O378" s="164"/>
      <c r="P378" s="151"/>
      <c r="Q378" s="151"/>
      <c r="R378" s="151"/>
      <c r="S378" s="151"/>
      <c r="T378" s="151"/>
      <c r="U378" s="151"/>
      <c r="V378" s="151"/>
      <c r="W378" s="151"/>
      <c r="X378" s="151"/>
      <c r="Y378" s="151"/>
      <c r="Z378" s="151"/>
    </row>
    <row r="379" ht="12.75" customHeight="1">
      <c r="A379" s="151"/>
      <c r="B379" s="125" t="s">
        <v>817</v>
      </c>
      <c r="C379" s="126" t="s">
        <v>818</v>
      </c>
      <c r="D379" s="127" t="s">
        <v>142</v>
      </c>
      <c r="E379" s="151"/>
      <c r="F379" s="163">
        <v>10.641406709438883</v>
      </c>
      <c r="G379" s="164"/>
      <c r="H379" s="163">
        <v>10.275703354719441</v>
      </c>
      <c r="I379" s="164"/>
      <c r="J379" s="163">
        <v>9.91</v>
      </c>
      <c r="K379" s="164"/>
      <c r="L379" s="163">
        <v>10.275703354719441</v>
      </c>
      <c r="M379" s="164"/>
      <c r="N379" s="163">
        <v>10.275703354719441</v>
      </c>
      <c r="O379" s="164"/>
      <c r="P379" s="151"/>
      <c r="Q379" s="151"/>
      <c r="R379" s="151"/>
      <c r="S379" s="151"/>
      <c r="T379" s="151"/>
      <c r="U379" s="151"/>
      <c r="V379" s="151"/>
      <c r="W379" s="151"/>
      <c r="X379" s="151"/>
      <c r="Y379" s="151"/>
      <c r="Z379" s="151"/>
    </row>
    <row r="380" ht="12.75" customHeight="1">
      <c r="A380" s="151"/>
      <c r="B380" s="125" t="s">
        <v>819</v>
      </c>
      <c r="C380" s="126" t="s">
        <v>820</v>
      </c>
      <c r="D380" s="127" t="s">
        <v>142</v>
      </c>
      <c r="E380" s="151"/>
      <c r="F380" s="163">
        <v>19.541039005696003</v>
      </c>
      <c r="G380" s="164"/>
      <c r="H380" s="163">
        <v>20.322680565923847</v>
      </c>
      <c r="I380" s="164"/>
      <c r="J380" s="163">
        <v>21.104322126151686</v>
      </c>
      <c r="K380" s="164"/>
      <c r="L380" s="163">
        <v>20.322680565923847</v>
      </c>
      <c r="M380" s="164"/>
      <c r="N380" s="163">
        <v>20.322680565923847</v>
      </c>
      <c r="O380" s="164"/>
      <c r="P380" s="151"/>
      <c r="Q380" s="151"/>
      <c r="R380" s="151"/>
      <c r="S380" s="151"/>
      <c r="T380" s="151"/>
      <c r="U380" s="151"/>
      <c r="V380" s="151"/>
      <c r="W380" s="151"/>
      <c r="X380" s="151"/>
      <c r="Y380" s="151"/>
      <c r="Z380" s="151"/>
    </row>
    <row r="381" ht="12.75" customHeight="1">
      <c r="A381" s="151"/>
      <c r="B381" s="125" t="s">
        <v>821</v>
      </c>
      <c r="C381" s="126" t="s">
        <v>822</v>
      </c>
      <c r="D381" s="127" t="s">
        <v>142</v>
      </c>
      <c r="E381" s="151"/>
      <c r="F381" s="163">
        <v>32.2810956</v>
      </c>
      <c r="G381" s="164"/>
      <c r="H381" s="163">
        <v>33.572339424000006</v>
      </c>
      <c r="I381" s="164"/>
      <c r="J381" s="163">
        <v>34.863583248000005</v>
      </c>
      <c r="K381" s="164"/>
      <c r="L381" s="163">
        <v>33.572339424000006</v>
      </c>
      <c r="M381" s="164"/>
      <c r="N381" s="163">
        <v>33.572339424000006</v>
      </c>
      <c r="O381" s="164"/>
      <c r="P381" s="151"/>
      <c r="Q381" s="151"/>
      <c r="R381" s="151"/>
      <c r="S381" s="151"/>
      <c r="T381" s="151"/>
      <c r="U381" s="151"/>
      <c r="V381" s="151"/>
      <c r="W381" s="151"/>
      <c r="X381" s="151"/>
      <c r="Y381" s="151"/>
      <c r="Z381" s="151"/>
    </row>
    <row r="382" ht="12.75" customHeight="1">
      <c r="A382" s="151"/>
      <c r="B382" s="125" t="s">
        <v>823</v>
      </c>
      <c r="C382" s="126" t="s">
        <v>824</v>
      </c>
      <c r="D382" s="127" t="s">
        <v>142</v>
      </c>
      <c r="E382" s="151"/>
      <c r="F382" s="163">
        <v>59.0788352</v>
      </c>
      <c r="G382" s="164"/>
      <c r="H382" s="163">
        <v>49.304500000000004</v>
      </c>
      <c r="I382" s="164"/>
      <c r="J382" s="163">
        <v>59.16</v>
      </c>
      <c r="K382" s="164"/>
      <c r="L382" s="163">
        <v>49.304500000000004</v>
      </c>
      <c r="M382" s="164"/>
      <c r="N382" s="163">
        <v>49.304500000000004</v>
      </c>
      <c r="O382" s="164"/>
      <c r="P382" s="151"/>
      <c r="Q382" s="151"/>
      <c r="R382" s="151"/>
      <c r="S382" s="151"/>
      <c r="T382" s="151"/>
      <c r="U382" s="151"/>
      <c r="V382" s="151"/>
      <c r="W382" s="151"/>
      <c r="X382" s="151"/>
      <c r="Y382" s="151"/>
      <c r="Z382" s="151"/>
    </row>
    <row r="383" ht="12.75" customHeight="1">
      <c r="A383" s="151"/>
      <c r="B383" s="125" t="s">
        <v>825</v>
      </c>
      <c r="C383" s="126" t="s">
        <v>826</v>
      </c>
      <c r="D383" s="127" t="s">
        <v>142</v>
      </c>
      <c r="E383" s="151"/>
      <c r="F383" s="163">
        <v>102.072</v>
      </c>
      <c r="G383" s="164"/>
      <c r="H383" s="163">
        <v>102.072</v>
      </c>
      <c r="I383" s="164"/>
      <c r="J383" s="163">
        <v>102.072</v>
      </c>
      <c r="K383" s="164"/>
      <c r="L383" s="163">
        <v>102.072</v>
      </c>
      <c r="M383" s="164"/>
      <c r="N383" s="163">
        <v>102.072</v>
      </c>
      <c r="O383" s="164"/>
      <c r="P383" s="151"/>
      <c r="Q383" s="151"/>
      <c r="R383" s="151"/>
      <c r="S383" s="151"/>
      <c r="T383" s="151"/>
      <c r="U383" s="151"/>
      <c r="V383" s="151"/>
      <c r="W383" s="151"/>
      <c r="X383" s="151"/>
      <c r="Y383" s="151"/>
      <c r="Z383" s="151"/>
    </row>
    <row r="384" ht="12.75" customHeight="1">
      <c r="A384" s="151"/>
      <c r="B384" s="125" t="s">
        <v>827</v>
      </c>
      <c r="C384" s="126" t="s">
        <v>828</v>
      </c>
      <c r="D384" s="127" t="s">
        <v>142</v>
      </c>
      <c r="E384" s="151"/>
      <c r="F384" s="163">
        <v>238.61163700000006</v>
      </c>
      <c r="G384" s="164"/>
      <c r="H384" s="163">
        <v>238.61163700000006</v>
      </c>
      <c r="I384" s="164"/>
      <c r="J384" s="163">
        <v>238.61163700000006</v>
      </c>
      <c r="K384" s="164"/>
      <c r="L384" s="163">
        <v>238.61163700000006</v>
      </c>
      <c r="M384" s="164"/>
      <c r="N384" s="163">
        <v>238.61163700000006</v>
      </c>
      <c r="O384" s="164"/>
      <c r="P384" s="151"/>
      <c r="Q384" s="151"/>
      <c r="R384" s="151"/>
      <c r="S384" s="151"/>
      <c r="T384" s="151"/>
      <c r="U384" s="151"/>
      <c r="V384" s="151"/>
      <c r="W384" s="151"/>
      <c r="X384" s="151"/>
      <c r="Y384" s="151"/>
      <c r="Z384" s="151"/>
    </row>
    <row r="385" ht="12.75" customHeight="1">
      <c r="A385" s="151"/>
      <c r="B385" s="125" t="s">
        <v>829</v>
      </c>
      <c r="C385" s="126" t="s">
        <v>830</v>
      </c>
      <c r="D385" s="127" t="s">
        <v>142</v>
      </c>
      <c r="E385" s="151"/>
      <c r="F385" s="163">
        <v>284.57</v>
      </c>
      <c r="G385" s="164"/>
      <c r="H385" s="163">
        <v>284.57</v>
      </c>
      <c r="I385" s="164"/>
      <c r="J385" s="163">
        <v>284.57</v>
      </c>
      <c r="K385" s="164"/>
      <c r="L385" s="163">
        <v>284.57</v>
      </c>
      <c r="M385" s="164"/>
      <c r="N385" s="163">
        <v>284.57</v>
      </c>
      <c r="O385" s="164"/>
      <c r="P385" s="151"/>
      <c r="Q385" s="151"/>
      <c r="R385" s="151"/>
      <c r="S385" s="151"/>
      <c r="T385" s="151"/>
      <c r="U385" s="151"/>
      <c r="V385" s="151"/>
      <c r="W385" s="151"/>
      <c r="X385" s="151"/>
      <c r="Y385" s="151"/>
      <c r="Z385" s="151"/>
    </row>
    <row r="386" ht="12.75" customHeight="1">
      <c r="A386" s="151"/>
      <c r="B386" s="125" t="s">
        <v>831</v>
      </c>
      <c r="C386" s="126" t="s">
        <v>832</v>
      </c>
      <c r="D386" s="127" t="s">
        <v>142</v>
      </c>
      <c r="E386" s="151"/>
      <c r="F386" s="163">
        <v>4.9638004</v>
      </c>
      <c r="G386" s="164"/>
      <c r="H386" s="163">
        <v>4.557</v>
      </c>
      <c r="I386" s="164"/>
      <c r="J386" s="163">
        <v>5.360904432000001</v>
      </c>
      <c r="K386" s="164"/>
      <c r="L386" s="163">
        <v>4.557</v>
      </c>
      <c r="M386" s="164"/>
      <c r="N386" s="163">
        <v>4.557</v>
      </c>
      <c r="O386" s="164"/>
      <c r="P386" s="151"/>
      <c r="Q386" s="151"/>
      <c r="R386" s="151"/>
      <c r="S386" s="151"/>
      <c r="T386" s="151"/>
      <c r="U386" s="151"/>
      <c r="V386" s="151"/>
      <c r="W386" s="151"/>
      <c r="X386" s="151"/>
      <c r="Y386" s="151"/>
      <c r="Z386" s="151"/>
    </row>
    <row r="387" ht="12.75" customHeight="1">
      <c r="A387" s="151"/>
      <c r="B387" s="113" t="s">
        <v>833</v>
      </c>
      <c r="C387" s="114" t="s">
        <v>834</v>
      </c>
      <c r="D387" s="115"/>
      <c r="E387" s="151"/>
      <c r="F387" s="161"/>
      <c r="G387" s="162"/>
      <c r="H387" s="161"/>
      <c r="I387" s="162"/>
      <c r="J387" s="161"/>
      <c r="K387" s="162"/>
      <c r="L387" s="161"/>
      <c r="M387" s="162"/>
      <c r="N387" s="161"/>
      <c r="O387" s="162"/>
      <c r="P387" s="151"/>
      <c r="Q387" s="151"/>
      <c r="R387" s="151"/>
      <c r="S387" s="151"/>
      <c r="T387" s="151"/>
      <c r="U387" s="151"/>
      <c r="V387" s="151"/>
      <c r="W387" s="151"/>
      <c r="X387" s="151"/>
      <c r="Y387" s="151"/>
      <c r="Z387" s="151"/>
    </row>
    <row r="388" ht="12.75" customHeight="1">
      <c r="A388" s="151"/>
      <c r="B388" s="125" t="s">
        <v>835</v>
      </c>
      <c r="C388" s="126" t="s">
        <v>836</v>
      </c>
      <c r="D388" s="127" t="s">
        <v>142</v>
      </c>
      <c r="E388" s="151"/>
      <c r="F388" s="163">
        <v>19.3</v>
      </c>
      <c r="G388" s="164"/>
      <c r="H388" s="163">
        <v>19.3</v>
      </c>
      <c r="I388" s="164"/>
      <c r="J388" s="163">
        <v>19.3</v>
      </c>
      <c r="K388" s="164"/>
      <c r="L388" s="163">
        <v>19.3</v>
      </c>
      <c r="M388" s="164"/>
      <c r="N388" s="163">
        <v>19.3</v>
      </c>
      <c r="O388" s="164"/>
      <c r="P388" s="151"/>
      <c r="Q388" s="151"/>
      <c r="R388" s="151"/>
      <c r="S388" s="151"/>
      <c r="T388" s="151"/>
      <c r="U388" s="151"/>
      <c r="V388" s="151"/>
      <c r="W388" s="151"/>
      <c r="X388" s="151"/>
      <c r="Y388" s="151"/>
      <c r="Z388" s="151"/>
    </row>
    <row r="389" ht="12.75" customHeight="1">
      <c r="A389" s="151"/>
      <c r="B389" s="125" t="s">
        <v>837</v>
      </c>
      <c r="C389" s="126" t="s">
        <v>838</v>
      </c>
      <c r="D389" s="127" t="s">
        <v>142</v>
      </c>
      <c r="E389" s="151"/>
      <c r="F389" s="163">
        <v>26.419999999999998</v>
      </c>
      <c r="G389" s="164"/>
      <c r="H389" s="163">
        <v>26.419999999999998</v>
      </c>
      <c r="I389" s="164"/>
      <c r="J389" s="163">
        <v>26.42</v>
      </c>
      <c r="K389" s="164"/>
      <c r="L389" s="163">
        <v>26.419999999999998</v>
      </c>
      <c r="M389" s="164"/>
      <c r="N389" s="163">
        <v>26.419999999999998</v>
      </c>
      <c r="O389" s="164"/>
      <c r="P389" s="151"/>
      <c r="Q389" s="151"/>
      <c r="R389" s="151"/>
      <c r="S389" s="151"/>
      <c r="T389" s="151"/>
      <c r="U389" s="151"/>
      <c r="V389" s="151"/>
      <c r="W389" s="151"/>
      <c r="X389" s="151"/>
      <c r="Y389" s="151"/>
      <c r="Z389" s="151"/>
    </row>
    <row r="390" ht="12.75" customHeight="1">
      <c r="A390" s="151"/>
      <c r="B390" s="125" t="s">
        <v>839</v>
      </c>
      <c r="C390" s="126" t="s">
        <v>840</v>
      </c>
      <c r="D390" s="127" t="s">
        <v>142</v>
      </c>
      <c r="E390" s="151"/>
      <c r="F390" s="163">
        <v>32.59473151999999</v>
      </c>
      <c r="G390" s="164"/>
      <c r="H390" s="163">
        <v>32.59473151999999</v>
      </c>
      <c r="I390" s="164"/>
      <c r="J390" s="163">
        <v>32.59473151999999</v>
      </c>
      <c r="K390" s="164"/>
      <c r="L390" s="163">
        <v>32.59473151999999</v>
      </c>
      <c r="M390" s="164"/>
      <c r="N390" s="163">
        <v>32.59473151999999</v>
      </c>
      <c r="O390" s="164"/>
      <c r="P390" s="151"/>
      <c r="Q390" s="151"/>
      <c r="R390" s="151"/>
      <c r="S390" s="151"/>
      <c r="T390" s="151"/>
      <c r="U390" s="151"/>
      <c r="V390" s="151"/>
      <c r="W390" s="151"/>
      <c r="X390" s="151"/>
      <c r="Y390" s="151"/>
      <c r="Z390" s="151"/>
    </row>
    <row r="391" ht="12.75" customHeight="1">
      <c r="A391" s="151"/>
      <c r="B391" s="125" t="s">
        <v>841</v>
      </c>
      <c r="C391" s="126" t="s">
        <v>842</v>
      </c>
      <c r="D391" s="127" t="s">
        <v>142</v>
      </c>
      <c r="E391" s="151"/>
      <c r="F391" s="163">
        <v>36.074688</v>
      </c>
      <c r="G391" s="164"/>
      <c r="H391" s="163">
        <v>36.074688</v>
      </c>
      <c r="I391" s="164"/>
      <c r="J391" s="163">
        <v>36.074688</v>
      </c>
      <c r="K391" s="164"/>
      <c r="L391" s="163">
        <v>36.074688</v>
      </c>
      <c r="M391" s="164"/>
      <c r="N391" s="163">
        <v>36.074688</v>
      </c>
      <c r="O391" s="164"/>
      <c r="P391" s="151"/>
      <c r="Q391" s="151"/>
      <c r="R391" s="151"/>
      <c r="S391" s="151"/>
      <c r="T391" s="151"/>
      <c r="U391" s="151"/>
      <c r="V391" s="151"/>
      <c r="W391" s="151"/>
      <c r="X391" s="151"/>
      <c r="Y391" s="151"/>
      <c r="Z391" s="151"/>
    </row>
    <row r="392" ht="12.75" customHeight="1">
      <c r="A392" s="151"/>
      <c r="B392" s="125" t="s">
        <v>843</v>
      </c>
      <c r="C392" s="126" t="s">
        <v>844</v>
      </c>
      <c r="D392" s="127" t="s">
        <v>142</v>
      </c>
      <c r="E392" s="151"/>
      <c r="F392" s="163">
        <v>46.409844</v>
      </c>
      <c r="G392" s="164"/>
      <c r="H392" s="163">
        <v>46.409844</v>
      </c>
      <c r="I392" s="164"/>
      <c r="J392" s="163">
        <v>46.409844</v>
      </c>
      <c r="K392" s="164"/>
      <c r="L392" s="163">
        <v>46.409844</v>
      </c>
      <c r="M392" s="164"/>
      <c r="N392" s="163">
        <v>46.409844</v>
      </c>
      <c r="O392" s="164"/>
      <c r="P392" s="151"/>
      <c r="Q392" s="151"/>
      <c r="R392" s="151"/>
      <c r="S392" s="151"/>
      <c r="T392" s="151"/>
      <c r="U392" s="151"/>
      <c r="V392" s="151"/>
      <c r="W392" s="151"/>
      <c r="X392" s="151"/>
      <c r="Y392" s="151"/>
      <c r="Z392" s="151"/>
    </row>
    <row r="393" ht="12.75" customHeight="1">
      <c r="A393" s="151"/>
      <c r="B393" s="125" t="s">
        <v>845</v>
      </c>
      <c r="C393" s="126" t="s">
        <v>846</v>
      </c>
      <c r="D393" s="127" t="s">
        <v>142</v>
      </c>
      <c r="E393" s="151"/>
      <c r="F393" s="163">
        <v>65.28</v>
      </c>
      <c r="G393" s="164"/>
      <c r="H393" s="163">
        <v>65.28</v>
      </c>
      <c r="I393" s="164"/>
      <c r="J393" s="163">
        <v>65.28</v>
      </c>
      <c r="K393" s="164"/>
      <c r="L393" s="163">
        <v>65.28</v>
      </c>
      <c r="M393" s="164"/>
      <c r="N393" s="163">
        <v>65.28</v>
      </c>
      <c r="O393" s="164"/>
      <c r="P393" s="151"/>
      <c r="Q393" s="151"/>
      <c r="R393" s="151"/>
      <c r="S393" s="151"/>
      <c r="T393" s="151"/>
      <c r="U393" s="151"/>
      <c r="V393" s="151"/>
      <c r="W393" s="151"/>
      <c r="X393" s="151"/>
      <c r="Y393" s="151"/>
      <c r="Z393" s="151"/>
    </row>
    <row r="394" ht="12.75" customHeight="1">
      <c r="A394" s="151"/>
      <c r="B394" s="125" t="s">
        <v>847</v>
      </c>
      <c r="C394" s="126" t="s">
        <v>848</v>
      </c>
      <c r="D394" s="127" t="s">
        <v>142</v>
      </c>
      <c r="E394" s="151"/>
      <c r="F394" s="163">
        <v>91.6071104</v>
      </c>
      <c r="G394" s="164"/>
      <c r="H394" s="163">
        <v>91.6071104</v>
      </c>
      <c r="I394" s="164"/>
      <c r="J394" s="163">
        <v>91.6071104</v>
      </c>
      <c r="K394" s="164"/>
      <c r="L394" s="163">
        <v>91.6071104</v>
      </c>
      <c r="M394" s="164"/>
      <c r="N394" s="163">
        <v>91.6071104</v>
      </c>
      <c r="O394" s="164"/>
      <c r="P394" s="151"/>
      <c r="Q394" s="151"/>
      <c r="R394" s="151"/>
      <c r="S394" s="151"/>
      <c r="T394" s="151"/>
      <c r="U394" s="151"/>
      <c r="V394" s="151"/>
      <c r="W394" s="151"/>
      <c r="X394" s="151"/>
      <c r="Y394" s="151"/>
      <c r="Z394" s="151"/>
    </row>
    <row r="395" ht="12.75" customHeight="1">
      <c r="A395" s="151"/>
      <c r="B395" s="125" t="s">
        <v>849</v>
      </c>
      <c r="C395" s="126" t="s">
        <v>850</v>
      </c>
      <c r="D395" s="127" t="s">
        <v>142</v>
      </c>
      <c r="E395" s="151"/>
      <c r="F395" s="163">
        <v>265.0</v>
      </c>
      <c r="G395" s="164"/>
      <c r="H395" s="163">
        <v>250.0</v>
      </c>
      <c r="I395" s="164"/>
      <c r="J395" s="163">
        <v>235.0</v>
      </c>
      <c r="K395" s="164"/>
      <c r="L395" s="163">
        <v>250.0</v>
      </c>
      <c r="M395" s="164"/>
      <c r="N395" s="163">
        <v>250.0</v>
      </c>
      <c r="O395" s="164"/>
      <c r="P395" s="151"/>
      <c r="Q395" s="151"/>
      <c r="R395" s="151"/>
      <c r="S395" s="151"/>
      <c r="T395" s="151"/>
      <c r="U395" s="151"/>
      <c r="V395" s="151"/>
      <c r="W395" s="151"/>
      <c r="X395" s="151"/>
      <c r="Y395" s="151"/>
      <c r="Z395" s="151"/>
    </row>
    <row r="396" ht="12.75" customHeight="1">
      <c r="A396" s="151"/>
      <c r="B396" s="113" t="s">
        <v>851</v>
      </c>
      <c r="C396" s="114" t="s">
        <v>852</v>
      </c>
      <c r="D396" s="115"/>
      <c r="E396" s="151"/>
      <c r="F396" s="161"/>
      <c r="G396" s="162"/>
      <c r="H396" s="161"/>
      <c r="I396" s="162"/>
      <c r="J396" s="161"/>
      <c r="K396" s="162"/>
      <c r="L396" s="161"/>
      <c r="M396" s="162"/>
      <c r="N396" s="161"/>
      <c r="O396" s="162"/>
      <c r="P396" s="151"/>
      <c r="Q396" s="151"/>
      <c r="R396" s="151"/>
      <c r="S396" s="151"/>
      <c r="T396" s="151"/>
      <c r="U396" s="151"/>
      <c r="V396" s="151"/>
      <c r="W396" s="151"/>
      <c r="X396" s="151"/>
      <c r="Y396" s="151"/>
      <c r="Z396" s="151"/>
    </row>
    <row r="397" ht="12.75" customHeight="1">
      <c r="A397" s="151"/>
      <c r="B397" s="125" t="s">
        <v>853</v>
      </c>
      <c r="C397" s="126" t="s">
        <v>854</v>
      </c>
      <c r="D397" s="127" t="s">
        <v>180</v>
      </c>
      <c r="E397" s="151"/>
      <c r="F397" s="163">
        <v>48.22613333333334</v>
      </c>
      <c r="G397" s="164"/>
      <c r="H397" s="163">
        <v>48.22613333333334</v>
      </c>
      <c r="I397" s="164"/>
      <c r="J397" s="163">
        <v>48.22613333333334</v>
      </c>
      <c r="K397" s="164"/>
      <c r="L397" s="163">
        <v>48.22613333333334</v>
      </c>
      <c r="M397" s="164"/>
      <c r="N397" s="163">
        <v>48.22613333333334</v>
      </c>
      <c r="O397" s="164"/>
      <c r="P397" s="151"/>
      <c r="Q397" s="151"/>
      <c r="R397" s="151"/>
      <c r="S397" s="151"/>
      <c r="T397" s="151"/>
      <c r="U397" s="151"/>
      <c r="V397" s="151"/>
      <c r="W397" s="151"/>
      <c r="X397" s="151"/>
      <c r="Y397" s="151"/>
      <c r="Z397" s="151"/>
    </row>
    <row r="398" ht="12.75" customHeight="1">
      <c r="A398" s="151"/>
      <c r="B398" s="125" t="s">
        <v>855</v>
      </c>
      <c r="C398" s="126" t="s">
        <v>856</v>
      </c>
      <c r="D398" s="127" t="s">
        <v>180</v>
      </c>
      <c r="E398" s="151"/>
      <c r="F398" s="163">
        <v>35.0</v>
      </c>
      <c r="G398" s="164"/>
      <c r="H398" s="163">
        <v>35.0</v>
      </c>
      <c r="I398" s="164"/>
      <c r="J398" s="163">
        <v>35.0</v>
      </c>
      <c r="K398" s="164"/>
      <c r="L398" s="163">
        <v>35.0</v>
      </c>
      <c r="M398" s="164"/>
      <c r="N398" s="163">
        <v>35.0</v>
      </c>
      <c r="O398" s="164"/>
      <c r="P398" s="151"/>
      <c r="Q398" s="151"/>
      <c r="R398" s="151"/>
      <c r="S398" s="151"/>
      <c r="T398" s="151"/>
      <c r="U398" s="151"/>
      <c r="V398" s="151"/>
      <c r="W398" s="151"/>
      <c r="X398" s="151"/>
      <c r="Y398" s="151"/>
      <c r="Z398" s="151"/>
    </row>
    <row r="399" ht="12.75" customHeight="1">
      <c r="A399" s="151"/>
      <c r="B399" s="125" t="s">
        <v>857</v>
      </c>
      <c r="C399" s="126" t="s">
        <v>858</v>
      </c>
      <c r="D399" s="127" t="s">
        <v>180</v>
      </c>
      <c r="E399" s="151"/>
      <c r="F399" s="163">
        <v>70.25619999999999</v>
      </c>
      <c r="G399" s="164"/>
      <c r="H399" s="163">
        <v>70.25619999999999</v>
      </c>
      <c r="I399" s="164"/>
      <c r="J399" s="163">
        <v>70.25619999999999</v>
      </c>
      <c r="K399" s="164"/>
      <c r="L399" s="163">
        <v>70.25619999999999</v>
      </c>
      <c r="M399" s="164"/>
      <c r="N399" s="163">
        <v>70.25619999999999</v>
      </c>
      <c r="O399" s="164"/>
      <c r="P399" s="151"/>
      <c r="Q399" s="151"/>
      <c r="R399" s="151"/>
      <c r="S399" s="151"/>
      <c r="T399" s="151"/>
      <c r="U399" s="151"/>
      <c r="V399" s="151"/>
      <c r="W399" s="151"/>
      <c r="X399" s="151"/>
      <c r="Y399" s="151"/>
      <c r="Z399" s="151"/>
    </row>
    <row r="400" ht="12.75" customHeight="1">
      <c r="A400" s="151"/>
      <c r="B400" s="125" t="s">
        <v>859</v>
      </c>
      <c r="C400" s="126" t="s">
        <v>860</v>
      </c>
      <c r="D400" s="127" t="s">
        <v>180</v>
      </c>
      <c r="E400" s="151"/>
      <c r="F400" s="163">
        <v>90.35600000000001</v>
      </c>
      <c r="G400" s="164"/>
      <c r="H400" s="163">
        <v>90.35600000000001</v>
      </c>
      <c r="I400" s="164"/>
      <c r="J400" s="163">
        <v>90.35600000000001</v>
      </c>
      <c r="K400" s="164"/>
      <c r="L400" s="163">
        <v>90.35600000000001</v>
      </c>
      <c r="M400" s="164"/>
      <c r="N400" s="163">
        <v>90.35600000000001</v>
      </c>
      <c r="O400" s="164"/>
      <c r="P400" s="151"/>
      <c r="Q400" s="151"/>
      <c r="R400" s="151"/>
      <c r="S400" s="151"/>
      <c r="T400" s="151"/>
      <c r="U400" s="151"/>
      <c r="V400" s="151"/>
      <c r="W400" s="151"/>
      <c r="X400" s="151"/>
      <c r="Y400" s="151"/>
      <c r="Z400" s="151"/>
    </row>
    <row r="401" ht="12.75" customHeight="1">
      <c r="A401" s="151"/>
      <c r="B401" s="125" t="s">
        <v>861</v>
      </c>
      <c r="C401" s="126" t="s">
        <v>862</v>
      </c>
      <c r="D401" s="127" t="s">
        <v>180</v>
      </c>
      <c r="E401" s="151"/>
      <c r="F401" s="163">
        <v>128.6152</v>
      </c>
      <c r="G401" s="164"/>
      <c r="H401" s="163">
        <v>128.6152</v>
      </c>
      <c r="I401" s="164"/>
      <c r="J401" s="163">
        <v>128.6152</v>
      </c>
      <c r="K401" s="164"/>
      <c r="L401" s="163">
        <v>128.6152</v>
      </c>
      <c r="M401" s="164"/>
      <c r="N401" s="163">
        <v>128.6152</v>
      </c>
      <c r="O401" s="164"/>
      <c r="P401" s="151"/>
      <c r="Q401" s="151"/>
      <c r="R401" s="151"/>
      <c r="S401" s="151"/>
      <c r="T401" s="151"/>
      <c r="U401" s="151"/>
      <c r="V401" s="151"/>
      <c r="W401" s="151"/>
      <c r="X401" s="151"/>
      <c r="Y401" s="151"/>
      <c r="Z401" s="151"/>
    </row>
    <row r="402" ht="12.75" customHeight="1">
      <c r="A402" s="151"/>
      <c r="B402" s="125" t="s">
        <v>863</v>
      </c>
      <c r="C402" s="126" t="s">
        <v>864</v>
      </c>
      <c r="D402" s="127" t="s">
        <v>180</v>
      </c>
      <c r="E402" s="151"/>
      <c r="F402" s="163">
        <v>142.58020000000002</v>
      </c>
      <c r="G402" s="164"/>
      <c r="H402" s="163">
        <v>142.58020000000002</v>
      </c>
      <c r="I402" s="164"/>
      <c r="J402" s="163">
        <v>142.58020000000002</v>
      </c>
      <c r="K402" s="164"/>
      <c r="L402" s="163">
        <v>142.58020000000002</v>
      </c>
      <c r="M402" s="164"/>
      <c r="N402" s="163">
        <v>142.58020000000002</v>
      </c>
      <c r="O402" s="164"/>
      <c r="P402" s="151"/>
      <c r="Q402" s="151"/>
      <c r="R402" s="151"/>
      <c r="S402" s="151"/>
      <c r="T402" s="151"/>
      <c r="U402" s="151"/>
      <c r="V402" s="151"/>
      <c r="W402" s="151"/>
      <c r="X402" s="151"/>
      <c r="Y402" s="151"/>
      <c r="Z402" s="151"/>
    </row>
    <row r="403" ht="12.75" customHeight="1">
      <c r="A403" s="151"/>
      <c r="B403" s="125" t="s">
        <v>865</v>
      </c>
      <c r="C403" s="126" t="s">
        <v>866</v>
      </c>
      <c r="D403" s="127" t="s">
        <v>180</v>
      </c>
      <c r="E403" s="151"/>
      <c r="F403" s="163">
        <v>170.0594</v>
      </c>
      <c r="G403" s="164"/>
      <c r="H403" s="163">
        <v>170.0594</v>
      </c>
      <c r="I403" s="164"/>
      <c r="J403" s="163">
        <v>170.0594</v>
      </c>
      <c r="K403" s="164"/>
      <c r="L403" s="163">
        <v>170.0594</v>
      </c>
      <c r="M403" s="164"/>
      <c r="N403" s="163">
        <v>170.0594</v>
      </c>
      <c r="O403" s="164"/>
      <c r="P403" s="151"/>
      <c r="Q403" s="151"/>
      <c r="R403" s="151"/>
      <c r="S403" s="151"/>
      <c r="T403" s="151"/>
      <c r="U403" s="151"/>
      <c r="V403" s="151"/>
      <c r="W403" s="151"/>
      <c r="X403" s="151"/>
      <c r="Y403" s="151"/>
      <c r="Z403" s="151"/>
    </row>
    <row r="404" ht="12.75" customHeight="1">
      <c r="A404" s="151"/>
      <c r="B404" s="125" t="s">
        <v>867</v>
      </c>
      <c r="C404" s="126" t="s">
        <v>868</v>
      </c>
      <c r="D404" s="127" t="s">
        <v>180</v>
      </c>
      <c r="E404" s="151"/>
      <c r="F404" s="163">
        <v>58.92358974358975</v>
      </c>
      <c r="G404" s="164"/>
      <c r="H404" s="163">
        <v>58.92358974358975</v>
      </c>
      <c r="I404" s="164"/>
      <c r="J404" s="163">
        <v>58.92358974358975</v>
      </c>
      <c r="K404" s="164"/>
      <c r="L404" s="163">
        <v>58.92358974358975</v>
      </c>
      <c r="M404" s="164"/>
      <c r="N404" s="163">
        <v>58.92358974358975</v>
      </c>
      <c r="O404" s="164"/>
      <c r="P404" s="151"/>
      <c r="Q404" s="151"/>
      <c r="R404" s="151"/>
      <c r="S404" s="151"/>
      <c r="T404" s="151"/>
      <c r="U404" s="151"/>
      <c r="V404" s="151"/>
      <c r="W404" s="151"/>
      <c r="X404" s="151"/>
      <c r="Y404" s="151"/>
      <c r="Z404" s="151"/>
    </row>
    <row r="405" ht="12.75" customHeight="1">
      <c r="A405" s="151"/>
      <c r="B405" s="125" t="s">
        <v>869</v>
      </c>
      <c r="C405" s="126" t="s">
        <v>870</v>
      </c>
      <c r="D405" s="127" t="s">
        <v>180</v>
      </c>
      <c r="E405" s="151"/>
      <c r="F405" s="163">
        <v>31.52</v>
      </c>
      <c r="G405" s="164"/>
      <c r="H405" s="163">
        <v>31.52</v>
      </c>
      <c r="I405" s="164"/>
      <c r="J405" s="163">
        <v>31.52</v>
      </c>
      <c r="K405" s="164"/>
      <c r="L405" s="163">
        <v>31.52</v>
      </c>
      <c r="M405" s="164"/>
      <c r="N405" s="163">
        <v>31.52</v>
      </c>
      <c r="O405" s="164"/>
      <c r="P405" s="151"/>
      <c r="Q405" s="151"/>
      <c r="R405" s="151"/>
      <c r="S405" s="151"/>
      <c r="T405" s="151"/>
      <c r="U405" s="151"/>
      <c r="V405" s="151"/>
      <c r="W405" s="151"/>
      <c r="X405" s="151"/>
      <c r="Y405" s="151"/>
      <c r="Z405" s="151"/>
    </row>
    <row r="406" ht="12.75" customHeight="1">
      <c r="A406" s="151"/>
      <c r="B406" s="113" t="s">
        <v>871</v>
      </c>
      <c r="C406" s="114" t="s">
        <v>872</v>
      </c>
      <c r="D406" s="115"/>
      <c r="E406" s="151"/>
      <c r="F406" s="161"/>
      <c r="G406" s="162"/>
      <c r="H406" s="161"/>
      <c r="I406" s="162"/>
      <c r="J406" s="161"/>
      <c r="K406" s="162"/>
      <c r="L406" s="161"/>
      <c r="M406" s="162"/>
      <c r="N406" s="161"/>
      <c r="O406" s="162"/>
      <c r="P406" s="151"/>
      <c r="Q406" s="151"/>
      <c r="R406" s="151"/>
      <c r="S406" s="151"/>
      <c r="T406" s="151"/>
      <c r="U406" s="151"/>
      <c r="V406" s="151"/>
      <c r="W406" s="151"/>
      <c r="X406" s="151"/>
      <c r="Y406" s="151"/>
      <c r="Z406" s="151"/>
    </row>
    <row r="407" ht="12.75" customHeight="1">
      <c r="A407" s="151"/>
      <c r="B407" s="125" t="s">
        <v>873</v>
      </c>
      <c r="C407" s="126" t="s">
        <v>874</v>
      </c>
      <c r="D407" s="127" t="s">
        <v>180</v>
      </c>
      <c r="E407" s="151"/>
      <c r="F407" s="163">
        <v>10.415683760341325</v>
      </c>
      <c r="G407" s="164"/>
      <c r="H407" s="163">
        <v>9.709583380284846</v>
      </c>
      <c r="I407" s="164"/>
      <c r="J407" s="163">
        <v>9.735651514831439</v>
      </c>
      <c r="K407" s="164"/>
      <c r="L407" s="163">
        <v>9.709583380284846</v>
      </c>
      <c r="M407" s="164"/>
      <c r="N407" s="163">
        <v>9.709583380284846</v>
      </c>
      <c r="O407" s="164"/>
      <c r="P407" s="151"/>
      <c r="Q407" s="151"/>
      <c r="R407" s="151"/>
      <c r="S407" s="151"/>
      <c r="T407" s="151"/>
      <c r="U407" s="151"/>
      <c r="V407" s="151"/>
      <c r="W407" s="151"/>
      <c r="X407" s="151"/>
      <c r="Y407" s="151"/>
      <c r="Z407" s="151"/>
    </row>
    <row r="408" ht="12.75" customHeight="1">
      <c r="A408" s="151"/>
      <c r="B408" s="125" t="s">
        <v>875</v>
      </c>
      <c r="C408" s="126" t="s">
        <v>876</v>
      </c>
      <c r="D408" s="127" t="s">
        <v>180</v>
      </c>
      <c r="E408" s="151"/>
      <c r="F408" s="163">
        <v>16.664144589057823</v>
      </c>
      <c r="G408" s="164"/>
      <c r="H408" s="163">
        <v>15.916882357288657</v>
      </c>
      <c r="I408" s="164"/>
      <c r="J408" s="163">
        <v>15.16962012551949</v>
      </c>
      <c r="K408" s="164"/>
      <c r="L408" s="163">
        <v>15.916882357288657</v>
      </c>
      <c r="M408" s="164"/>
      <c r="N408" s="163">
        <v>15.916882357288657</v>
      </c>
      <c r="O408" s="164"/>
      <c r="P408" s="151"/>
      <c r="Q408" s="151"/>
      <c r="R408" s="151"/>
      <c r="S408" s="151"/>
      <c r="T408" s="151"/>
      <c r="U408" s="151"/>
      <c r="V408" s="151"/>
      <c r="W408" s="151"/>
      <c r="X408" s="151"/>
      <c r="Y408" s="151"/>
      <c r="Z408" s="151"/>
    </row>
    <row r="409" ht="12.75" customHeight="1">
      <c r="A409" s="151"/>
      <c r="B409" s="125" t="s">
        <v>877</v>
      </c>
      <c r="C409" s="126" t="s">
        <v>878</v>
      </c>
      <c r="D409" s="127" t="s">
        <v>180</v>
      </c>
      <c r="E409" s="151"/>
      <c r="F409" s="163">
        <v>25.891891981264493</v>
      </c>
      <c r="G409" s="164"/>
      <c r="H409" s="163">
        <v>23.686514136481534</v>
      </c>
      <c r="I409" s="164"/>
      <c r="J409" s="163">
        <v>22.592983945574083</v>
      </c>
      <c r="K409" s="164"/>
      <c r="L409" s="163">
        <v>23.686514136481534</v>
      </c>
      <c r="M409" s="164"/>
      <c r="N409" s="163">
        <v>23.686514136481534</v>
      </c>
      <c r="O409" s="164"/>
      <c r="P409" s="151"/>
      <c r="Q409" s="151"/>
      <c r="R409" s="151"/>
      <c r="S409" s="151"/>
      <c r="T409" s="151"/>
      <c r="U409" s="151"/>
      <c r="V409" s="151"/>
      <c r="W409" s="151"/>
      <c r="X409" s="151"/>
      <c r="Y409" s="151"/>
      <c r="Z409" s="151"/>
    </row>
    <row r="410" ht="12.75" customHeight="1">
      <c r="A410" s="151"/>
      <c r="B410" s="125" t="s">
        <v>879</v>
      </c>
      <c r="C410" s="126" t="s">
        <v>880</v>
      </c>
      <c r="D410" s="127" t="s">
        <v>180</v>
      </c>
      <c r="E410" s="151"/>
      <c r="F410" s="163">
        <v>31.293725349315494</v>
      </c>
      <c r="G410" s="164"/>
      <c r="H410" s="163">
        <v>32.14902383592157</v>
      </c>
      <c r="I410" s="164"/>
      <c r="J410" s="163">
        <v>33.00432232252764</v>
      </c>
      <c r="K410" s="164"/>
      <c r="L410" s="163">
        <v>32.14902383592157</v>
      </c>
      <c r="M410" s="164"/>
      <c r="N410" s="163">
        <v>32.14902383592157</v>
      </c>
      <c r="O410" s="164"/>
      <c r="P410" s="151"/>
      <c r="Q410" s="151"/>
      <c r="R410" s="151"/>
      <c r="S410" s="151"/>
      <c r="T410" s="151"/>
      <c r="U410" s="151"/>
      <c r="V410" s="151"/>
      <c r="W410" s="151"/>
      <c r="X410" s="151"/>
      <c r="Y410" s="151"/>
      <c r="Z410" s="151"/>
    </row>
    <row r="411" ht="12.75" customHeight="1">
      <c r="A411" s="151"/>
      <c r="B411" s="125" t="s">
        <v>881</v>
      </c>
      <c r="C411" s="126" t="s">
        <v>882</v>
      </c>
      <c r="D411" s="127" t="s">
        <v>180</v>
      </c>
      <c r="E411" s="151"/>
      <c r="F411" s="163">
        <v>43.277229522319146</v>
      </c>
      <c r="G411" s="164"/>
      <c r="H411" s="163">
        <v>43.8019613856228</v>
      </c>
      <c r="I411" s="164"/>
      <c r="J411" s="163">
        <v>44.32669324892646</v>
      </c>
      <c r="K411" s="164"/>
      <c r="L411" s="163">
        <v>43.8019613856228</v>
      </c>
      <c r="M411" s="164"/>
      <c r="N411" s="163">
        <v>43.8019613856228</v>
      </c>
      <c r="O411" s="164"/>
      <c r="P411" s="151"/>
      <c r="Q411" s="151"/>
      <c r="R411" s="151"/>
      <c r="S411" s="151"/>
      <c r="T411" s="151"/>
      <c r="U411" s="151"/>
      <c r="V411" s="151"/>
      <c r="W411" s="151"/>
      <c r="X411" s="151"/>
      <c r="Y411" s="151"/>
      <c r="Z411" s="151"/>
    </row>
    <row r="412" ht="12.75" customHeight="1">
      <c r="A412" s="151"/>
      <c r="B412" s="125" t="s">
        <v>883</v>
      </c>
      <c r="C412" s="126" t="s">
        <v>884</v>
      </c>
      <c r="D412" s="127" t="s">
        <v>180</v>
      </c>
      <c r="E412" s="151"/>
      <c r="F412" s="163">
        <v>59.185011501368535</v>
      </c>
      <c r="G412" s="164"/>
      <c r="H412" s="163">
        <v>61.99848153794416</v>
      </c>
      <c r="I412" s="164"/>
      <c r="J412" s="163">
        <v>64.81195157451978</v>
      </c>
      <c r="K412" s="164"/>
      <c r="L412" s="163">
        <v>61.99848153794416</v>
      </c>
      <c r="M412" s="164"/>
      <c r="N412" s="163">
        <v>61.99848153794416</v>
      </c>
      <c r="O412" s="164"/>
      <c r="P412" s="151"/>
      <c r="Q412" s="151"/>
      <c r="R412" s="151"/>
      <c r="S412" s="151"/>
      <c r="T412" s="151"/>
      <c r="U412" s="151"/>
      <c r="V412" s="151"/>
      <c r="W412" s="151"/>
      <c r="X412" s="151"/>
      <c r="Y412" s="151"/>
      <c r="Z412" s="151"/>
    </row>
    <row r="413" ht="12.75" customHeight="1">
      <c r="A413" s="151"/>
      <c r="B413" s="125" t="s">
        <v>885</v>
      </c>
      <c r="C413" s="126" t="s">
        <v>886</v>
      </c>
      <c r="D413" s="127" t="s">
        <v>180</v>
      </c>
      <c r="E413" s="151"/>
      <c r="F413" s="163">
        <v>80.3026960209565</v>
      </c>
      <c r="G413" s="164"/>
      <c r="H413" s="163">
        <v>88.26537664657246</v>
      </c>
      <c r="I413" s="164"/>
      <c r="J413" s="163">
        <v>96.22805727218844</v>
      </c>
      <c r="K413" s="164"/>
      <c r="L413" s="163">
        <v>88.26537664657246</v>
      </c>
      <c r="M413" s="164"/>
      <c r="N413" s="163">
        <v>88.26537664657246</v>
      </c>
      <c r="O413" s="164"/>
      <c r="P413" s="151"/>
      <c r="Q413" s="151"/>
      <c r="R413" s="151"/>
      <c r="S413" s="151"/>
      <c r="T413" s="151"/>
      <c r="U413" s="151"/>
      <c r="V413" s="151"/>
      <c r="W413" s="151"/>
      <c r="X413" s="151"/>
      <c r="Y413" s="151"/>
      <c r="Z413" s="151"/>
    </row>
    <row r="414" ht="12.75" customHeight="1">
      <c r="A414" s="151"/>
      <c r="B414" s="125" t="s">
        <v>887</v>
      </c>
      <c r="C414" s="126" t="s">
        <v>888</v>
      </c>
      <c r="D414" s="127" t="s">
        <v>180</v>
      </c>
      <c r="E414" s="151"/>
      <c r="F414" s="163">
        <v>103.4278512755708</v>
      </c>
      <c r="G414" s="164"/>
      <c r="H414" s="163">
        <v>113.47986625238609</v>
      </c>
      <c r="I414" s="164"/>
      <c r="J414" s="163">
        <v>123.53188122920139</v>
      </c>
      <c r="K414" s="164"/>
      <c r="L414" s="163">
        <v>113.47986625238609</v>
      </c>
      <c r="M414" s="164"/>
      <c r="N414" s="163">
        <v>113.47986625238609</v>
      </c>
      <c r="O414" s="164"/>
      <c r="P414" s="151"/>
      <c r="Q414" s="151"/>
      <c r="R414" s="151"/>
      <c r="S414" s="151"/>
      <c r="T414" s="151"/>
      <c r="U414" s="151"/>
      <c r="V414" s="151"/>
      <c r="W414" s="151"/>
      <c r="X414" s="151"/>
      <c r="Y414" s="151"/>
      <c r="Z414" s="151"/>
    </row>
    <row r="415" ht="12.75" customHeight="1">
      <c r="A415" s="151"/>
      <c r="B415" s="125" t="s">
        <v>889</v>
      </c>
      <c r="C415" s="126" t="s">
        <v>890</v>
      </c>
      <c r="D415" s="127" t="s">
        <v>180</v>
      </c>
      <c r="E415" s="151"/>
      <c r="F415" s="163">
        <v>195.47699999999998</v>
      </c>
      <c r="G415" s="164"/>
      <c r="H415" s="163">
        <v>182.7285</v>
      </c>
      <c r="I415" s="164"/>
      <c r="J415" s="163">
        <v>169.98</v>
      </c>
      <c r="K415" s="164"/>
      <c r="L415" s="163">
        <v>182.7285</v>
      </c>
      <c r="M415" s="164"/>
      <c r="N415" s="163">
        <v>182.7285</v>
      </c>
      <c r="O415" s="164"/>
      <c r="P415" s="151"/>
      <c r="Q415" s="151"/>
      <c r="R415" s="151"/>
      <c r="S415" s="151"/>
      <c r="T415" s="151"/>
      <c r="U415" s="151"/>
      <c r="V415" s="151"/>
      <c r="W415" s="151"/>
      <c r="X415" s="151"/>
      <c r="Y415" s="151"/>
      <c r="Z415" s="151"/>
    </row>
    <row r="416" ht="12.75" customHeight="1">
      <c r="A416" s="151"/>
      <c r="B416" s="125" t="s">
        <v>891</v>
      </c>
      <c r="C416" s="126" t="s">
        <v>892</v>
      </c>
      <c r="D416" s="127" t="s">
        <v>180</v>
      </c>
      <c r="E416" s="151"/>
      <c r="F416" s="163">
        <v>248.27349999999996</v>
      </c>
      <c r="G416" s="164"/>
      <c r="H416" s="163">
        <v>232.08174999999997</v>
      </c>
      <c r="I416" s="164"/>
      <c r="J416" s="163">
        <v>215.89</v>
      </c>
      <c r="K416" s="164"/>
      <c r="L416" s="163">
        <v>232.08174999999997</v>
      </c>
      <c r="M416" s="164"/>
      <c r="N416" s="163">
        <v>232.08174999999997</v>
      </c>
      <c r="O416" s="164"/>
      <c r="P416" s="151"/>
      <c r="Q416" s="151"/>
      <c r="R416" s="151"/>
      <c r="S416" s="151"/>
      <c r="T416" s="151"/>
      <c r="U416" s="151"/>
      <c r="V416" s="151"/>
      <c r="W416" s="151"/>
      <c r="X416" s="151"/>
      <c r="Y416" s="151"/>
      <c r="Z416" s="151"/>
    </row>
    <row r="417" ht="12.75" customHeight="1">
      <c r="A417" s="151"/>
      <c r="B417" s="125" t="s">
        <v>893</v>
      </c>
      <c r="C417" s="126" t="s">
        <v>894</v>
      </c>
      <c r="D417" s="127" t="s">
        <v>180</v>
      </c>
      <c r="E417" s="151"/>
      <c r="F417" s="163">
        <v>298.9885</v>
      </c>
      <c r="G417" s="164"/>
      <c r="H417" s="163">
        <v>279.48924999999997</v>
      </c>
      <c r="I417" s="164"/>
      <c r="J417" s="163">
        <v>259.99</v>
      </c>
      <c r="K417" s="164"/>
      <c r="L417" s="163">
        <v>279.48924999999997</v>
      </c>
      <c r="M417" s="164"/>
      <c r="N417" s="163">
        <v>279.48924999999997</v>
      </c>
      <c r="O417" s="164"/>
      <c r="P417" s="151"/>
      <c r="Q417" s="151"/>
      <c r="R417" s="151"/>
      <c r="S417" s="151"/>
      <c r="T417" s="151"/>
      <c r="U417" s="151"/>
      <c r="V417" s="151"/>
      <c r="W417" s="151"/>
      <c r="X417" s="151"/>
      <c r="Y417" s="151"/>
      <c r="Z417" s="151"/>
    </row>
    <row r="418" ht="12.75" customHeight="1">
      <c r="A418" s="151"/>
      <c r="B418" s="125" t="s">
        <v>895</v>
      </c>
      <c r="C418" s="126" t="s">
        <v>896</v>
      </c>
      <c r="D418" s="127" t="s">
        <v>180</v>
      </c>
      <c r="E418" s="151"/>
      <c r="F418" s="163">
        <v>2.521028765576666</v>
      </c>
      <c r="G418" s="164"/>
      <c r="H418" s="163">
        <v>2.521028765576666</v>
      </c>
      <c r="I418" s="164"/>
      <c r="J418" s="163">
        <v>2.521028765576666</v>
      </c>
      <c r="K418" s="164"/>
      <c r="L418" s="163">
        <v>2.521028765576666</v>
      </c>
      <c r="M418" s="164"/>
      <c r="N418" s="163">
        <v>2.521028765576666</v>
      </c>
      <c r="O418" s="164"/>
      <c r="P418" s="151"/>
      <c r="Q418" s="151"/>
      <c r="R418" s="151"/>
      <c r="S418" s="151"/>
      <c r="T418" s="151"/>
      <c r="U418" s="151"/>
      <c r="V418" s="151"/>
      <c r="W418" s="151"/>
      <c r="X418" s="151"/>
      <c r="Y418" s="151"/>
      <c r="Z418" s="151"/>
    </row>
    <row r="419" ht="12.75" customHeight="1">
      <c r="A419" s="151"/>
      <c r="B419" s="125" t="s">
        <v>897</v>
      </c>
      <c r="C419" s="126" t="s">
        <v>898</v>
      </c>
      <c r="D419" s="127" t="s">
        <v>180</v>
      </c>
      <c r="E419" s="151"/>
      <c r="F419" s="163">
        <v>4.097544217586211</v>
      </c>
      <c r="G419" s="164"/>
      <c r="H419" s="163">
        <v>3.600756327589677</v>
      </c>
      <c r="I419" s="164"/>
      <c r="J419" s="163">
        <v>3.7610309243544933</v>
      </c>
      <c r="K419" s="164"/>
      <c r="L419" s="163">
        <v>3.600756327589677</v>
      </c>
      <c r="M419" s="164"/>
      <c r="N419" s="163">
        <v>3.600756327589677</v>
      </c>
      <c r="O419" s="164"/>
      <c r="P419" s="151"/>
      <c r="Q419" s="151"/>
      <c r="R419" s="151"/>
      <c r="S419" s="151"/>
      <c r="T419" s="151"/>
      <c r="U419" s="151"/>
      <c r="V419" s="151"/>
      <c r="W419" s="151"/>
      <c r="X419" s="151"/>
      <c r="Y419" s="151"/>
      <c r="Z419" s="151"/>
    </row>
    <row r="420" ht="12.75" customHeight="1">
      <c r="A420" s="151"/>
      <c r="B420" s="125" t="s">
        <v>899</v>
      </c>
      <c r="C420" s="126" t="s">
        <v>900</v>
      </c>
      <c r="D420" s="127" t="s">
        <v>180</v>
      </c>
      <c r="E420" s="151"/>
      <c r="F420" s="163">
        <v>6.531982648040154</v>
      </c>
      <c r="G420" s="164"/>
      <c r="H420" s="163">
        <v>6.144667826998711</v>
      </c>
      <c r="I420" s="164"/>
      <c r="J420" s="163">
        <v>6.032205019188547</v>
      </c>
      <c r="K420" s="164"/>
      <c r="L420" s="163">
        <v>6.144667826998711</v>
      </c>
      <c r="M420" s="164"/>
      <c r="N420" s="163">
        <v>6.144667826998711</v>
      </c>
      <c r="O420" s="164"/>
      <c r="P420" s="151"/>
      <c r="Q420" s="151"/>
      <c r="R420" s="151"/>
      <c r="S420" s="151"/>
      <c r="T420" s="151"/>
      <c r="U420" s="151"/>
      <c r="V420" s="151"/>
      <c r="W420" s="151"/>
      <c r="X420" s="151"/>
      <c r="Y420" s="151"/>
      <c r="Z420" s="151"/>
    </row>
    <row r="421" ht="12.75" customHeight="1">
      <c r="A421" s="151"/>
      <c r="B421" s="125" t="s">
        <v>901</v>
      </c>
      <c r="C421" s="126" t="s">
        <v>902</v>
      </c>
      <c r="D421" s="127" t="s">
        <v>180</v>
      </c>
      <c r="E421" s="151"/>
      <c r="F421" s="163">
        <v>9.835314528532328</v>
      </c>
      <c r="G421" s="164"/>
      <c r="H421" s="163">
        <v>9.193880972323697</v>
      </c>
      <c r="I421" s="164"/>
      <c r="J421" s="163">
        <v>8.552447416115069</v>
      </c>
      <c r="K421" s="164"/>
      <c r="L421" s="163">
        <v>9.193880972323697</v>
      </c>
      <c r="M421" s="164"/>
      <c r="N421" s="163">
        <v>9.193880972323697</v>
      </c>
      <c r="O421" s="164"/>
      <c r="P421" s="151"/>
      <c r="Q421" s="151"/>
      <c r="R421" s="151"/>
      <c r="S421" s="151"/>
      <c r="T421" s="151"/>
      <c r="U421" s="151"/>
      <c r="V421" s="151"/>
      <c r="W421" s="151"/>
      <c r="X421" s="151"/>
      <c r="Y421" s="151"/>
      <c r="Z421" s="151"/>
    </row>
    <row r="422" ht="12.75" customHeight="1">
      <c r="A422" s="151"/>
      <c r="B422" s="125" t="s">
        <v>903</v>
      </c>
      <c r="C422" s="126" t="s">
        <v>904</v>
      </c>
      <c r="D422" s="127" t="s">
        <v>180</v>
      </c>
      <c r="E422" s="151"/>
      <c r="F422" s="163">
        <v>9.8138315953684</v>
      </c>
      <c r="G422" s="164"/>
      <c r="H422" s="163">
        <v>8.7619157976842</v>
      </c>
      <c r="I422" s="164"/>
      <c r="J422" s="163">
        <v>7.71</v>
      </c>
      <c r="K422" s="164"/>
      <c r="L422" s="163">
        <v>8.7619157976842</v>
      </c>
      <c r="M422" s="164"/>
      <c r="N422" s="163">
        <v>8.7619157976842</v>
      </c>
      <c r="O422" s="164"/>
      <c r="P422" s="151"/>
      <c r="Q422" s="151"/>
      <c r="R422" s="151"/>
      <c r="S422" s="151"/>
      <c r="T422" s="151"/>
      <c r="U422" s="151"/>
      <c r="V422" s="151"/>
      <c r="W422" s="151"/>
      <c r="X422" s="151"/>
      <c r="Y422" s="151"/>
      <c r="Z422" s="151"/>
    </row>
    <row r="423" ht="12.75" customHeight="1">
      <c r="A423" s="151"/>
      <c r="B423" s="125" t="s">
        <v>905</v>
      </c>
      <c r="C423" s="126" t="s">
        <v>906</v>
      </c>
      <c r="D423" s="127" t="s">
        <v>180</v>
      </c>
      <c r="E423" s="151"/>
      <c r="F423" s="163">
        <v>12.201499999999998</v>
      </c>
      <c r="G423" s="164"/>
      <c r="H423" s="163">
        <v>11.17972</v>
      </c>
      <c r="I423" s="164"/>
      <c r="J423" s="163">
        <v>11.199444444444444</v>
      </c>
      <c r="K423" s="164"/>
      <c r="L423" s="163">
        <v>11.17972</v>
      </c>
      <c r="M423" s="164"/>
      <c r="N423" s="163">
        <v>11.17972</v>
      </c>
      <c r="O423" s="164"/>
      <c r="P423" s="151"/>
      <c r="Q423" s="151"/>
      <c r="R423" s="151"/>
      <c r="S423" s="151"/>
      <c r="T423" s="151"/>
      <c r="U423" s="151"/>
      <c r="V423" s="151"/>
      <c r="W423" s="151"/>
      <c r="X423" s="151"/>
      <c r="Y423" s="151"/>
      <c r="Z423" s="151"/>
    </row>
    <row r="424" ht="12.75" customHeight="1">
      <c r="A424" s="151"/>
      <c r="B424" s="113" t="s">
        <v>907</v>
      </c>
      <c r="C424" s="114" t="s">
        <v>908</v>
      </c>
      <c r="D424" s="115"/>
      <c r="E424" s="151"/>
      <c r="F424" s="161"/>
      <c r="G424" s="162"/>
      <c r="H424" s="161"/>
      <c r="I424" s="162"/>
      <c r="J424" s="161"/>
      <c r="K424" s="162"/>
      <c r="L424" s="161"/>
      <c r="M424" s="162"/>
      <c r="N424" s="161"/>
      <c r="O424" s="162"/>
      <c r="P424" s="151"/>
      <c r="Q424" s="151"/>
      <c r="R424" s="151"/>
      <c r="S424" s="151"/>
      <c r="T424" s="151"/>
      <c r="U424" s="151"/>
      <c r="V424" s="151"/>
      <c r="W424" s="151"/>
      <c r="X424" s="151"/>
      <c r="Y424" s="151"/>
      <c r="Z424" s="151"/>
    </row>
    <row r="425" ht="12.75" customHeight="1">
      <c r="A425" s="151"/>
      <c r="B425" s="125" t="s">
        <v>909</v>
      </c>
      <c r="C425" s="126" t="s">
        <v>910</v>
      </c>
      <c r="D425" s="127" t="s">
        <v>911</v>
      </c>
      <c r="E425" s="151"/>
      <c r="F425" s="163">
        <v>68.0</v>
      </c>
      <c r="G425" s="164"/>
      <c r="H425" s="163">
        <v>68.0</v>
      </c>
      <c r="I425" s="164"/>
      <c r="J425" s="163">
        <v>68.0</v>
      </c>
      <c r="K425" s="164"/>
      <c r="L425" s="163">
        <v>68.0</v>
      </c>
      <c r="M425" s="164"/>
      <c r="N425" s="163">
        <v>68.0</v>
      </c>
      <c r="O425" s="164"/>
      <c r="P425" s="151"/>
      <c r="Q425" s="151"/>
      <c r="R425" s="151"/>
      <c r="S425" s="151"/>
      <c r="T425" s="151"/>
      <c r="U425" s="151"/>
      <c r="V425" s="151"/>
      <c r="W425" s="151"/>
      <c r="X425" s="151"/>
      <c r="Y425" s="151"/>
      <c r="Z425" s="151"/>
    </row>
    <row r="426" ht="12.75" customHeight="1">
      <c r="A426" s="151"/>
      <c r="B426" s="125" t="s">
        <v>912</v>
      </c>
      <c r="C426" s="126" t="s">
        <v>913</v>
      </c>
      <c r="D426" s="127" t="s">
        <v>911</v>
      </c>
      <c r="E426" s="151"/>
      <c r="F426" s="163">
        <v>106.41</v>
      </c>
      <c r="G426" s="164"/>
      <c r="H426" s="163">
        <v>103.025</v>
      </c>
      <c r="I426" s="164"/>
      <c r="J426" s="163">
        <v>99.64</v>
      </c>
      <c r="K426" s="164"/>
      <c r="L426" s="163">
        <v>103.025</v>
      </c>
      <c r="M426" s="164"/>
      <c r="N426" s="163">
        <v>103.025</v>
      </c>
      <c r="O426" s="164"/>
      <c r="P426" s="151"/>
      <c r="Q426" s="151"/>
      <c r="R426" s="151"/>
      <c r="S426" s="151"/>
      <c r="T426" s="151"/>
      <c r="U426" s="151"/>
      <c r="V426" s="151"/>
      <c r="W426" s="151"/>
      <c r="X426" s="151"/>
      <c r="Y426" s="151"/>
      <c r="Z426" s="151"/>
    </row>
    <row r="427" ht="12.75" customHeight="1">
      <c r="A427" s="151"/>
      <c r="B427" s="125" t="s">
        <v>914</v>
      </c>
      <c r="C427" s="126" t="s">
        <v>915</v>
      </c>
      <c r="D427" s="127" t="s">
        <v>911</v>
      </c>
      <c r="E427" s="151"/>
      <c r="F427" s="163">
        <v>120.78</v>
      </c>
      <c r="G427" s="164"/>
      <c r="H427" s="163">
        <v>105.56</v>
      </c>
      <c r="I427" s="164"/>
      <c r="J427" s="163">
        <v>106.73020476199065</v>
      </c>
      <c r="K427" s="164"/>
      <c r="L427" s="163">
        <v>105.56</v>
      </c>
      <c r="M427" s="164"/>
      <c r="N427" s="163">
        <v>105.56</v>
      </c>
      <c r="O427" s="164"/>
      <c r="P427" s="151"/>
      <c r="Q427" s="151"/>
      <c r="R427" s="151"/>
      <c r="S427" s="151"/>
      <c r="T427" s="151"/>
      <c r="U427" s="151"/>
      <c r="V427" s="151"/>
      <c r="W427" s="151"/>
      <c r="X427" s="151"/>
      <c r="Y427" s="151"/>
      <c r="Z427" s="151"/>
    </row>
    <row r="428" ht="12.75" customHeight="1">
      <c r="A428" s="151"/>
      <c r="B428" s="125" t="s">
        <v>916</v>
      </c>
      <c r="C428" s="126" t="s">
        <v>917</v>
      </c>
      <c r="D428" s="127" t="s">
        <v>911</v>
      </c>
      <c r="E428" s="151"/>
      <c r="F428" s="163">
        <v>31.501080000000005</v>
      </c>
      <c r="G428" s="164"/>
      <c r="H428" s="163">
        <v>31.501080000000005</v>
      </c>
      <c r="I428" s="164"/>
      <c r="J428" s="163">
        <v>31.50108</v>
      </c>
      <c r="K428" s="164"/>
      <c r="L428" s="163">
        <v>31.501080000000005</v>
      </c>
      <c r="M428" s="164"/>
      <c r="N428" s="163">
        <v>31.501080000000005</v>
      </c>
      <c r="O428" s="164"/>
      <c r="P428" s="151"/>
      <c r="Q428" s="151"/>
      <c r="R428" s="151"/>
      <c r="S428" s="151"/>
      <c r="T428" s="151"/>
      <c r="U428" s="151"/>
      <c r="V428" s="151"/>
      <c r="W428" s="151"/>
      <c r="X428" s="151"/>
      <c r="Y428" s="151"/>
      <c r="Z428" s="151"/>
    </row>
    <row r="429" ht="12.75" customHeight="1">
      <c r="A429" s="151"/>
      <c r="B429" s="125" t="s">
        <v>918</v>
      </c>
      <c r="C429" s="126" t="s">
        <v>919</v>
      </c>
      <c r="D429" s="127" t="s">
        <v>911</v>
      </c>
      <c r="E429" s="151"/>
      <c r="F429" s="163">
        <v>19.803102900000003</v>
      </c>
      <c r="G429" s="164"/>
      <c r="H429" s="163">
        <v>20.793258045</v>
      </c>
      <c r="I429" s="164"/>
      <c r="J429" s="163">
        <v>21.783413190000005</v>
      </c>
      <c r="K429" s="164"/>
      <c r="L429" s="163">
        <v>20.793258045</v>
      </c>
      <c r="M429" s="164"/>
      <c r="N429" s="163">
        <v>20.793258045</v>
      </c>
      <c r="O429" s="164"/>
      <c r="P429" s="151"/>
      <c r="Q429" s="151"/>
      <c r="R429" s="151"/>
      <c r="S429" s="151"/>
      <c r="T429" s="151"/>
      <c r="U429" s="151"/>
      <c r="V429" s="151"/>
      <c r="W429" s="151"/>
      <c r="X429" s="151"/>
      <c r="Y429" s="151"/>
      <c r="Z429" s="151"/>
    </row>
    <row r="430" ht="12.75" customHeight="1">
      <c r="A430" s="151"/>
      <c r="B430" s="125" t="s">
        <v>920</v>
      </c>
      <c r="C430" s="126" t="s">
        <v>921</v>
      </c>
      <c r="D430" s="127" t="s">
        <v>911</v>
      </c>
      <c r="E430" s="151"/>
      <c r="F430" s="163">
        <v>28.89320388349514</v>
      </c>
      <c r="G430" s="164"/>
      <c r="H430" s="163">
        <v>30.3378640776699</v>
      </c>
      <c r="I430" s="164"/>
      <c r="J430" s="163">
        <v>31.782524271844657</v>
      </c>
      <c r="K430" s="164"/>
      <c r="L430" s="163">
        <v>30.3378640776699</v>
      </c>
      <c r="M430" s="164"/>
      <c r="N430" s="163">
        <v>30.3378640776699</v>
      </c>
      <c r="O430" s="164"/>
      <c r="P430" s="151"/>
      <c r="Q430" s="151"/>
      <c r="R430" s="151"/>
      <c r="S430" s="151"/>
      <c r="T430" s="151"/>
      <c r="U430" s="151"/>
      <c r="V430" s="151"/>
      <c r="W430" s="151"/>
      <c r="X430" s="151"/>
      <c r="Y430" s="151"/>
      <c r="Z430" s="151"/>
    </row>
    <row r="431" ht="12.75" customHeight="1">
      <c r="A431" s="151"/>
      <c r="B431" s="125" t="s">
        <v>922</v>
      </c>
      <c r="C431" s="126" t="s">
        <v>923</v>
      </c>
      <c r="D431" s="127" t="s">
        <v>911</v>
      </c>
      <c r="E431" s="151"/>
      <c r="F431" s="163">
        <v>27.018181818181816</v>
      </c>
      <c r="G431" s="164"/>
      <c r="H431" s="163">
        <v>28.369090909090907</v>
      </c>
      <c r="I431" s="164"/>
      <c r="J431" s="163">
        <v>29.72</v>
      </c>
      <c r="K431" s="164"/>
      <c r="L431" s="163">
        <v>28.369090909090907</v>
      </c>
      <c r="M431" s="164"/>
      <c r="N431" s="163">
        <v>28.369090909090907</v>
      </c>
      <c r="O431" s="164"/>
      <c r="P431" s="151"/>
      <c r="Q431" s="151"/>
      <c r="R431" s="151"/>
      <c r="S431" s="151"/>
      <c r="T431" s="151"/>
      <c r="U431" s="151"/>
      <c r="V431" s="151"/>
      <c r="W431" s="151"/>
      <c r="X431" s="151"/>
      <c r="Y431" s="151"/>
      <c r="Z431" s="151"/>
    </row>
    <row r="432" ht="12.75" customHeight="1">
      <c r="A432" s="151"/>
      <c r="B432" s="125" t="s">
        <v>924</v>
      </c>
      <c r="C432" s="126" t="s">
        <v>925</v>
      </c>
      <c r="D432" s="127" t="s">
        <v>911</v>
      </c>
      <c r="E432" s="151"/>
      <c r="F432" s="163">
        <v>18.62135922330097</v>
      </c>
      <c r="G432" s="164"/>
      <c r="H432" s="163">
        <v>19.55242718446602</v>
      </c>
      <c r="I432" s="164"/>
      <c r="J432" s="163">
        <v>20.483495145631068</v>
      </c>
      <c r="K432" s="164"/>
      <c r="L432" s="163">
        <v>19.55242718446602</v>
      </c>
      <c r="M432" s="164"/>
      <c r="N432" s="163">
        <v>19.55242718446602</v>
      </c>
      <c r="O432" s="164"/>
      <c r="P432" s="151"/>
      <c r="Q432" s="151"/>
      <c r="R432" s="151"/>
      <c r="S432" s="151"/>
      <c r="T432" s="151"/>
      <c r="U432" s="151"/>
      <c r="V432" s="151"/>
      <c r="W432" s="151"/>
      <c r="X432" s="151"/>
      <c r="Y432" s="151"/>
      <c r="Z432" s="151"/>
    </row>
    <row r="433" ht="12.75" customHeight="1">
      <c r="A433" s="151"/>
      <c r="B433" s="125" t="s">
        <v>926</v>
      </c>
      <c r="C433" s="126" t="s">
        <v>927</v>
      </c>
      <c r="D433" s="127" t="s">
        <v>911</v>
      </c>
      <c r="E433" s="151"/>
      <c r="F433" s="163">
        <v>46.68</v>
      </c>
      <c r="G433" s="164"/>
      <c r="H433" s="163">
        <v>59.69</v>
      </c>
      <c r="I433" s="164"/>
      <c r="J433" s="163">
        <v>72.7</v>
      </c>
      <c r="K433" s="164"/>
      <c r="L433" s="163">
        <v>59.69</v>
      </c>
      <c r="M433" s="164"/>
      <c r="N433" s="163">
        <v>59.69</v>
      </c>
      <c r="O433" s="164"/>
      <c r="P433" s="151"/>
      <c r="Q433" s="151"/>
      <c r="R433" s="151"/>
      <c r="S433" s="151"/>
      <c r="T433" s="151"/>
      <c r="U433" s="151"/>
      <c r="V433" s="151"/>
      <c r="W433" s="151"/>
      <c r="X433" s="151"/>
      <c r="Y433" s="151"/>
      <c r="Z433" s="151"/>
    </row>
    <row r="434" ht="12.75" customHeight="1">
      <c r="A434" s="151"/>
      <c r="B434" s="125" t="s">
        <v>928</v>
      </c>
      <c r="C434" s="126" t="s">
        <v>929</v>
      </c>
      <c r="D434" s="127" t="s">
        <v>142</v>
      </c>
      <c r="E434" s="151"/>
      <c r="F434" s="163">
        <v>13.734</v>
      </c>
      <c r="G434" s="164"/>
      <c r="H434" s="163">
        <v>12.5096</v>
      </c>
      <c r="I434" s="164"/>
      <c r="J434" s="163">
        <v>13.734</v>
      </c>
      <c r="K434" s="164"/>
      <c r="L434" s="163">
        <v>12.5096</v>
      </c>
      <c r="M434" s="164"/>
      <c r="N434" s="163">
        <v>12.5096</v>
      </c>
      <c r="O434" s="164"/>
      <c r="P434" s="151"/>
      <c r="Q434" s="151"/>
      <c r="R434" s="151"/>
      <c r="S434" s="151"/>
      <c r="T434" s="151"/>
      <c r="U434" s="151"/>
      <c r="V434" s="151"/>
      <c r="W434" s="151"/>
      <c r="X434" s="151"/>
      <c r="Y434" s="151"/>
      <c r="Z434" s="151"/>
    </row>
    <row r="435" ht="12.75" customHeight="1">
      <c r="A435" s="151"/>
      <c r="B435" s="125" t="s">
        <v>930</v>
      </c>
      <c r="C435" s="126" t="s">
        <v>931</v>
      </c>
      <c r="D435" s="127" t="s">
        <v>142</v>
      </c>
      <c r="E435" s="151"/>
      <c r="F435" s="163">
        <v>16.161749999999998</v>
      </c>
      <c r="G435" s="164"/>
      <c r="H435" s="163">
        <v>16.161749999999998</v>
      </c>
      <c r="I435" s="164"/>
      <c r="J435" s="163">
        <v>16.161749999999998</v>
      </c>
      <c r="K435" s="164"/>
      <c r="L435" s="163">
        <v>16.161749999999998</v>
      </c>
      <c r="M435" s="164"/>
      <c r="N435" s="163">
        <v>16.161749999999998</v>
      </c>
      <c r="O435" s="164"/>
      <c r="P435" s="151"/>
      <c r="Q435" s="151"/>
      <c r="R435" s="151"/>
      <c r="S435" s="151"/>
      <c r="T435" s="151"/>
      <c r="U435" s="151"/>
      <c r="V435" s="151"/>
      <c r="W435" s="151"/>
      <c r="X435" s="151"/>
      <c r="Y435" s="151"/>
      <c r="Z435" s="151"/>
    </row>
    <row r="436" ht="12.75" customHeight="1">
      <c r="A436" s="151"/>
      <c r="B436" s="125" t="s">
        <v>932</v>
      </c>
      <c r="C436" s="126" t="s">
        <v>933</v>
      </c>
      <c r="D436" s="127" t="s">
        <v>142</v>
      </c>
      <c r="E436" s="151"/>
      <c r="F436" s="163">
        <v>7.175999999999999</v>
      </c>
      <c r="G436" s="164"/>
      <c r="H436" s="163">
        <v>7.5348</v>
      </c>
      <c r="I436" s="164"/>
      <c r="J436" s="163">
        <v>7.8936</v>
      </c>
      <c r="K436" s="164"/>
      <c r="L436" s="163">
        <v>7.5348</v>
      </c>
      <c r="M436" s="164"/>
      <c r="N436" s="163">
        <v>7.5348</v>
      </c>
      <c r="O436" s="164"/>
      <c r="P436" s="151"/>
      <c r="Q436" s="151"/>
      <c r="R436" s="151"/>
      <c r="S436" s="151"/>
      <c r="T436" s="151"/>
      <c r="U436" s="151"/>
      <c r="V436" s="151"/>
      <c r="W436" s="151"/>
      <c r="X436" s="151"/>
      <c r="Y436" s="151"/>
      <c r="Z436" s="151"/>
    </row>
    <row r="437" ht="12.75" customHeight="1">
      <c r="A437" s="151"/>
      <c r="B437" s="125" t="s">
        <v>934</v>
      </c>
      <c r="C437" s="126" t="s">
        <v>935</v>
      </c>
      <c r="D437" s="127" t="s">
        <v>142</v>
      </c>
      <c r="E437" s="151"/>
      <c r="F437" s="163">
        <v>14.703000000000001</v>
      </c>
      <c r="G437" s="164"/>
      <c r="H437" s="163">
        <v>15.43815</v>
      </c>
      <c r="I437" s="164"/>
      <c r="J437" s="163">
        <v>16.1733</v>
      </c>
      <c r="K437" s="164"/>
      <c r="L437" s="163">
        <v>15.43815</v>
      </c>
      <c r="M437" s="164"/>
      <c r="N437" s="163">
        <v>15.43815</v>
      </c>
      <c r="O437" s="164"/>
      <c r="P437" s="151"/>
      <c r="Q437" s="151"/>
      <c r="R437" s="151"/>
      <c r="S437" s="151"/>
      <c r="T437" s="151"/>
      <c r="U437" s="151"/>
      <c r="V437" s="151"/>
      <c r="W437" s="151"/>
      <c r="X437" s="151"/>
      <c r="Y437" s="151"/>
      <c r="Z437" s="151"/>
    </row>
    <row r="438" ht="12.75" customHeight="1">
      <c r="A438" s="151"/>
      <c r="B438" s="125" t="s">
        <v>936</v>
      </c>
      <c r="C438" s="126" t="s">
        <v>937</v>
      </c>
      <c r="D438" s="127" t="s">
        <v>142</v>
      </c>
      <c r="E438" s="151"/>
      <c r="F438" s="163">
        <v>10.46497282496296</v>
      </c>
      <c r="G438" s="164"/>
      <c r="H438" s="163">
        <v>11.730195886165689</v>
      </c>
      <c r="I438" s="164"/>
      <c r="J438" s="163">
        <v>12.995418947368417</v>
      </c>
      <c r="K438" s="164"/>
      <c r="L438" s="163">
        <v>11.730195886165689</v>
      </c>
      <c r="M438" s="164"/>
      <c r="N438" s="163">
        <v>11.730195886165689</v>
      </c>
      <c r="O438" s="164"/>
      <c r="P438" s="151"/>
      <c r="Q438" s="151"/>
      <c r="R438" s="151"/>
      <c r="S438" s="151"/>
      <c r="T438" s="151"/>
      <c r="U438" s="151"/>
      <c r="V438" s="151"/>
      <c r="W438" s="151"/>
      <c r="X438" s="151"/>
      <c r="Y438" s="151"/>
      <c r="Z438" s="151"/>
    </row>
    <row r="439" ht="12.75" customHeight="1">
      <c r="A439" s="151"/>
      <c r="B439" s="125" t="s">
        <v>938</v>
      </c>
      <c r="C439" s="126" t="s">
        <v>939</v>
      </c>
      <c r="D439" s="127" t="s">
        <v>142</v>
      </c>
      <c r="E439" s="151"/>
      <c r="F439" s="163">
        <v>9.60899444533074</v>
      </c>
      <c r="G439" s="164"/>
      <c r="H439" s="163">
        <v>11.302206696349579</v>
      </c>
      <c r="I439" s="164"/>
      <c r="J439" s="163">
        <v>12.995418947368417</v>
      </c>
      <c r="K439" s="164"/>
      <c r="L439" s="163">
        <v>11.302206696349579</v>
      </c>
      <c r="M439" s="164"/>
      <c r="N439" s="163">
        <v>11.302206696349579</v>
      </c>
      <c r="O439" s="164"/>
      <c r="P439" s="151"/>
      <c r="Q439" s="151"/>
      <c r="R439" s="151"/>
      <c r="S439" s="151"/>
      <c r="T439" s="151"/>
      <c r="U439" s="151"/>
      <c r="V439" s="151"/>
      <c r="W439" s="151"/>
      <c r="X439" s="151"/>
      <c r="Y439" s="151"/>
      <c r="Z439" s="151"/>
    </row>
    <row r="440" ht="12.75" customHeight="1">
      <c r="A440" s="151"/>
      <c r="B440" s="125" t="s">
        <v>940</v>
      </c>
      <c r="C440" s="126" t="s">
        <v>941</v>
      </c>
      <c r="D440" s="127" t="s">
        <v>142</v>
      </c>
      <c r="E440" s="151"/>
      <c r="F440" s="163">
        <v>9.17057280935937</v>
      </c>
      <c r="G440" s="164"/>
      <c r="H440" s="163">
        <v>8.452330542467278</v>
      </c>
      <c r="I440" s="164"/>
      <c r="J440" s="163">
        <v>8.529066</v>
      </c>
      <c r="K440" s="164"/>
      <c r="L440" s="163">
        <v>8.452330542467278</v>
      </c>
      <c r="M440" s="164"/>
      <c r="N440" s="163">
        <v>8.452330542467278</v>
      </c>
      <c r="O440" s="164"/>
      <c r="P440" s="151"/>
      <c r="Q440" s="151"/>
      <c r="R440" s="151"/>
      <c r="S440" s="151"/>
      <c r="T440" s="151"/>
      <c r="U440" s="151"/>
      <c r="V440" s="151"/>
      <c r="W440" s="151"/>
      <c r="X440" s="151"/>
      <c r="Y440" s="151"/>
      <c r="Z440" s="151"/>
    </row>
    <row r="441" ht="12.75" customHeight="1">
      <c r="A441" s="151"/>
      <c r="B441" s="125" t="s">
        <v>942</v>
      </c>
      <c r="C441" s="126" t="s">
        <v>943</v>
      </c>
      <c r="D441" s="127" t="s">
        <v>142</v>
      </c>
      <c r="E441" s="151"/>
      <c r="F441" s="163">
        <v>15.14090820306988</v>
      </c>
      <c r="G441" s="164"/>
      <c r="H441" s="163">
        <v>13.955067312141097</v>
      </c>
      <c r="I441" s="164"/>
      <c r="J441" s="163">
        <v>14.081760000000001</v>
      </c>
      <c r="K441" s="164"/>
      <c r="L441" s="163">
        <v>13.955067312141097</v>
      </c>
      <c r="M441" s="164"/>
      <c r="N441" s="163">
        <v>13.955067312141097</v>
      </c>
      <c r="O441" s="164"/>
      <c r="P441" s="151"/>
      <c r="Q441" s="151"/>
      <c r="R441" s="151"/>
      <c r="S441" s="151"/>
      <c r="T441" s="151"/>
      <c r="U441" s="151"/>
      <c r="V441" s="151"/>
      <c r="W441" s="151"/>
      <c r="X441" s="151"/>
      <c r="Y441" s="151"/>
      <c r="Z441" s="151"/>
    </row>
    <row r="442" ht="12.75" customHeight="1">
      <c r="A442" s="151"/>
      <c r="B442" s="125" t="s">
        <v>944</v>
      </c>
      <c r="C442" s="126" t="s">
        <v>945</v>
      </c>
      <c r="D442" s="127" t="s">
        <v>946</v>
      </c>
      <c r="E442" s="151"/>
      <c r="F442" s="163">
        <v>6.7142</v>
      </c>
      <c r="G442" s="164"/>
      <c r="H442" s="163">
        <v>7.51885</v>
      </c>
      <c r="I442" s="164"/>
      <c r="J442" s="163">
        <v>8.3235</v>
      </c>
      <c r="K442" s="164"/>
      <c r="L442" s="163">
        <v>7.51885</v>
      </c>
      <c r="M442" s="164"/>
      <c r="N442" s="163">
        <v>7.51885</v>
      </c>
      <c r="O442" s="164"/>
      <c r="P442" s="151"/>
      <c r="Q442" s="151"/>
      <c r="R442" s="151"/>
      <c r="S442" s="151"/>
      <c r="T442" s="151"/>
      <c r="U442" s="151"/>
      <c r="V442" s="151"/>
      <c r="W442" s="151"/>
      <c r="X442" s="151"/>
      <c r="Y442" s="151"/>
      <c r="Z442" s="151"/>
    </row>
    <row r="443" ht="12.75" customHeight="1">
      <c r="A443" s="151"/>
      <c r="B443" s="125" t="s">
        <v>947</v>
      </c>
      <c r="C443" s="126" t="s">
        <v>948</v>
      </c>
      <c r="D443" s="127" t="s">
        <v>946</v>
      </c>
      <c r="E443" s="151"/>
      <c r="F443" s="163">
        <v>4.8950000000000005</v>
      </c>
      <c r="G443" s="164"/>
      <c r="H443" s="163">
        <v>4.8950000000000005</v>
      </c>
      <c r="I443" s="164"/>
      <c r="J443" s="163">
        <v>4.8950000000000005</v>
      </c>
      <c r="K443" s="164"/>
      <c r="L443" s="163">
        <v>4.8950000000000005</v>
      </c>
      <c r="M443" s="164"/>
      <c r="N443" s="163">
        <v>4.8950000000000005</v>
      </c>
      <c r="O443" s="164"/>
      <c r="P443" s="151"/>
      <c r="Q443" s="151"/>
      <c r="R443" s="151"/>
      <c r="S443" s="151"/>
      <c r="T443" s="151"/>
      <c r="U443" s="151"/>
      <c r="V443" s="151"/>
      <c r="W443" s="151"/>
      <c r="X443" s="151"/>
      <c r="Y443" s="151"/>
      <c r="Z443" s="151"/>
    </row>
    <row r="444" ht="12.75" customHeight="1">
      <c r="A444" s="151"/>
      <c r="B444" s="113" t="s">
        <v>949</v>
      </c>
      <c r="C444" s="114" t="s">
        <v>950</v>
      </c>
      <c r="D444" s="115"/>
      <c r="E444" s="151"/>
      <c r="F444" s="161"/>
      <c r="G444" s="162"/>
      <c r="H444" s="161"/>
      <c r="I444" s="162"/>
      <c r="J444" s="161"/>
      <c r="K444" s="162"/>
      <c r="L444" s="161"/>
      <c r="M444" s="162"/>
      <c r="N444" s="161"/>
      <c r="O444" s="162"/>
      <c r="P444" s="151"/>
      <c r="Q444" s="151"/>
      <c r="R444" s="151"/>
      <c r="S444" s="151"/>
      <c r="T444" s="151"/>
      <c r="U444" s="151"/>
      <c r="V444" s="151"/>
      <c r="W444" s="151"/>
      <c r="X444" s="151"/>
      <c r="Y444" s="151"/>
      <c r="Z444" s="151"/>
    </row>
    <row r="445" ht="12.75" customHeight="1">
      <c r="A445" s="151"/>
      <c r="B445" s="125" t="s">
        <v>951</v>
      </c>
      <c r="C445" s="126" t="s">
        <v>952</v>
      </c>
      <c r="D445" s="127" t="s">
        <v>142</v>
      </c>
      <c r="E445" s="151"/>
      <c r="F445" s="163">
        <v>366.6</v>
      </c>
      <c r="G445" s="164"/>
      <c r="H445" s="163">
        <v>380.088</v>
      </c>
      <c r="I445" s="164"/>
      <c r="J445" s="163">
        <v>393.576</v>
      </c>
      <c r="K445" s="164"/>
      <c r="L445" s="163">
        <v>380.088</v>
      </c>
      <c r="M445" s="164"/>
      <c r="N445" s="163">
        <v>380.088</v>
      </c>
      <c r="O445" s="164"/>
      <c r="P445" s="151"/>
      <c r="Q445" s="151"/>
      <c r="R445" s="151"/>
      <c r="S445" s="151"/>
      <c r="T445" s="151"/>
      <c r="U445" s="151"/>
      <c r="V445" s="151"/>
      <c r="W445" s="151"/>
      <c r="X445" s="151"/>
      <c r="Y445" s="151"/>
      <c r="Z445" s="151"/>
    </row>
    <row r="446" ht="12.75" customHeight="1">
      <c r="A446" s="151"/>
      <c r="B446" s="125" t="s">
        <v>953</v>
      </c>
      <c r="C446" s="126" t="s">
        <v>954</v>
      </c>
      <c r="D446" s="127" t="s">
        <v>142</v>
      </c>
      <c r="E446" s="151"/>
      <c r="F446" s="163">
        <v>260.0</v>
      </c>
      <c r="G446" s="164"/>
      <c r="H446" s="163">
        <v>236.45684799999998</v>
      </c>
      <c r="I446" s="164"/>
      <c r="J446" s="163">
        <v>212.913696</v>
      </c>
      <c r="K446" s="164"/>
      <c r="L446" s="163">
        <v>236.45684799999998</v>
      </c>
      <c r="M446" s="164"/>
      <c r="N446" s="163">
        <v>236.45684799999998</v>
      </c>
      <c r="O446" s="164"/>
      <c r="P446" s="151"/>
      <c r="Q446" s="151"/>
      <c r="R446" s="151"/>
      <c r="S446" s="151"/>
      <c r="T446" s="151"/>
      <c r="U446" s="151"/>
      <c r="V446" s="151"/>
      <c r="W446" s="151"/>
      <c r="X446" s="151"/>
      <c r="Y446" s="151"/>
      <c r="Z446" s="151"/>
    </row>
    <row r="447" ht="12.75" customHeight="1">
      <c r="A447" s="151"/>
      <c r="B447" s="125" t="s">
        <v>955</v>
      </c>
      <c r="C447" s="126" t="s">
        <v>956</v>
      </c>
      <c r="D447" s="127" t="s">
        <v>142</v>
      </c>
      <c r="E447" s="151"/>
      <c r="F447" s="163">
        <v>331.02</v>
      </c>
      <c r="G447" s="164"/>
      <c r="H447" s="163">
        <v>313.790679288</v>
      </c>
      <c r="I447" s="164"/>
      <c r="J447" s="163">
        <v>296.56135857600003</v>
      </c>
      <c r="K447" s="164"/>
      <c r="L447" s="163">
        <v>313.790679288</v>
      </c>
      <c r="M447" s="164"/>
      <c r="N447" s="163">
        <v>313.790679288</v>
      </c>
      <c r="O447" s="164"/>
      <c r="P447" s="151"/>
      <c r="Q447" s="151"/>
      <c r="R447" s="151"/>
      <c r="S447" s="151"/>
      <c r="T447" s="151"/>
      <c r="U447" s="151"/>
      <c r="V447" s="151"/>
      <c r="W447" s="151"/>
      <c r="X447" s="151"/>
      <c r="Y447" s="151"/>
      <c r="Z447" s="151"/>
    </row>
    <row r="448" ht="12.75" customHeight="1">
      <c r="A448" s="151"/>
      <c r="B448" s="125" t="s">
        <v>957</v>
      </c>
      <c r="C448" s="126" t="s">
        <v>958</v>
      </c>
      <c r="D448" s="127" t="s">
        <v>142</v>
      </c>
      <c r="E448" s="151"/>
      <c r="F448" s="163">
        <v>250.9</v>
      </c>
      <c r="G448" s="164"/>
      <c r="H448" s="163">
        <v>230.63432422399998</v>
      </c>
      <c r="I448" s="164"/>
      <c r="J448" s="163">
        <v>210.36864844799996</v>
      </c>
      <c r="K448" s="164"/>
      <c r="L448" s="163">
        <v>230.63432422399998</v>
      </c>
      <c r="M448" s="164"/>
      <c r="N448" s="163">
        <v>230.63432422399998</v>
      </c>
      <c r="O448" s="164"/>
      <c r="P448" s="151"/>
      <c r="Q448" s="151"/>
      <c r="R448" s="151"/>
      <c r="S448" s="151"/>
      <c r="T448" s="151"/>
      <c r="U448" s="151"/>
      <c r="V448" s="151"/>
      <c r="W448" s="151"/>
      <c r="X448" s="151"/>
      <c r="Y448" s="151"/>
      <c r="Z448" s="151"/>
    </row>
    <row r="449" ht="12.75" customHeight="1">
      <c r="A449" s="151"/>
      <c r="B449" s="125" t="s">
        <v>959</v>
      </c>
      <c r="C449" s="126" t="s">
        <v>960</v>
      </c>
      <c r="D449" s="127" t="s">
        <v>142</v>
      </c>
      <c r="E449" s="151"/>
      <c r="F449" s="163">
        <v>630.5</v>
      </c>
      <c r="G449" s="164"/>
      <c r="H449" s="163">
        <v>655.72</v>
      </c>
      <c r="I449" s="164"/>
      <c r="J449" s="163">
        <v>680.94</v>
      </c>
      <c r="K449" s="164"/>
      <c r="L449" s="163">
        <v>655.72</v>
      </c>
      <c r="M449" s="164"/>
      <c r="N449" s="163">
        <v>655.72</v>
      </c>
      <c r="O449" s="164"/>
      <c r="P449" s="151"/>
      <c r="Q449" s="151"/>
      <c r="R449" s="151"/>
      <c r="S449" s="151"/>
      <c r="T449" s="151"/>
      <c r="U449" s="151"/>
      <c r="V449" s="151"/>
      <c r="W449" s="151"/>
      <c r="X449" s="151"/>
      <c r="Y449" s="151"/>
      <c r="Z449" s="151"/>
    </row>
    <row r="450" ht="12.75" customHeight="1">
      <c r="A450" s="151"/>
      <c r="B450" s="125" t="s">
        <v>961</v>
      </c>
      <c r="C450" s="126" t="s">
        <v>962</v>
      </c>
      <c r="D450" s="127" t="s">
        <v>142</v>
      </c>
      <c r="E450" s="151"/>
      <c r="F450" s="163">
        <v>136.5</v>
      </c>
      <c r="G450" s="164"/>
      <c r="H450" s="163">
        <v>141.96</v>
      </c>
      <c r="I450" s="164"/>
      <c r="J450" s="163">
        <v>147.42000000000002</v>
      </c>
      <c r="K450" s="164"/>
      <c r="L450" s="163">
        <v>141.96</v>
      </c>
      <c r="M450" s="164"/>
      <c r="N450" s="163">
        <v>141.96</v>
      </c>
      <c r="O450" s="164"/>
      <c r="P450" s="151"/>
      <c r="Q450" s="151"/>
      <c r="R450" s="151"/>
      <c r="S450" s="151"/>
      <c r="T450" s="151"/>
      <c r="U450" s="151"/>
      <c r="V450" s="151"/>
      <c r="W450" s="151"/>
      <c r="X450" s="151"/>
      <c r="Y450" s="151"/>
      <c r="Z450" s="151"/>
    </row>
    <row r="451" ht="12.75" customHeight="1">
      <c r="A451" s="151"/>
      <c r="B451" s="125" t="s">
        <v>963</v>
      </c>
      <c r="C451" s="126" t="s">
        <v>964</v>
      </c>
      <c r="D451" s="127" t="s">
        <v>180</v>
      </c>
      <c r="E451" s="151"/>
      <c r="F451" s="163">
        <v>53.3</v>
      </c>
      <c r="G451" s="164"/>
      <c r="H451" s="163">
        <v>55.432</v>
      </c>
      <c r="I451" s="164"/>
      <c r="J451" s="163">
        <v>57.564</v>
      </c>
      <c r="K451" s="164"/>
      <c r="L451" s="163">
        <v>55.432</v>
      </c>
      <c r="M451" s="164"/>
      <c r="N451" s="163">
        <v>55.432</v>
      </c>
      <c r="O451" s="164"/>
      <c r="P451" s="151"/>
      <c r="Q451" s="151"/>
      <c r="R451" s="151"/>
      <c r="S451" s="151"/>
      <c r="T451" s="151"/>
      <c r="U451" s="151"/>
      <c r="V451" s="151"/>
      <c r="W451" s="151"/>
      <c r="X451" s="151"/>
      <c r="Y451" s="151"/>
      <c r="Z451" s="151"/>
    </row>
    <row r="452" ht="12.75" customHeight="1">
      <c r="A452" s="151"/>
      <c r="B452" s="125" t="s">
        <v>965</v>
      </c>
      <c r="C452" s="126" t="s">
        <v>966</v>
      </c>
      <c r="D452" s="127" t="s">
        <v>142</v>
      </c>
      <c r="E452" s="151"/>
      <c r="F452" s="163">
        <v>4987.5526315789475</v>
      </c>
      <c r="G452" s="164"/>
      <c r="H452" s="163">
        <v>5087.243722319474</v>
      </c>
      <c r="I452" s="164"/>
      <c r="J452" s="163">
        <v>5186.934813059999</v>
      </c>
      <c r="K452" s="164"/>
      <c r="L452" s="163">
        <v>5087.243722319474</v>
      </c>
      <c r="M452" s="164"/>
      <c r="N452" s="163">
        <v>5087.243722319474</v>
      </c>
      <c r="O452" s="164"/>
      <c r="P452" s="151"/>
      <c r="Q452" s="151"/>
      <c r="R452" s="151"/>
      <c r="S452" s="151"/>
      <c r="T452" s="151"/>
      <c r="U452" s="151"/>
      <c r="V452" s="151"/>
      <c r="W452" s="151"/>
      <c r="X452" s="151"/>
      <c r="Y452" s="151"/>
      <c r="Z452" s="151"/>
    </row>
    <row r="453" ht="12.75" customHeight="1">
      <c r="A453" s="151"/>
      <c r="B453" s="125" t="s">
        <v>967</v>
      </c>
      <c r="C453" s="126" t="s">
        <v>968</v>
      </c>
      <c r="D453" s="127" t="s">
        <v>142</v>
      </c>
      <c r="E453" s="151"/>
      <c r="F453" s="163">
        <v>5180.92</v>
      </c>
      <c r="G453" s="164"/>
      <c r="H453" s="163">
        <v>5284.907305549999</v>
      </c>
      <c r="I453" s="164"/>
      <c r="J453" s="163">
        <v>5388.8946111</v>
      </c>
      <c r="K453" s="164"/>
      <c r="L453" s="163">
        <v>5284.907305549999</v>
      </c>
      <c r="M453" s="164"/>
      <c r="N453" s="163">
        <v>5284.907305549999</v>
      </c>
      <c r="O453" s="164"/>
      <c r="P453" s="151"/>
      <c r="Q453" s="151"/>
      <c r="R453" s="151"/>
      <c r="S453" s="151"/>
      <c r="T453" s="151"/>
      <c r="U453" s="151"/>
      <c r="V453" s="151"/>
      <c r="W453" s="151"/>
      <c r="X453" s="151"/>
      <c r="Y453" s="151"/>
      <c r="Z453" s="151"/>
    </row>
    <row r="454" ht="12.75" customHeight="1">
      <c r="A454" s="151"/>
      <c r="B454" s="125" t="s">
        <v>969</v>
      </c>
      <c r="C454" s="126" t="s">
        <v>970</v>
      </c>
      <c r="D454" s="127" t="s">
        <v>142</v>
      </c>
      <c r="E454" s="151"/>
      <c r="F454" s="163">
        <v>431.0</v>
      </c>
      <c r="G454" s="164"/>
      <c r="H454" s="163">
        <v>448.24</v>
      </c>
      <c r="I454" s="164"/>
      <c r="J454" s="163">
        <v>465.48</v>
      </c>
      <c r="K454" s="164"/>
      <c r="L454" s="163">
        <v>448.24</v>
      </c>
      <c r="M454" s="164"/>
      <c r="N454" s="163">
        <v>448.24</v>
      </c>
      <c r="O454" s="164"/>
      <c r="P454" s="151"/>
      <c r="Q454" s="151"/>
      <c r="R454" s="151"/>
      <c r="S454" s="151"/>
      <c r="T454" s="151"/>
      <c r="U454" s="151"/>
      <c r="V454" s="151"/>
      <c r="W454" s="151"/>
      <c r="X454" s="151"/>
      <c r="Y454" s="151"/>
      <c r="Z454" s="151"/>
    </row>
    <row r="455" ht="12.75" customHeight="1">
      <c r="A455" s="151"/>
      <c r="B455" s="125" t="s">
        <v>971</v>
      </c>
      <c r="C455" s="126" t="s">
        <v>972</v>
      </c>
      <c r="D455" s="127" t="s">
        <v>142</v>
      </c>
      <c r="E455" s="151"/>
      <c r="F455" s="163">
        <v>2168.7</v>
      </c>
      <c r="G455" s="164"/>
      <c r="H455" s="163">
        <v>2255.448</v>
      </c>
      <c r="I455" s="164"/>
      <c r="J455" s="163">
        <v>2342.196</v>
      </c>
      <c r="K455" s="164"/>
      <c r="L455" s="163">
        <v>2255.448</v>
      </c>
      <c r="M455" s="164"/>
      <c r="N455" s="163">
        <v>2255.448</v>
      </c>
      <c r="O455" s="164"/>
      <c r="P455" s="151"/>
      <c r="Q455" s="151"/>
      <c r="R455" s="151"/>
      <c r="S455" s="151"/>
      <c r="T455" s="151"/>
      <c r="U455" s="151"/>
      <c r="V455" s="151"/>
      <c r="W455" s="151"/>
      <c r="X455" s="151"/>
      <c r="Y455" s="151"/>
      <c r="Z455" s="151"/>
    </row>
    <row r="456" ht="12.75" customHeight="1">
      <c r="A456" s="151"/>
      <c r="B456" s="125" t="s">
        <v>973</v>
      </c>
      <c r="C456" s="126" t="s">
        <v>974</v>
      </c>
      <c r="D456" s="127" t="s">
        <v>142</v>
      </c>
      <c r="E456" s="151"/>
      <c r="F456" s="163">
        <v>2303.9</v>
      </c>
      <c r="G456" s="164"/>
      <c r="H456" s="163">
        <v>2396.0560000000005</v>
      </c>
      <c r="I456" s="164"/>
      <c r="J456" s="163">
        <v>2488.2120000000004</v>
      </c>
      <c r="K456" s="164"/>
      <c r="L456" s="163">
        <v>2396.0560000000005</v>
      </c>
      <c r="M456" s="164"/>
      <c r="N456" s="163">
        <v>2396.0560000000005</v>
      </c>
      <c r="O456" s="164"/>
      <c r="P456" s="151"/>
      <c r="Q456" s="151"/>
      <c r="R456" s="151"/>
      <c r="S456" s="151"/>
      <c r="T456" s="151"/>
      <c r="U456" s="151"/>
      <c r="V456" s="151"/>
      <c r="W456" s="151"/>
      <c r="X456" s="151"/>
      <c r="Y456" s="151"/>
      <c r="Z456" s="151"/>
    </row>
    <row r="457" ht="12.75" customHeight="1">
      <c r="A457" s="151"/>
      <c r="B457" s="125" t="s">
        <v>975</v>
      </c>
      <c r="C457" s="126" t="s">
        <v>976</v>
      </c>
      <c r="D457" s="127" t="s">
        <v>142</v>
      </c>
      <c r="E457" s="151"/>
      <c r="F457" s="163">
        <v>2569.471350174866</v>
      </c>
      <c r="G457" s="164"/>
      <c r="H457" s="163">
        <v>2672.250204181861</v>
      </c>
      <c r="I457" s="164"/>
      <c r="J457" s="163">
        <v>2775.0290581888553</v>
      </c>
      <c r="K457" s="164"/>
      <c r="L457" s="163">
        <v>2672.250204181861</v>
      </c>
      <c r="M457" s="164"/>
      <c r="N457" s="163">
        <v>2672.250204181861</v>
      </c>
      <c r="O457" s="164"/>
      <c r="P457" s="151"/>
      <c r="Q457" s="151"/>
      <c r="R457" s="151"/>
      <c r="S457" s="151"/>
      <c r="T457" s="151"/>
      <c r="U457" s="151"/>
      <c r="V457" s="151"/>
      <c r="W457" s="151"/>
      <c r="X457" s="151"/>
      <c r="Y457" s="151"/>
      <c r="Z457" s="151"/>
    </row>
    <row r="458" ht="12.75" customHeight="1">
      <c r="A458" s="151"/>
      <c r="B458" s="125" t="s">
        <v>977</v>
      </c>
      <c r="C458" s="126" t="s">
        <v>978</v>
      </c>
      <c r="D458" s="127" t="s">
        <v>142</v>
      </c>
      <c r="E458" s="151"/>
      <c r="F458" s="163">
        <v>2750.0</v>
      </c>
      <c r="G458" s="164"/>
      <c r="H458" s="163">
        <v>2881.6000000000004</v>
      </c>
      <c r="I458" s="164"/>
      <c r="J458" s="163">
        <v>3013.2000000000003</v>
      </c>
      <c r="K458" s="164"/>
      <c r="L458" s="163">
        <v>2881.6000000000004</v>
      </c>
      <c r="M458" s="164"/>
      <c r="N458" s="163">
        <v>2881.6000000000004</v>
      </c>
      <c r="O458" s="164"/>
      <c r="P458" s="151"/>
      <c r="Q458" s="151"/>
      <c r="R458" s="151"/>
      <c r="S458" s="151"/>
      <c r="T458" s="151"/>
      <c r="U458" s="151"/>
      <c r="V458" s="151"/>
      <c r="W458" s="151"/>
      <c r="X458" s="151"/>
      <c r="Y458" s="151"/>
      <c r="Z458" s="151"/>
    </row>
    <row r="459" ht="12.75" customHeight="1">
      <c r="A459" s="151"/>
      <c r="B459" s="125" t="s">
        <v>979</v>
      </c>
      <c r="C459" s="126" t="s">
        <v>980</v>
      </c>
      <c r="D459" s="127" t="s">
        <v>142</v>
      </c>
      <c r="E459" s="151"/>
      <c r="F459" s="163">
        <v>360.52013</v>
      </c>
      <c r="G459" s="164"/>
      <c r="H459" s="163">
        <v>374.9409352</v>
      </c>
      <c r="I459" s="164"/>
      <c r="J459" s="163">
        <v>389.36174040000003</v>
      </c>
      <c r="K459" s="164"/>
      <c r="L459" s="163">
        <v>374.9409352</v>
      </c>
      <c r="M459" s="164"/>
      <c r="N459" s="163">
        <v>374.9409352</v>
      </c>
      <c r="O459" s="164"/>
      <c r="P459" s="151"/>
      <c r="Q459" s="151"/>
      <c r="R459" s="151"/>
      <c r="S459" s="151"/>
      <c r="T459" s="151"/>
      <c r="U459" s="151"/>
      <c r="V459" s="151"/>
      <c r="W459" s="151"/>
      <c r="X459" s="151"/>
      <c r="Y459" s="151"/>
      <c r="Z459" s="151"/>
    </row>
    <row r="460" ht="12.75" customHeight="1">
      <c r="A460" s="151"/>
      <c r="B460" s="125" t="s">
        <v>981</v>
      </c>
      <c r="C460" s="126" t="s">
        <v>982</v>
      </c>
      <c r="D460" s="127" t="s">
        <v>142</v>
      </c>
      <c r="E460" s="151"/>
      <c r="F460" s="163">
        <v>299.85477807597056</v>
      </c>
      <c r="G460" s="164"/>
      <c r="H460" s="163">
        <v>271.3505650379853</v>
      </c>
      <c r="I460" s="164"/>
      <c r="J460" s="163">
        <v>242.846352</v>
      </c>
      <c r="K460" s="164"/>
      <c r="L460" s="163">
        <v>271.3505650379853</v>
      </c>
      <c r="M460" s="164"/>
      <c r="N460" s="163">
        <v>271.3505650379853</v>
      </c>
      <c r="O460" s="164"/>
      <c r="P460" s="151"/>
      <c r="Q460" s="151"/>
      <c r="R460" s="151"/>
      <c r="S460" s="151"/>
      <c r="T460" s="151"/>
      <c r="U460" s="151"/>
      <c r="V460" s="151"/>
      <c r="W460" s="151"/>
      <c r="X460" s="151"/>
      <c r="Y460" s="151"/>
      <c r="Z460" s="151"/>
    </row>
    <row r="461" ht="12.75" customHeight="1">
      <c r="A461" s="151"/>
      <c r="B461" s="125" t="s">
        <v>983</v>
      </c>
      <c r="C461" s="126" t="s">
        <v>984</v>
      </c>
      <c r="D461" s="127" t="s">
        <v>142</v>
      </c>
      <c r="E461" s="151"/>
      <c r="F461" s="163">
        <v>315.0</v>
      </c>
      <c r="G461" s="164"/>
      <c r="H461" s="163">
        <v>277.9547886717445</v>
      </c>
      <c r="I461" s="164"/>
      <c r="J461" s="163">
        <v>240.90957734348893</v>
      </c>
      <c r="K461" s="164"/>
      <c r="L461" s="163">
        <v>277.9547886717445</v>
      </c>
      <c r="M461" s="164"/>
      <c r="N461" s="163">
        <v>277.9547886717445</v>
      </c>
      <c r="O461" s="164"/>
      <c r="P461" s="151"/>
      <c r="Q461" s="151"/>
      <c r="R461" s="151"/>
      <c r="S461" s="151"/>
      <c r="T461" s="151"/>
      <c r="U461" s="151"/>
      <c r="V461" s="151"/>
      <c r="W461" s="151"/>
      <c r="X461" s="151"/>
      <c r="Y461" s="151"/>
      <c r="Z461" s="151"/>
    </row>
    <row r="462" ht="12.75" customHeight="1">
      <c r="A462" s="151"/>
      <c r="B462" s="125" t="s">
        <v>985</v>
      </c>
      <c r="C462" s="126" t="s">
        <v>986</v>
      </c>
      <c r="D462" s="127" t="s">
        <v>142</v>
      </c>
      <c r="E462" s="151"/>
      <c r="F462" s="163">
        <v>315.0</v>
      </c>
      <c r="G462" s="164"/>
      <c r="H462" s="163">
        <v>277.9547886717445</v>
      </c>
      <c r="I462" s="164"/>
      <c r="J462" s="163">
        <v>240.90957734348893</v>
      </c>
      <c r="K462" s="164"/>
      <c r="L462" s="163">
        <v>277.9547886717445</v>
      </c>
      <c r="M462" s="164"/>
      <c r="N462" s="163">
        <v>277.9547886717445</v>
      </c>
      <c r="O462" s="164"/>
      <c r="P462" s="151"/>
      <c r="Q462" s="151"/>
      <c r="R462" s="151"/>
      <c r="S462" s="151"/>
      <c r="T462" s="151"/>
      <c r="U462" s="151"/>
      <c r="V462" s="151"/>
      <c r="W462" s="151"/>
      <c r="X462" s="151"/>
      <c r="Y462" s="151"/>
      <c r="Z462" s="151"/>
    </row>
    <row r="463" ht="12.75" customHeight="1">
      <c r="A463" s="151"/>
      <c r="B463" s="125" t="s">
        <v>987</v>
      </c>
      <c r="C463" s="126" t="s">
        <v>988</v>
      </c>
      <c r="D463" s="127" t="s">
        <v>142</v>
      </c>
      <c r="E463" s="151"/>
      <c r="F463" s="163">
        <v>315.0</v>
      </c>
      <c r="G463" s="164"/>
      <c r="H463" s="163">
        <v>277.9547886717445</v>
      </c>
      <c r="I463" s="164"/>
      <c r="J463" s="163">
        <v>240.90957734348893</v>
      </c>
      <c r="K463" s="164"/>
      <c r="L463" s="163">
        <v>277.9547886717445</v>
      </c>
      <c r="M463" s="164"/>
      <c r="N463" s="163">
        <v>277.9547886717445</v>
      </c>
      <c r="O463" s="164"/>
      <c r="P463" s="151"/>
      <c r="Q463" s="151"/>
      <c r="R463" s="151"/>
      <c r="S463" s="151"/>
      <c r="T463" s="151"/>
      <c r="U463" s="151"/>
      <c r="V463" s="151"/>
      <c r="W463" s="151"/>
      <c r="X463" s="151"/>
      <c r="Y463" s="151"/>
      <c r="Z463" s="151"/>
    </row>
    <row r="464" ht="12.75" customHeight="1">
      <c r="A464" s="151"/>
      <c r="B464" s="125" t="s">
        <v>989</v>
      </c>
      <c r="C464" s="126" t="s">
        <v>990</v>
      </c>
      <c r="D464" s="127" t="s">
        <v>142</v>
      </c>
      <c r="E464" s="151"/>
      <c r="F464" s="163">
        <v>315.0</v>
      </c>
      <c r="G464" s="164"/>
      <c r="H464" s="163">
        <v>277.9547886717445</v>
      </c>
      <c r="I464" s="164"/>
      <c r="J464" s="163">
        <v>240.90957734348893</v>
      </c>
      <c r="K464" s="164"/>
      <c r="L464" s="163">
        <v>277.9547886717445</v>
      </c>
      <c r="M464" s="164"/>
      <c r="N464" s="163">
        <v>277.9547886717445</v>
      </c>
      <c r="O464" s="164"/>
      <c r="P464" s="151"/>
      <c r="Q464" s="151"/>
      <c r="R464" s="151"/>
      <c r="S464" s="151"/>
      <c r="T464" s="151"/>
      <c r="U464" s="151"/>
      <c r="V464" s="151"/>
      <c r="W464" s="151"/>
      <c r="X464" s="151"/>
      <c r="Y464" s="151"/>
      <c r="Z464" s="151"/>
    </row>
    <row r="465" ht="12.75" customHeight="1">
      <c r="A465" s="151"/>
      <c r="B465" s="125" t="s">
        <v>991</v>
      </c>
      <c r="C465" s="126" t="s">
        <v>992</v>
      </c>
      <c r="D465" s="127" t="s">
        <v>142</v>
      </c>
      <c r="E465" s="151"/>
      <c r="F465" s="163">
        <v>214.54342105263157</v>
      </c>
      <c r="G465" s="164"/>
      <c r="H465" s="163">
        <v>198.18775580836544</v>
      </c>
      <c r="I465" s="164"/>
      <c r="J465" s="163">
        <v>181.8320905640993</v>
      </c>
      <c r="K465" s="164"/>
      <c r="L465" s="163">
        <v>198.18775580836544</v>
      </c>
      <c r="M465" s="164"/>
      <c r="N465" s="163">
        <v>198.18775580836544</v>
      </c>
      <c r="O465" s="164"/>
      <c r="P465" s="151"/>
      <c r="Q465" s="151"/>
      <c r="R465" s="151"/>
      <c r="S465" s="151"/>
      <c r="T465" s="151"/>
      <c r="U465" s="151"/>
      <c r="V465" s="151"/>
      <c r="W465" s="151"/>
      <c r="X465" s="151"/>
      <c r="Y465" s="151"/>
      <c r="Z465" s="151"/>
    </row>
    <row r="466" ht="12.75" customHeight="1">
      <c r="A466" s="151"/>
      <c r="B466" s="125" t="s">
        <v>993</v>
      </c>
      <c r="C466" s="126" t="s">
        <v>994</v>
      </c>
      <c r="D466" s="127" t="s">
        <v>142</v>
      </c>
      <c r="E466" s="151"/>
      <c r="F466" s="163">
        <v>210.0</v>
      </c>
      <c r="G466" s="164"/>
      <c r="H466" s="163">
        <v>183.4993921807599</v>
      </c>
      <c r="I466" s="164"/>
      <c r="J466" s="163">
        <v>197.47825</v>
      </c>
      <c r="K466" s="164"/>
      <c r="L466" s="163">
        <v>183.4993921807599</v>
      </c>
      <c r="M466" s="164"/>
      <c r="N466" s="163">
        <v>183.4993921807599</v>
      </c>
      <c r="O466" s="164"/>
      <c r="P466" s="151"/>
      <c r="Q466" s="151"/>
      <c r="R466" s="151"/>
      <c r="S466" s="151"/>
      <c r="T466" s="151"/>
      <c r="U466" s="151"/>
      <c r="V466" s="151"/>
      <c r="W466" s="151"/>
      <c r="X466" s="151"/>
      <c r="Y466" s="151"/>
      <c r="Z466" s="151"/>
    </row>
    <row r="467" ht="12.75" customHeight="1">
      <c r="A467" s="151"/>
      <c r="B467" s="125" t="s">
        <v>995</v>
      </c>
      <c r="C467" s="126" t="s">
        <v>996</v>
      </c>
      <c r="D467" s="127" t="s">
        <v>142</v>
      </c>
      <c r="E467" s="151"/>
      <c r="F467" s="163">
        <v>196.132</v>
      </c>
      <c r="G467" s="164"/>
      <c r="H467" s="163">
        <v>196.132</v>
      </c>
      <c r="I467" s="164"/>
      <c r="J467" s="163">
        <v>196.132</v>
      </c>
      <c r="K467" s="164"/>
      <c r="L467" s="163">
        <v>196.132</v>
      </c>
      <c r="M467" s="164"/>
      <c r="N467" s="163">
        <v>196.132</v>
      </c>
      <c r="O467" s="164"/>
      <c r="P467" s="151"/>
      <c r="Q467" s="151"/>
      <c r="R467" s="151"/>
      <c r="S467" s="151"/>
      <c r="T467" s="151"/>
      <c r="U467" s="151"/>
      <c r="V467" s="151"/>
      <c r="W467" s="151"/>
      <c r="X467" s="151"/>
      <c r="Y467" s="151"/>
      <c r="Z467" s="151"/>
    </row>
    <row r="468" ht="12.75" customHeight="1">
      <c r="A468" s="151"/>
      <c r="B468" s="125" t="s">
        <v>997</v>
      </c>
      <c r="C468" s="126" t="s">
        <v>998</v>
      </c>
      <c r="D468" s="127" t="s">
        <v>142</v>
      </c>
      <c r="E468" s="151"/>
      <c r="F468" s="163">
        <v>216.0132738609011</v>
      </c>
      <c r="G468" s="164"/>
      <c r="H468" s="163">
        <v>216.01450164156168</v>
      </c>
      <c r="I468" s="164"/>
      <c r="J468" s="163">
        <v>216.01572942222225</v>
      </c>
      <c r="K468" s="164"/>
      <c r="L468" s="163">
        <v>216.01450164156168</v>
      </c>
      <c r="M468" s="164"/>
      <c r="N468" s="163">
        <v>216.01450164156168</v>
      </c>
      <c r="O468" s="164"/>
      <c r="P468" s="151"/>
      <c r="Q468" s="151"/>
      <c r="R468" s="151"/>
      <c r="S468" s="151"/>
      <c r="T468" s="151"/>
      <c r="U468" s="151"/>
      <c r="V468" s="151"/>
      <c r="W468" s="151"/>
      <c r="X468" s="151"/>
      <c r="Y468" s="151"/>
      <c r="Z468" s="151"/>
    </row>
    <row r="469" ht="12.75" customHeight="1">
      <c r="A469" s="151"/>
      <c r="B469" s="125" t="s">
        <v>999</v>
      </c>
      <c r="C469" s="126" t="s">
        <v>1000</v>
      </c>
      <c r="D469" s="127" t="s">
        <v>142</v>
      </c>
      <c r="E469" s="151"/>
      <c r="F469" s="163">
        <v>175.938</v>
      </c>
      <c r="G469" s="164"/>
      <c r="H469" s="163">
        <v>175.939</v>
      </c>
      <c r="I469" s="164"/>
      <c r="J469" s="163">
        <v>175.94</v>
      </c>
      <c r="K469" s="164"/>
      <c r="L469" s="163">
        <v>175.939</v>
      </c>
      <c r="M469" s="164"/>
      <c r="N469" s="163">
        <v>175.939</v>
      </c>
      <c r="O469" s="164"/>
      <c r="P469" s="151"/>
      <c r="Q469" s="151"/>
      <c r="R469" s="151"/>
      <c r="S469" s="151"/>
      <c r="T469" s="151"/>
      <c r="U469" s="151"/>
      <c r="V469" s="151"/>
      <c r="W469" s="151"/>
      <c r="X469" s="151"/>
      <c r="Y469" s="151"/>
      <c r="Z469" s="151"/>
    </row>
    <row r="470" ht="12.75" customHeight="1">
      <c r="A470" s="151"/>
      <c r="B470" s="125" t="s">
        <v>1001</v>
      </c>
      <c r="C470" s="126" t="s">
        <v>1002</v>
      </c>
      <c r="D470" s="127" t="s">
        <v>911</v>
      </c>
      <c r="E470" s="151"/>
      <c r="F470" s="163">
        <v>40.60336538461539</v>
      </c>
      <c r="G470" s="164"/>
      <c r="H470" s="163">
        <v>41.4154326923077</v>
      </c>
      <c r="I470" s="164"/>
      <c r="J470" s="163">
        <v>42.2275</v>
      </c>
      <c r="K470" s="164"/>
      <c r="L470" s="163">
        <v>41.4154326923077</v>
      </c>
      <c r="M470" s="164"/>
      <c r="N470" s="163">
        <v>41.4154326923077</v>
      </c>
      <c r="O470" s="164"/>
      <c r="P470" s="151"/>
      <c r="Q470" s="151"/>
      <c r="R470" s="151"/>
      <c r="S470" s="151"/>
      <c r="T470" s="151"/>
      <c r="U470" s="151"/>
      <c r="V470" s="151"/>
      <c r="W470" s="151"/>
      <c r="X470" s="151"/>
      <c r="Y470" s="151"/>
      <c r="Z470" s="151"/>
    </row>
    <row r="471" ht="12.75" customHeight="1">
      <c r="A471" s="151"/>
      <c r="B471" s="125" t="s">
        <v>1003</v>
      </c>
      <c r="C471" s="126" t="s">
        <v>1004</v>
      </c>
      <c r="D471" s="127" t="s">
        <v>911</v>
      </c>
      <c r="E471" s="151"/>
      <c r="F471" s="163">
        <v>38.38863636363635</v>
      </c>
      <c r="G471" s="164"/>
      <c r="H471" s="163">
        <v>40.30806818181817</v>
      </c>
      <c r="I471" s="164"/>
      <c r="J471" s="163">
        <v>42.2275</v>
      </c>
      <c r="K471" s="164"/>
      <c r="L471" s="163">
        <v>40.30806818181817</v>
      </c>
      <c r="M471" s="164"/>
      <c r="N471" s="163">
        <v>40.30806818181817</v>
      </c>
      <c r="O471" s="164"/>
      <c r="P471" s="151"/>
      <c r="Q471" s="151"/>
      <c r="R471" s="151"/>
      <c r="S471" s="151"/>
      <c r="T471" s="151"/>
      <c r="U471" s="151"/>
      <c r="V471" s="151"/>
      <c r="W471" s="151"/>
      <c r="X471" s="151"/>
      <c r="Y471" s="151"/>
      <c r="Z471" s="151"/>
    </row>
    <row r="472" ht="12.75" customHeight="1">
      <c r="A472" s="151"/>
      <c r="B472" s="125" t="s">
        <v>1005</v>
      </c>
      <c r="C472" s="126" t="s">
        <v>1006</v>
      </c>
      <c r="D472" s="127" t="s">
        <v>142</v>
      </c>
      <c r="E472" s="151"/>
      <c r="F472" s="163">
        <v>42.0</v>
      </c>
      <c r="G472" s="164"/>
      <c r="H472" s="163">
        <v>43.68</v>
      </c>
      <c r="I472" s="164"/>
      <c r="J472" s="163">
        <v>45.36</v>
      </c>
      <c r="K472" s="164"/>
      <c r="L472" s="163">
        <v>43.68</v>
      </c>
      <c r="M472" s="164"/>
      <c r="N472" s="163">
        <v>43.68</v>
      </c>
      <c r="O472" s="164"/>
      <c r="P472" s="151"/>
      <c r="Q472" s="151"/>
      <c r="R472" s="151"/>
      <c r="S472" s="151"/>
      <c r="T472" s="151"/>
      <c r="U472" s="151"/>
      <c r="V472" s="151"/>
      <c r="W472" s="151"/>
      <c r="X472" s="151"/>
      <c r="Y472" s="151"/>
      <c r="Z472" s="151"/>
    </row>
    <row r="473" ht="12.75" customHeight="1">
      <c r="A473" s="151"/>
      <c r="B473" s="125" t="s">
        <v>1007</v>
      </c>
      <c r="C473" s="126" t="s">
        <v>1008</v>
      </c>
      <c r="D473" s="127" t="s">
        <v>142</v>
      </c>
      <c r="E473" s="151"/>
      <c r="F473" s="163">
        <v>32.0</v>
      </c>
      <c r="G473" s="164"/>
      <c r="H473" s="163">
        <v>33.28</v>
      </c>
      <c r="I473" s="164"/>
      <c r="J473" s="163">
        <v>34.56</v>
      </c>
      <c r="K473" s="164"/>
      <c r="L473" s="163">
        <v>33.28</v>
      </c>
      <c r="M473" s="164"/>
      <c r="N473" s="163">
        <v>33.28</v>
      </c>
      <c r="O473" s="164"/>
      <c r="P473" s="151"/>
      <c r="Q473" s="151"/>
      <c r="R473" s="151"/>
      <c r="S473" s="151"/>
      <c r="T473" s="151"/>
      <c r="U473" s="151"/>
      <c r="V473" s="151"/>
      <c r="W473" s="151"/>
      <c r="X473" s="151"/>
      <c r="Y473" s="151"/>
      <c r="Z473" s="151"/>
    </row>
    <row r="474" ht="12.75" customHeight="1">
      <c r="A474" s="151"/>
      <c r="B474" s="125" t="s">
        <v>1009</v>
      </c>
      <c r="C474" s="126" t="s">
        <v>1010</v>
      </c>
      <c r="D474" s="127" t="s">
        <v>911</v>
      </c>
      <c r="E474" s="151"/>
      <c r="F474" s="163">
        <v>22.9</v>
      </c>
      <c r="G474" s="164"/>
      <c r="H474" s="163">
        <v>24.045</v>
      </c>
      <c r="I474" s="164"/>
      <c r="J474" s="163">
        <v>25.19</v>
      </c>
      <c r="K474" s="164"/>
      <c r="L474" s="163">
        <v>24.045</v>
      </c>
      <c r="M474" s="164"/>
      <c r="N474" s="163">
        <v>24.045</v>
      </c>
      <c r="O474" s="164"/>
      <c r="P474" s="151"/>
      <c r="Q474" s="151"/>
      <c r="R474" s="151"/>
      <c r="S474" s="151"/>
      <c r="T474" s="151"/>
      <c r="U474" s="151"/>
      <c r="V474" s="151"/>
      <c r="W474" s="151"/>
      <c r="X474" s="151"/>
      <c r="Y474" s="151"/>
      <c r="Z474" s="151"/>
    </row>
    <row r="475" ht="12.75" customHeight="1">
      <c r="A475" s="151"/>
      <c r="B475" s="125" t="s">
        <v>1011</v>
      </c>
      <c r="C475" s="126" t="s">
        <v>1012</v>
      </c>
      <c r="D475" s="127" t="s">
        <v>911</v>
      </c>
      <c r="E475" s="151"/>
      <c r="F475" s="163">
        <v>34.5</v>
      </c>
      <c r="G475" s="164"/>
      <c r="H475" s="163">
        <v>36.225</v>
      </c>
      <c r="I475" s="164"/>
      <c r="J475" s="163">
        <v>37.95</v>
      </c>
      <c r="K475" s="164"/>
      <c r="L475" s="163">
        <v>36.225</v>
      </c>
      <c r="M475" s="164"/>
      <c r="N475" s="163">
        <v>36.225</v>
      </c>
      <c r="O475" s="164"/>
      <c r="P475" s="151"/>
      <c r="Q475" s="151"/>
      <c r="R475" s="151"/>
      <c r="S475" s="151"/>
      <c r="T475" s="151"/>
      <c r="U475" s="151"/>
      <c r="V475" s="151"/>
      <c r="W475" s="151"/>
      <c r="X475" s="151"/>
      <c r="Y475" s="151"/>
      <c r="Z475" s="151"/>
    </row>
    <row r="476" ht="12.75" customHeight="1">
      <c r="A476" s="151"/>
      <c r="B476" s="125" t="s">
        <v>1013</v>
      </c>
      <c r="C476" s="126" t="s">
        <v>1014</v>
      </c>
      <c r="D476" s="127" t="s">
        <v>911</v>
      </c>
      <c r="E476" s="151"/>
      <c r="F476" s="163">
        <v>35.0</v>
      </c>
      <c r="G476" s="164"/>
      <c r="H476" s="163">
        <v>36.75</v>
      </c>
      <c r="I476" s="164"/>
      <c r="J476" s="163">
        <v>38.5</v>
      </c>
      <c r="K476" s="164"/>
      <c r="L476" s="163">
        <v>36.75</v>
      </c>
      <c r="M476" s="164"/>
      <c r="N476" s="163">
        <v>36.75</v>
      </c>
      <c r="O476" s="164"/>
      <c r="P476" s="151"/>
      <c r="Q476" s="151"/>
      <c r="R476" s="151"/>
      <c r="S476" s="151"/>
      <c r="T476" s="151"/>
      <c r="U476" s="151"/>
      <c r="V476" s="151"/>
      <c r="W476" s="151"/>
      <c r="X476" s="151"/>
      <c r="Y476" s="151"/>
      <c r="Z476" s="151"/>
    </row>
    <row r="477" ht="12.75" customHeight="1">
      <c r="A477" s="151"/>
      <c r="B477" s="125" t="s">
        <v>1015</v>
      </c>
      <c r="C477" s="126" t="s">
        <v>1016</v>
      </c>
      <c r="D477" s="127" t="s">
        <v>142</v>
      </c>
      <c r="E477" s="151"/>
      <c r="F477" s="163">
        <v>5.2</v>
      </c>
      <c r="G477" s="164"/>
      <c r="H477" s="163">
        <v>5.727625</v>
      </c>
      <c r="I477" s="164"/>
      <c r="J477" s="163">
        <v>6.25525</v>
      </c>
      <c r="K477" s="164"/>
      <c r="L477" s="163">
        <v>5.727625</v>
      </c>
      <c r="M477" s="164"/>
      <c r="N477" s="163">
        <v>5.727625</v>
      </c>
      <c r="O477" s="164"/>
      <c r="P477" s="151"/>
      <c r="Q477" s="151"/>
      <c r="R477" s="151"/>
      <c r="S477" s="151"/>
      <c r="T477" s="151"/>
      <c r="U477" s="151"/>
      <c r="V477" s="151"/>
      <c r="W477" s="151"/>
      <c r="X477" s="151"/>
      <c r="Y477" s="151"/>
      <c r="Z477" s="151"/>
    </row>
    <row r="478" ht="12.75" customHeight="1">
      <c r="A478" s="151"/>
      <c r="B478" s="113" t="s">
        <v>1017</v>
      </c>
      <c r="C478" s="114" t="s">
        <v>1018</v>
      </c>
      <c r="D478" s="115"/>
      <c r="E478" s="151"/>
      <c r="F478" s="161"/>
      <c r="G478" s="162"/>
      <c r="H478" s="161"/>
      <c r="I478" s="162"/>
      <c r="J478" s="161"/>
      <c r="K478" s="162"/>
      <c r="L478" s="161"/>
      <c r="M478" s="162"/>
      <c r="N478" s="161"/>
      <c r="O478" s="162"/>
      <c r="P478" s="151"/>
      <c r="Q478" s="151"/>
      <c r="R478" s="151"/>
      <c r="S478" s="151"/>
      <c r="T478" s="151"/>
      <c r="U478" s="151"/>
      <c r="V478" s="151"/>
      <c r="W478" s="151"/>
      <c r="X478" s="151"/>
      <c r="Y478" s="151"/>
      <c r="Z478" s="151"/>
    </row>
    <row r="479" ht="12.75" customHeight="1">
      <c r="A479" s="151"/>
      <c r="B479" s="125" t="s">
        <v>1019</v>
      </c>
      <c r="C479" s="126" t="s">
        <v>1020</v>
      </c>
      <c r="D479" s="127" t="s">
        <v>64</v>
      </c>
      <c r="E479" s="151"/>
      <c r="F479" s="163">
        <v>1430.5064355284974</v>
      </c>
      <c r="G479" s="164"/>
      <c r="H479" s="163">
        <v>1502.0317573049224</v>
      </c>
      <c r="I479" s="164"/>
      <c r="J479" s="163">
        <v>1573.5570790813474</v>
      </c>
      <c r="K479" s="164"/>
      <c r="L479" s="163">
        <v>1502.0317573049224</v>
      </c>
      <c r="M479" s="164"/>
      <c r="N479" s="163">
        <v>1502.0317573049224</v>
      </c>
      <c r="O479" s="164"/>
      <c r="P479" s="151"/>
      <c r="Q479" s="151"/>
      <c r="R479" s="151"/>
      <c r="S479" s="151"/>
      <c r="T479" s="151"/>
      <c r="U479" s="151"/>
      <c r="V479" s="151"/>
      <c r="W479" s="151"/>
      <c r="X479" s="151"/>
      <c r="Y479" s="151"/>
      <c r="Z479" s="151"/>
    </row>
    <row r="480" ht="12.75" customHeight="1">
      <c r="A480" s="151"/>
      <c r="B480" s="125" t="s">
        <v>1021</v>
      </c>
      <c r="C480" s="126" t="s">
        <v>1022</v>
      </c>
      <c r="D480" s="127" t="s">
        <v>142</v>
      </c>
      <c r="E480" s="151"/>
      <c r="F480" s="163">
        <v>3292.902912621359</v>
      </c>
      <c r="G480" s="164"/>
      <c r="H480" s="163">
        <v>3424.6190291262137</v>
      </c>
      <c r="I480" s="164"/>
      <c r="J480" s="163">
        <v>3556.335145631068</v>
      </c>
      <c r="K480" s="164"/>
      <c r="L480" s="163">
        <v>3424.6190291262137</v>
      </c>
      <c r="M480" s="164"/>
      <c r="N480" s="163">
        <v>3424.6190291262137</v>
      </c>
      <c r="O480" s="164"/>
      <c r="P480" s="151"/>
      <c r="Q480" s="151"/>
      <c r="R480" s="151"/>
      <c r="S480" s="151"/>
      <c r="T480" s="151"/>
      <c r="U480" s="151"/>
      <c r="V480" s="151"/>
      <c r="W480" s="151"/>
      <c r="X480" s="151"/>
      <c r="Y480" s="151"/>
      <c r="Z480" s="151"/>
    </row>
    <row r="481" ht="12.75" customHeight="1">
      <c r="A481" s="151"/>
      <c r="B481" s="125" t="s">
        <v>1023</v>
      </c>
      <c r="C481" s="126" t="s">
        <v>1024</v>
      </c>
      <c r="D481" s="127" t="s">
        <v>142</v>
      </c>
      <c r="E481" s="151"/>
      <c r="F481" s="163">
        <v>2488.9029126213595</v>
      </c>
      <c r="G481" s="164"/>
      <c r="H481" s="163">
        <v>2588.459029126214</v>
      </c>
      <c r="I481" s="164"/>
      <c r="J481" s="163">
        <v>2688.0151456310687</v>
      </c>
      <c r="K481" s="164"/>
      <c r="L481" s="163">
        <v>2588.459029126214</v>
      </c>
      <c r="M481" s="164"/>
      <c r="N481" s="163">
        <v>2588.459029126214</v>
      </c>
      <c r="O481" s="164"/>
      <c r="P481" s="151"/>
      <c r="Q481" s="151"/>
      <c r="R481" s="151"/>
      <c r="S481" s="151"/>
      <c r="T481" s="151"/>
      <c r="U481" s="151"/>
      <c r="V481" s="151"/>
      <c r="W481" s="151"/>
      <c r="X481" s="151"/>
      <c r="Y481" s="151"/>
      <c r="Z481" s="151"/>
    </row>
    <row r="482" ht="12.75" customHeight="1">
      <c r="A482" s="151"/>
      <c r="B482" s="125" t="s">
        <v>1025</v>
      </c>
      <c r="C482" s="126" t="s">
        <v>1026</v>
      </c>
      <c r="D482" s="127" t="s">
        <v>142</v>
      </c>
      <c r="E482" s="151"/>
      <c r="F482" s="163">
        <v>1803.4174757281553</v>
      </c>
      <c r="G482" s="164"/>
      <c r="H482" s="163">
        <v>1875.5541747572815</v>
      </c>
      <c r="I482" s="164"/>
      <c r="J482" s="163">
        <v>1947.6908737864078</v>
      </c>
      <c r="K482" s="164"/>
      <c r="L482" s="163">
        <v>1875.5541747572815</v>
      </c>
      <c r="M482" s="164"/>
      <c r="N482" s="163">
        <v>1875.5541747572815</v>
      </c>
      <c r="O482" s="164"/>
      <c r="P482" s="151"/>
      <c r="Q482" s="151"/>
      <c r="R482" s="151"/>
      <c r="S482" s="151"/>
      <c r="T482" s="151"/>
      <c r="U482" s="151"/>
      <c r="V482" s="151"/>
      <c r="W482" s="151"/>
      <c r="X482" s="151"/>
      <c r="Y482" s="151"/>
      <c r="Z482" s="151"/>
    </row>
    <row r="483" ht="12.75" customHeight="1">
      <c r="A483" s="151"/>
      <c r="B483" s="125" t="s">
        <v>1027</v>
      </c>
      <c r="C483" s="126" t="s">
        <v>1028</v>
      </c>
      <c r="D483" s="127" t="s">
        <v>142</v>
      </c>
      <c r="E483" s="151"/>
      <c r="F483" s="163">
        <v>10506.287213163965</v>
      </c>
      <c r="G483" s="164"/>
      <c r="H483" s="163">
        <v>10506.287213163965</v>
      </c>
      <c r="I483" s="164"/>
      <c r="J483" s="163">
        <v>10506.287213163965</v>
      </c>
      <c r="K483" s="164"/>
      <c r="L483" s="163">
        <v>10506.287213163965</v>
      </c>
      <c r="M483" s="164"/>
      <c r="N483" s="163">
        <v>10506.287213163965</v>
      </c>
      <c r="O483" s="164"/>
      <c r="P483" s="151"/>
      <c r="Q483" s="151"/>
      <c r="R483" s="151"/>
      <c r="S483" s="151"/>
      <c r="T483" s="151"/>
      <c r="U483" s="151"/>
      <c r="V483" s="151"/>
      <c r="W483" s="151"/>
      <c r="X483" s="151"/>
      <c r="Y483" s="151"/>
      <c r="Z483" s="151"/>
    </row>
    <row r="484" ht="12.75" customHeight="1">
      <c r="A484" s="151"/>
      <c r="B484" s="125" t="s">
        <v>1029</v>
      </c>
      <c r="C484" s="126" t="s">
        <v>1030</v>
      </c>
      <c r="D484" s="127" t="s">
        <v>142</v>
      </c>
      <c r="E484" s="151"/>
      <c r="F484" s="163">
        <v>8875.024359553245</v>
      </c>
      <c r="G484" s="164"/>
      <c r="H484" s="163">
        <v>8875.024359553245</v>
      </c>
      <c r="I484" s="164"/>
      <c r="J484" s="163">
        <v>8875.024359553245</v>
      </c>
      <c r="K484" s="164"/>
      <c r="L484" s="163">
        <v>8875.024359553245</v>
      </c>
      <c r="M484" s="164"/>
      <c r="N484" s="163">
        <v>8875.024359553245</v>
      </c>
      <c r="O484" s="164"/>
      <c r="P484" s="151"/>
      <c r="Q484" s="151"/>
      <c r="R484" s="151"/>
      <c r="S484" s="151"/>
      <c r="T484" s="151"/>
      <c r="U484" s="151"/>
      <c r="V484" s="151"/>
      <c r="W484" s="151"/>
      <c r="X484" s="151"/>
      <c r="Y484" s="151"/>
      <c r="Z484" s="151"/>
    </row>
    <row r="485" ht="12.75" customHeight="1">
      <c r="A485" s="151"/>
      <c r="B485" s="125" t="s">
        <v>1031</v>
      </c>
      <c r="C485" s="126" t="s">
        <v>1032</v>
      </c>
      <c r="D485" s="127" t="s">
        <v>142</v>
      </c>
      <c r="E485" s="151"/>
      <c r="F485" s="163">
        <v>3125.0</v>
      </c>
      <c r="G485" s="164"/>
      <c r="H485" s="163">
        <v>3952.6</v>
      </c>
      <c r="I485" s="164"/>
      <c r="J485" s="163">
        <v>4780.2</v>
      </c>
      <c r="K485" s="164"/>
      <c r="L485" s="163">
        <v>3952.6</v>
      </c>
      <c r="M485" s="164"/>
      <c r="N485" s="163">
        <v>3952.6</v>
      </c>
      <c r="O485" s="164"/>
      <c r="P485" s="151"/>
      <c r="Q485" s="151"/>
      <c r="R485" s="151"/>
      <c r="S485" s="151"/>
      <c r="T485" s="151"/>
      <c r="U485" s="151"/>
      <c r="V485" s="151"/>
      <c r="W485" s="151"/>
      <c r="X485" s="151"/>
      <c r="Y485" s="151"/>
      <c r="Z485" s="151"/>
    </row>
    <row r="486" ht="12.75" customHeight="1">
      <c r="A486" s="151"/>
      <c r="B486" s="125" t="s">
        <v>1033</v>
      </c>
      <c r="C486" s="126" t="s">
        <v>1034</v>
      </c>
      <c r="D486" s="127" t="s">
        <v>142</v>
      </c>
      <c r="E486" s="151"/>
      <c r="F486" s="163">
        <v>2679.611650485437</v>
      </c>
      <c r="G486" s="164"/>
      <c r="H486" s="163">
        <v>2786.7961165048546</v>
      </c>
      <c r="I486" s="164"/>
      <c r="J486" s="163">
        <v>2893.9805825242724</v>
      </c>
      <c r="K486" s="164"/>
      <c r="L486" s="163">
        <v>2786.7961165048546</v>
      </c>
      <c r="M486" s="164"/>
      <c r="N486" s="163">
        <v>2786.7961165048546</v>
      </c>
      <c r="O486" s="164"/>
      <c r="P486" s="151"/>
      <c r="Q486" s="151"/>
      <c r="R486" s="151"/>
      <c r="S486" s="151"/>
      <c r="T486" s="151"/>
      <c r="U486" s="151"/>
      <c r="V486" s="151"/>
      <c r="W486" s="151"/>
      <c r="X486" s="151"/>
      <c r="Y486" s="151"/>
      <c r="Z486" s="151"/>
    </row>
    <row r="487" ht="12.75" customHeight="1">
      <c r="A487" s="151"/>
      <c r="B487" s="125" t="s">
        <v>1035</v>
      </c>
      <c r="C487" s="126" t="s">
        <v>1036</v>
      </c>
      <c r="D487" s="127" t="s">
        <v>142</v>
      </c>
      <c r="E487" s="151"/>
      <c r="F487" s="163">
        <v>15107.173697</v>
      </c>
      <c r="G487" s="164"/>
      <c r="H487" s="163">
        <v>15107.173697</v>
      </c>
      <c r="I487" s="164"/>
      <c r="J487" s="163">
        <v>15107.173697</v>
      </c>
      <c r="K487" s="164"/>
      <c r="L487" s="163">
        <v>15107.173697</v>
      </c>
      <c r="M487" s="164"/>
      <c r="N487" s="163">
        <v>15107.173697</v>
      </c>
      <c r="O487" s="164"/>
      <c r="P487" s="151"/>
      <c r="Q487" s="151"/>
      <c r="R487" s="151"/>
      <c r="S487" s="151"/>
      <c r="T487" s="151"/>
      <c r="U487" s="151"/>
      <c r="V487" s="151"/>
      <c r="W487" s="151"/>
      <c r="X487" s="151"/>
      <c r="Y487" s="151"/>
      <c r="Z487" s="151"/>
    </row>
    <row r="488" ht="12.75" customHeight="1">
      <c r="A488" s="151"/>
      <c r="B488" s="125" t="s">
        <v>1037</v>
      </c>
      <c r="C488" s="126" t="s">
        <v>1038</v>
      </c>
      <c r="D488" s="127" t="s">
        <v>142</v>
      </c>
      <c r="E488" s="151"/>
      <c r="F488" s="163">
        <v>12567.0</v>
      </c>
      <c r="G488" s="164"/>
      <c r="H488" s="163">
        <v>12567.0</v>
      </c>
      <c r="I488" s="164"/>
      <c r="J488" s="163">
        <v>12567.0</v>
      </c>
      <c r="K488" s="164"/>
      <c r="L488" s="163">
        <v>12567.0</v>
      </c>
      <c r="M488" s="164"/>
      <c r="N488" s="163">
        <v>12567.0</v>
      </c>
      <c r="O488" s="164"/>
      <c r="P488" s="151"/>
      <c r="Q488" s="151"/>
      <c r="R488" s="151"/>
      <c r="S488" s="151"/>
      <c r="T488" s="151"/>
      <c r="U488" s="151"/>
      <c r="V488" s="151"/>
      <c r="W488" s="151"/>
      <c r="X488" s="151"/>
      <c r="Y488" s="151"/>
      <c r="Z488" s="151"/>
    </row>
    <row r="489" ht="12.75" customHeight="1">
      <c r="A489" s="151"/>
      <c r="B489" s="125" t="s">
        <v>1039</v>
      </c>
      <c r="C489" s="126" t="s">
        <v>1040</v>
      </c>
      <c r="D489" s="127" t="s">
        <v>142</v>
      </c>
      <c r="E489" s="151"/>
      <c r="F489" s="163">
        <v>6875.0</v>
      </c>
      <c r="G489" s="164"/>
      <c r="H489" s="163">
        <v>9108.75</v>
      </c>
      <c r="I489" s="164"/>
      <c r="J489" s="163">
        <v>11342.5</v>
      </c>
      <c r="K489" s="164"/>
      <c r="L489" s="163">
        <v>9108.75</v>
      </c>
      <c r="M489" s="164"/>
      <c r="N489" s="163">
        <v>9108.75</v>
      </c>
      <c r="O489" s="164"/>
      <c r="P489" s="151"/>
      <c r="Q489" s="151"/>
      <c r="R489" s="151"/>
      <c r="S489" s="151"/>
      <c r="T489" s="151"/>
      <c r="U489" s="151"/>
      <c r="V489" s="151"/>
      <c r="W489" s="151"/>
      <c r="X489" s="151"/>
      <c r="Y489" s="151"/>
      <c r="Z489" s="151"/>
    </row>
    <row r="490" ht="12.75" customHeight="1">
      <c r="A490" s="151"/>
      <c r="B490" s="125" t="s">
        <v>1041</v>
      </c>
      <c r="C490" s="126" t="s">
        <v>1042</v>
      </c>
      <c r="D490" s="127" t="s">
        <v>142</v>
      </c>
      <c r="E490" s="151"/>
      <c r="F490" s="163">
        <v>7122.961610268317</v>
      </c>
      <c r="G490" s="164"/>
      <c r="H490" s="163">
        <v>8290.733608837862</v>
      </c>
      <c r="I490" s="164"/>
      <c r="J490" s="163">
        <v>9458.505607407407</v>
      </c>
      <c r="K490" s="164"/>
      <c r="L490" s="163">
        <v>8290.733608837862</v>
      </c>
      <c r="M490" s="164"/>
      <c r="N490" s="163">
        <v>8290.733608837862</v>
      </c>
      <c r="O490" s="164"/>
      <c r="P490" s="151"/>
      <c r="Q490" s="151"/>
      <c r="R490" s="151"/>
      <c r="S490" s="151"/>
      <c r="T490" s="151"/>
      <c r="U490" s="151"/>
      <c r="V490" s="151"/>
      <c r="W490" s="151"/>
      <c r="X490" s="151"/>
      <c r="Y490" s="151"/>
      <c r="Z490" s="151"/>
    </row>
    <row r="491" ht="12.75" customHeight="1">
      <c r="A491" s="151"/>
      <c r="B491" s="125" t="s">
        <v>1043</v>
      </c>
      <c r="C491" s="126" t="s">
        <v>1044</v>
      </c>
      <c r="D491" s="127" t="s">
        <v>142</v>
      </c>
      <c r="E491" s="151"/>
      <c r="F491" s="163">
        <v>5000.0</v>
      </c>
      <c r="G491" s="164"/>
      <c r="H491" s="163">
        <v>6478.054174757282</v>
      </c>
      <c r="I491" s="164"/>
      <c r="J491" s="163">
        <v>7956.108349514564</v>
      </c>
      <c r="K491" s="164"/>
      <c r="L491" s="163">
        <v>6478.054174757282</v>
      </c>
      <c r="M491" s="164"/>
      <c r="N491" s="163">
        <v>6478.054174757282</v>
      </c>
      <c r="O491" s="164"/>
      <c r="P491" s="151"/>
      <c r="Q491" s="151"/>
      <c r="R491" s="151"/>
      <c r="S491" s="151"/>
      <c r="T491" s="151"/>
      <c r="U491" s="151"/>
      <c r="V491" s="151"/>
      <c r="W491" s="151"/>
      <c r="X491" s="151"/>
      <c r="Y491" s="151"/>
      <c r="Z491" s="151"/>
    </row>
    <row r="492" ht="12.75" customHeight="1">
      <c r="A492" s="151"/>
      <c r="B492" s="125" t="s">
        <v>1045</v>
      </c>
      <c r="C492" s="126" t="s">
        <v>1046</v>
      </c>
      <c r="D492" s="127" t="s">
        <v>142</v>
      </c>
      <c r="E492" s="151"/>
      <c r="F492" s="163">
        <v>3313.1553398058254</v>
      </c>
      <c r="G492" s="164"/>
      <c r="H492" s="163">
        <v>3445.6815533980584</v>
      </c>
      <c r="I492" s="164"/>
      <c r="J492" s="163">
        <v>3578.2077669902915</v>
      </c>
      <c r="K492" s="164"/>
      <c r="L492" s="163">
        <v>3445.6815533980584</v>
      </c>
      <c r="M492" s="164"/>
      <c r="N492" s="163">
        <v>3445.6815533980584</v>
      </c>
      <c r="O492" s="164"/>
      <c r="P492" s="151"/>
      <c r="Q492" s="151"/>
      <c r="R492" s="151"/>
      <c r="S492" s="151"/>
      <c r="T492" s="151"/>
      <c r="U492" s="151"/>
      <c r="V492" s="151"/>
      <c r="W492" s="151"/>
      <c r="X492" s="151"/>
      <c r="Y492" s="151"/>
      <c r="Z492" s="151"/>
    </row>
    <row r="493" ht="12.75" customHeight="1">
      <c r="A493" s="151"/>
      <c r="B493" s="125" t="s">
        <v>1047</v>
      </c>
      <c r="C493" s="126" t="s">
        <v>1048</v>
      </c>
      <c r="D493" s="127" t="s">
        <v>142</v>
      </c>
      <c r="E493" s="151"/>
      <c r="F493" s="163">
        <v>2205.3883495145633</v>
      </c>
      <c r="G493" s="164"/>
      <c r="H493" s="163">
        <v>2293.603883495146</v>
      </c>
      <c r="I493" s="164"/>
      <c r="J493" s="163">
        <v>2381.8194174757286</v>
      </c>
      <c r="K493" s="164"/>
      <c r="L493" s="163">
        <v>2293.603883495146</v>
      </c>
      <c r="M493" s="164"/>
      <c r="N493" s="163">
        <v>2293.603883495146</v>
      </c>
      <c r="O493" s="164"/>
      <c r="P493" s="151"/>
      <c r="Q493" s="151"/>
      <c r="R493" s="151"/>
      <c r="S493" s="151"/>
      <c r="T493" s="151"/>
      <c r="U493" s="151"/>
      <c r="V493" s="151"/>
      <c r="W493" s="151"/>
      <c r="X493" s="151"/>
      <c r="Y493" s="151"/>
      <c r="Z493" s="151"/>
    </row>
    <row r="494" ht="12.75" customHeight="1">
      <c r="A494" s="151"/>
      <c r="B494" s="125" t="s">
        <v>1049</v>
      </c>
      <c r="C494" s="126" t="s">
        <v>1050</v>
      </c>
      <c r="D494" s="127" t="s">
        <v>142</v>
      </c>
      <c r="E494" s="151"/>
      <c r="F494" s="163">
        <v>57.432</v>
      </c>
      <c r="G494" s="164"/>
      <c r="H494" s="163">
        <v>59.72928</v>
      </c>
      <c r="I494" s="164"/>
      <c r="J494" s="163">
        <v>62.02656</v>
      </c>
      <c r="K494" s="164"/>
      <c r="L494" s="163">
        <v>59.72928</v>
      </c>
      <c r="M494" s="164"/>
      <c r="N494" s="163">
        <v>59.72928</v>
      </c>
      <c r="O494" s="164"/>
      <c r="P494" s="151"/>
      <c r="Q494" s="151"/>
      <c r="R494" s="151"/>
      <c r="S494" s="151"/>
      <c r="T494" s="151"/>
      <c r="U494" s="151"/>
      <c r="V494" s="151"/>
      <c r="W494" s="151"/>
      <c r="X494" s="151"/>
      <c r="Y494" s="151"/>
      <c r="Z494" s="151"/>
    </row>
    <row r="495" ht="12.75" customHeight="1">
      <c r="A495" s="151"/>
      <c r="B495" s="125" t="s">
        <v>1051</v>
      </c>
      <c r="C495" s="126" t="s">
        <v>1052</v>
      </c>
      <c r="D495" s="127" t="s">
        <v>142</v>
      </c>
      <c r="E495" s="151"/>
      <c r="F495" s="163">
        <v>135.74</v>
      </c>
      <c r="G495" s="164"/>
      <c r="H495" s="163">
        <v>141.1696</v>
      </c>
      <c r="I495" s="164"/>
      <c r="J495" s="163">
        <v>146.59920000000002</v>
      </c>
      <c r="K495" s="164"/>
      <c r="L495" s="163">
        <v>141.1696</v>
      </c>
      <c r="M495" s="164"/>
      <c r="N495" s="163">
        <v>141.1696</v>
      </c>
      <c r="O495" s="164"/>
      <c r="P495" s="151"/>
      <c r="Q495" s="151"/>
      <c r="R495" s="151"/>
      <c r="S495" s="151"/>
      <c r="T495" s="151"/>
      <c r="U495" s="151"/>
      <c r="V495" s="151"/>
      <c r="W495" s="151"/>
      <c r="X495" s="151"/>
      <c r="Y495" s="151"/>
      <c r="Z495" s="151"/>
    </row>
    <row r="496" ht="12.75" customHeight="1">
      <c r="A496" s="151"/>
      <c r="B496" s="125" t="s">
        <v>1053</v>
      </c>
      <c r="C496" s="126" t="s">
        <v>1054</v>
      </c>
      <c r="D496" s="127" t="s">
        <v>142</v>
      </c>
      <c r="E496" s="151"/>
      <c r="F496" s="163">
        <v>219.00970873786406</v>
      </c>
      <c r="G496" s="164"/>
      <c r="H496" s="163">
        <v>227.77009708737864</v>
      </c>
      <c r="I496" s="164"/>
      <c r="J496" s="163">
        <v>236.5304854368932</v>
      </c>
      <c r="K496" s="164"/>
      <c r="L496" s="163">
        <v>227.77009708737864</v>
      </c>
      <c r="M496" s="164"/>
      <c r="N496" s="163">
        <v>227.77009708737864</v>
      </c>
      <c r="O496" s="164"/>
      <c r="P496" s="151"/>
      <c r="Q496" s="151"/>
      <c r="R496" s="151"/>
      <c r="S496" s="151"/>
      <c r="T496" s="151"/>
      <c r="U496" s="151"/>
      <c r="V496" s="151"/>
      <c r="W496" s="151"/>
      <c r="X496" s="151"/>
      <c r="Y496" s="151"/>
      <c r="Z496" s="151"/>
    </row>
    <row r="497" ht="12.75" customHeight="1">
      <c r="A497" s="151"/>
      <c r="B497" s="125" t="s">
        <v>1055</v>
      </c>
      <c r="C497" s="126" t="s">
        <v>1056</v>
      </c>
      <c r="D497" s="127" t="s">
        <v>946</v>
      </c>
      <c r="E497" s="151"/>
      <c r="F497" s="163">
        <v>1600.0</v>
      </c>
      <c r="G497" s="164"/>
      <c r="H497" s="163">
        <v>1675.0</v>
      </c>
      <c r="I497" s="164"/>
      <c r="J497" s="163">
        <v>1750.0</v>
      </c>
      <c r="K497" s="164"/>
      <c r="L497" s="163">
        <v>1675.0</v>
      </c>
      <c r="M497" s="164"/>
      <c r="N497" s="163">
        <v>1675.0</v>
      </c>
      <c r="O497" s="164"/>
      <c r="P497" s="151"/>
      <c r="Q497" s="151"/>
      <c r="R497" s="151"/>
      <c r="S497" s="151"/>
      <c r="T497" s="151"/>
      <c r="U497" s="151"/>
      <c r="V497" s="151"/>
      <c r="W497" s="151"/>
      <c r="X497" s="151"/>
      <c r="Y497" s="151"/>
      <c r="Z497" s="151"/>
    </row>
    <row r="498" ht="12.75" customHeight="1">
      <c r="A498" s="151"/>
      <c r="B498" s="113" t="s">
        <v>1057</v>
      </c>
      <c r="C498" s="114" t="s">
        <v>1058</v>
      </c>
      <c r="D498" s="115"/>
      <c r="E498" s="151"/>
      <c r="F498" s="161"/>
      <c r="G498" s="162"/>
      <c r="H498" s="161"/>
      <c r="I498" s="162"/>
      <c r="J498" s="161"/>
      <c r="K498" s="162"/>
      <c r="L498" s="161"/>
      <c r="M498" s="162"/>
      <c r="N498" s="161"/>
      <c r="O498" s="162"/>
      <c r="P498" s="151"/>
      <c r="Q498" s="151"/>
      <c r="R498" s="151"/>
      <c r="S498" s="151"/>
      <c r="T498" s="151"/>
      <c r="U498" s="151"/>
      <c r="V498" s="151"/>
      <c r="W498" s="151"/>
      <c r="X498" s="151"/>
      <c r="Y498" s="151"/>
      <c r="Z498" s="151"/>
    </row>
    <row r="499" ht="12.75" customHeight="1">
      <c r="A499" s="151"/>
      <c r="B499" s="125" t="s">
        <v>1059</v>
      </c>
      <c r="C499" s="126" t="s">
        <v>1060</v>
      </c>
      <c r="D499" s="127" t="s">
        <v>142</v>
      </c>
      <c r="E499" s="151"/>
      <c r="F499" s="163">
        <v>37.6820912</v>
      </c>
      <c r="G499" s="164"/>
      <c r="H499" s="163">
        <v>39.189374848</v>
      </c>
      <c r="I499" s="164"/>
      <c r="J499" s="163">
        <v>40.696658496000005</v>
      </c>
      <c r="K499" s="164"/>
      <c r="L499" s="163">
        <v>39.189374848</v>
      </c>
      <c r="M499" s="164"/>
      <c r="N499" s="163">
        <v>39.189374848</v>
      </c>
      <c r="O499" s="164"/>
      <c r="P499" s="151"/>
      <c r="Q499" s="151"/>
      <c r="R499" s="151"/>
      <c r="S499" s="151"/>
      <c r="T499" s="151"/>
      <c r="U499" s="151"/>
      <c r="V499" s="151"/>
      <c r="W499" s="151"/>
      <c r="X499" s="151"/>
      <c r="Y499" s="151"/>
      <c r="Z499" s="151"/>
    </row>
    <row r="500" ht="12.75" customHeight="1">
      <c r="A500" s="151"/>
      <c r="B500" s="125" t="s">
        <v>1061</v>
      </c>
      <c r="C500" s="126" t="s">
        <v>1062</v>
      </c>
      <c r="D500" s="127" t="s">
        <v>142</v>
      </c>
      <c r="E500" s="151"/>
      <c r="F500" s="163">
        <v>18.0</v>
      </c>
      <c r="G500" s="164"/>
      <c r="H500" s="163">
        <v>18.72</v>
      </c>
      <c r="I500" s="164"/>
      <c r="J500" s="163">
        <v>19.44</v>
      </c>
      <c r="K500" s="164"/>
      <c r="L500" s="163">
        <v>18.72</v>
      </c>
      <c r="M500" s="164"/>
      <c r="N500" s="163">
        <v>18.72</v>
      </c>
      <c r="O500" s="164"/>
      <c r="P500" s="151"/>
      <c r="Q500" s="151"/>
      <c r="R500" s="151"/>
      <c r="S500" s="151"/>
      <c r="T500" s="151"/>
      <c r="U500" s="151"/>
      <c r="V500" s="151"/>
      <c r="W500" s="151"/>
      <c r="X500" s="151"/>
      <c r="Y500" s="151"/>
      <c r="Z500" s="151"/>
    </row>
    <row r="501" ht="12.75" customHeight="1">
      <c r="A501" s="151"/>
      <c r="B501" s="125" t="s">
        <v>1063</v>
      </c>
      <c r="C501" s="126" t="s">
        <v>1064</v>
      </c>
      <c r="D501" s="127" t="s">
        <v>142</v>
      </c>
      <c r="E501" s="151"/>
      <c r="F501" s="163">
        <v>35.39170432</v>
      </c>
      <c r="G501" s="164"/>
      <c r="H501" s="163">
        <v>36.8073724928</v>
      </c>
      <c r="I501" s="164"/>
      <c r="J501" s="163">
        <v>38.2230406656</v>
      </c>
      <c r="K501" s="164"/>
      <c r="L501" s="163">
        <v>36.8073724928</v>
      </c>
      <c r="M501" s="164"/>
      <c r="N501" s="163">
        <v>36.8073724928</v>
      </c>
      <c r="O501" s="164"/>
      <c r="P501" s="151"/>
      <c r="Q501" s="151"/>
      <c r="R501" s="151"/>
      <c r="S501" s="151"/>
      <c r="T501" s="151"/>
      <c r="U501" s="151"/>
      <c r="V501" s="151"/>
      <c r="W501" s="151"/>
      <c r="X501" s="151"/>
      <c r="Y501" s="151"/>
      <c r="Z501" s="151"/>
    </row>
    <row r="502" ht="12.75" customHeight="1">
      <c r="A502" s="151"/>
      <c r="B502" s="125" t="s">
        <v>1065</v>
      </c>
      <c r="C502" s="126" t="s">
        <v>1066</v>
      </c>
      <c r="D502" s="127" t="s">
        <v>180</v>
      </c>
      <c r="E502" s="151"/>
      <c r="F502" s="163">
        <v>31.144999999999996</v>
      </c>
      <c r="G502" s="164"/>
      <c r="H502" s="163">
        <v>25.408</v>
      </c>
      <c r="I502" s="164"/>
      <c r="J502" s="163">
        <v>28.557703999999998</v>
      </c>
      <c r="K502" s="164"/>
      <c r="L502" s="163">
        <v>25.408</v>
      </c>
      <c r="M502" s="164"/>
      <c r="N502" s="163">
        <v>25.408</v>
      </c>
      <c r="O502" s="164"/>
      <c r="P502" s="151"/>
      <c r="Q502" s="151"/>
      <c r="R502" s="151"/>
      <c r="S502" s="151"/>
      <c r="T502" s="151"/>
      <c r="U502" s="151"/>
      <c r="V502" s="151"/>
      <c r="W502" s="151"/>
      <c r="X502" s="151"/>
      <c r="Y502" s="151"/>
      <c r="Z502" s="151"/>
    </row>
    <row r="503" ht="12.75" customHeight="1">
      <c r="A503" s="151"/>
      <c r="B503" s="125" t="s">
        <v>1067</v>
      </c>
      <c r="C503" s="126" t="s">
        <v>1068</v>
      </c>
      <c r="D503" s="127" t="s">
        <v>180</v>
      </c>
      <c r="E503" s="151"/>
      <c r="F503" s="163">
        <v>9.477</v>
      </c>
      <c r="G503" s="164"/>
      <c r="H503" s="163">
        <v>9.85608</v>
      </c>
      <c r="I503" s="164"/>
      <c r="J503" s="163">
        <v>10.23516</v>
      </c>
      <c r="K503" s="164"/>
      <c r="L503" s="163">
        <v>9.85608</v>
      </c>
      <c r="M503" s="164"/>
      <c r="N503" s="163">
        <v>9.85608</v>
      </c>
      <c r="O503" s="164"/>
      <c r="P503" s="151"/>
      <c r="Q503" s="151"/>
      <c r="R503" s="151"/>
      <c r="S503" s="151"/>
      <c r="T503" s="151"/>
      <c r="U503" s="151"/>
      <c r="V503" s="151"/>
      <c r="W503" s="151"/>
      <c r="X503" s="151"/>
      <c r="Y503" s="151"/>
      <c r="Z503" s="151"/>
    </row>
    <row r="504" ht="12.75" customHeight="1">
      <c r="A504" s="151"/>
      <c r="B504" s="125" t="s">
        <v>1069</v>
      </c>
      <c r="C504" s="126" t="s">
        <v>1070</v>
      </c>
      <c r="D504" s="127" t="s">
        <v>180</v>
      </c>
      <c r="E504" s="151"/>
      <c r="F504" s="163">
        <v>12.753</v>
      </c>
      <c r="G504" s="164"/>
      <c r="H504" s="163">
        <v>13.26312</v>
      </c>
      <c r="I504" s="164"/>
      <c r="J504" s="163">
        <v>13.773240000000001</v>
      </c>
      <c r="K504" s="164"/>
      <c r="L504" s="163">
        <v>13.26312</v>
      </c>
      <c r="M504" s="164"/>
      <c r="N504" s="163">
        <v>13.26312</v>
      </c>
      <c r="O504" s="164"/>
      <c r="P504" s="151"/>
      <c r="Q504" s="151"/>
      <c r="R504" s="151"/>
      <c r="S504" s="151"/>
      <c r="T504" s="151"/>
      <c r="U504" s="151"/>
      <c r="V504" s="151"/>
      <c r="W504" s="151"/>
      <c r="X504" s="151"/>
      <c r="Y504" s="151"/>
      <c r="Z504" s="151"/>
    </row>
    <row r="505" ht="12.75" customHeight="1">
      <c r="A505" s="151"/>
      <c r="B505" s="125" t="s">
        <v>1071</v>
      </c>
      <c r="C505" s="126" t="s">
        <v>1072</v>
      </c>
      <c r="D505" s="127" t="s">
        <v>180</v>
      </c>
      <c r="E505" s="151"/>
      <c r="F505" s="163">
        <v>16.893</v>
      </c>
      <c r="G505" s="164"/>
      <c r="H505" s="163">
        <v>17.56872</v>
      </c>
      <c r="I505" s="164"/>
      <c r="J505" s="163">
        <v>18.24444</v>
      </c>
      <c r="K505" s="164"/>
      <c r="L505" s="163">
        <v>17.56872</v>
      </c>
      <c r="M505" s="164"/>
      <c r="N505" s="163">
        <v>17.56872</v>
      </c>
      <c r="O505" s="164"/>
      <c r="P505" s="151"/>
      <c r="Q505" s="151"/>
      <c r="R505" s="151"/>
      <c r="S505" s="151"/>
      <c r="T505" s="151"/>
      <c r="U505" s="151"/>
      <c r="V505" s="151"/>
      <c r="W505" s="151"/>
      <c r="X505" s="151"/>
      <c r="Y505" s="151"/>
      <c r="Z505" s="151"/>
    </row>
    <row r="506" ht="12.75" customHeight="1">
      <c r="A506" s="151"/>
      <c r="B506" s="125" t="s">
        <v>1073</v>
      </c>
      <c r="C506" s="126" t="s">
        <v>1074</v>
      </c>
      <c r="D506" s="127" t="s">
        <v>180</v>
      </c>
      <c r="E506" s="151"/>
      <c r="F506" s="163">
        <v>22.064421052631573</v>
      </c>
      <c r="G506" s="164"/>
      <c r="H506" s="163">
        <v>22.94699789473684</v>
      </c>
      <c r="I506" s="164"/>
      <c r="J506" s="163">
        <v>23.8295747368421</v>
      </c>
      <c r="K506" s="164"/>
      <c r="L506" s="163">
        <v>22.94699789473684</v>
      </c>
      <c r="M506" s="164"/>
      <c r="N506" s="163">
        <v>22.94699789473684</v>
      </c>
      <c r="O506" s="164"/>
      <c r="P506" s="151"/>
      <c r="Q506" s="151"/>
      <c r="R506" s="151"/>
      <c r="S506" s="151"/>
      <c r="T506" s="151"/>
      <c r="U506" s="151"/>
      <c r="V506" s="151"/>
      <c r="W506" s="151"/>
      <c r="X506" s="151"/>
      <c r="Y506" s="151"/>
      <c r="Z506" s="151"/>
    </row>
    <row r="507" ht="12.75" customHeight="1">
      <c r="A507" s="151"/>
      <c r="B507" s="125" t="s">
        <v>1075</v>
      </c>
      <c r="C507" s="126" t="s">
        <v>1076</v>
      </c>
      <c r="D507" s="127" t="s">
        <v>180</v>
      </c>
      <c r="E507" s="151"/>
      <c r="F507" s="163">
        <v>36.21024094739067</v>
      </c>
      <c r="G507" s="164"/>
      <c r="H507" s="163">
        <v>37.6586505852863</v>
      </c>
      <c r="I507" s="164"/>
      <c r="J507" s="163">
        <v>39.10706022318193</v>
      </c>
      <c r="K507" s="164"/>
      <c r="L507" s="163">
        <v>37.6586505852863</v>
      </c>
      <c r="M507" s="164"/>
      <c r="N507" s="163">
        <v>37.6586505852863</v>
      </c>
      <c r="O507" s="164"/>
      <c r="P507" s="151"/>
      <c r="Q507" s="151"/>
      <c r="R507" s="151"/>
      <c r="S507" s="151"/>
      <c r="T507" s="151"/>
      <c r="U507" s="151"/>
      <c r="V507" s="151"/>
      <c r="W507" s="151"/>
      <c r="X507" s="151"/>
      <c r="Y507" s="151"/>
      <c r="Z507" s="151"/>
    </row>
    <row r="508" ht="12.75" customHeight="1">
      <c r="A508" s="151"/>
      <c r="B508" s="125" t="s">
        <v>1077</v>
      </c>
      <c r="C508" s="126" t="s">
        <v>1078</v>
      </c>
      <c r="D508" s="127" t="s">
        <v>180</v>
      </c>
      <c r="E508" s="151"/>
      <c r="F508" s="163">
        <v>50.571</v>
      </c>
      <c r="G508" s="164"/>
      <c r="H508" s="163">
        <v>52.59384</v>
      </c>
      <c r="I508" s="164"/>
      <c r="J508" s="163">
        <v>54.61668</v>
      </c>
      <c r="K508" s="164"/>
      <c r="L508" s="163">
        <v>52.59384</v>
      </c>
      <c r="M508" s="164"/>
      <c r="N508" s="163">
        <v>52.59384</v>
      </c>
      <c r="O508" s="164"/>
      <c r="P508" s="151"/>
      <c r="Q508" s="151"/>
      <c r="R508" s="151"/>
      <c r="S508" s="151"/>
      <c r="T508" s="151"/>
      <c r="U508" s="151"/>
      <c r="V508" s="151"/>
      <c r="W508" s="151"/>
      <c r="X508" s="151"/>
      <c r="Y508" s="151"/>
      <c r="Z508" s="151"/>
    </row>
    <row r="509" ht="12.75" customHeight="1">
      <c r="A509" s="151"/>
      <c r="B509" s="125" t="s">
        <v>1079</v>
      </c>
      <c r="C509" s="126" t="s">
        <v>1080</v>
      </c>
      <c r="D509" s="127" t="s">
        <v>180</v>
      </c>
      <c r="E509" s="151"/>
      <c r="F509" s="163">
        <v>63.126</v>
      </c>
      <c r="G509" s="164"/>
      <c r="H509" s="163">
        <v>65.65104</v>
      </c>
      <c r="I509" s="164"/>
      <c r="J509" s="163">
        <v>68.17608</v>
      </c>
      <c r="K509" s="164"/>
      <c r="L509" s="163">
        <v>65.65104</v>
      </c>
      <c r="M509" s="164"/>
      <c r="N509" s="163">
        <v>65.65104</v>
      </c>
      <c r="O509" s="164"/>
      <c r="P509" s="151"/>
      <c r="Q509" s="151"/>
      <c r="R509" s="151"/>
      <c r="S509" s="151"/>
      <c r="T509" s="151"/>
      <c r="U509" s="151"/>
      <c r="V509" s="151"/>
      <c r="W509" s="151"/>
      <c r="X509" s="151"/>
      <c r="Y509" s="151"/>
      <c r="Z509" s="151"/>
    </row>
    <row r="510" ht="12.75" customHeight="1">
      <c r="A510" s="151"/>
      <c r="B510" s="125" t="s">
        <v>1081</v>
      </c>
      <c r="C510" s="126" t="s">
        <v>1082</v>
      </c>
      <c r="D510" s="127" t="s">
        <v>142</v>
      </c>
      <c r="E510" s="151"/>
      <c r="F510" s="163">
        <v>50.0</v>
      </c>
      <c r="G510" s="164"/>
      <c r="H510" s="163">
        <v>52.0</v>
      </c>
      <c r="I510" s="164"/>
      <c r="J510" s="163">
        <v>54.0</v>
      </c>
      <c r="K510" s="164"/>
      <c r="L510" s="163">
        <v>52.0</v>
      </c>
      <c r="M510" s="164"/>
      <c r="N510" s="163">
        <v>52.0</v>
      </c>
      <c r="O510" s="164"/>
      <c r="P510" s="151"/>
      <c r="Q510" s="151"/>
      <c r="R510" s="151"/>
      <c r="S510" s="151"/>
      <c r="T510" s="151"/>
      <c r="U510" s="151"/>
      <c r="V510" s="151"/>
      <c r="W510" s="151"/>
      <c r="X510" s="151"/>
      <c r="Y510" s="151"/>
      <c r="Z510" s="151"/>
    </row>
    <row r="511" ht="12.75" customHeight="1">
      <c r="A511" s="151"/>
      <c r="B511" s="125" t="s">
        <v>1083</v>
      </c>
      <c r="C511" s="126" t="s">
        <v>1084</v>
      </c>
      <c r="D511" s="127" t="s">
        <v>142</v>
      </c>
      <c r="E511" s="151"/>
      <c r="F511" s="163">
        <v>69.24</v>
      </c>
      <c r="G511" s="164"/>
      <c r="H511" s="163">
        <v>72.0096</v>
      </c>
      <c r="I511" s="164"/>
      <c r="J511" s="163">
        <v>74.7792</v>
      </c>
      <c r="K511" s="164"/>
      <c r="L511" s="163">
        <v>72.0096</v>
      </c>
      <c r="M511" s="164"/>
      <c r="N511" s="163">
        <v>72.0096</v>
      </c>
      <c r="O511" s="164"/>
      <c r="P511" s="151"/>
      <c r="Q511" s="151"/>
      <c r="R511" s="151"/>
      <c r="S511" s="151"/>
      <c r="T511" s="151"/>
      <c r="U511" s="151"/>
      <c r="V511" s="151"/>
      <c r="W511" s="151"/>
      <c r="X511" s="151"/>
      <c r="Y511" s="151"/>
      <c r="Z511" s="151"/>
    </row>
    <row r="512" ht="12.75" customHeight="1">
      <c r="A512" s="151"/>
      <c r="B512" s="125" t="s">
        <v>1085</v>
      </c>
      <c r="C512" s="126" t="s">
        <v>1086</v>
      </c>
      <c r="D512" s="127" t="s">
        <v>180</v>
      </c>
      <c r="E512" s="151"/>
      <c r="F512" s="163">
        <v>7.983091200000001</v>
      </c>
      <c r="G512" s="164"/>
      <c r="H512" s="163">
        <v>8.24154135</v>
      </c>
      <c r="I512" s="164"/>
      <c r="J512" s="163">
        <v>8.4999915</v>
      </c>
      <c r="K512" s="164"/>
      <c r="L512" s="163">
        <v>8.24154135</v>
      </c>
      <c r="M512" s="164"/>
      <c r="N512" s="163">
        <v>8.24154135</v>
      </c>
      <c r="O512" s="164"/>
      <c r="P512" s="151"/>
      <c r="Q512" s="151"/>
      <c r="R512" s="151"/>
      <c r="S512" s="151"/>
      <c r="T512" s="151"/>
      <c r="U512" s="151"/>
      <c r="V512" s="151"/>
      <c r="W512" s="151"/>
      <c r="X512" s="151"/>
      <c r="Y512" s="151"/>
      <c r="Z512" s="151"/>
    </row>
    <row r="513" ht="12.75" customHeight="1">
      <c r="A513" s="151"/>
      <c r="B513" s="125" t="s">
        <v>1087</v>
      </c>
      <c r="C513" s="126" t="s">
        <v>1088</v>
      </c>
      <c r="D513" s="127" t="s">
        <v>142</v>
      </c>
      <c r="E513" s="151"/>
      <c r="F513" s="163">
        <v>51.89</v>
      </c>
      <c r="G513" s="164"/>
      <c r="H513" s="163">
        <v>53.9656</v>
      </c>
      <c r="I513" s="164"/>
      <c r="J513" s="163">
        <v>56.0412</v>
      </c>
      <c r="K513" s="164"/>
      <c r="L513" s="163">
        <v>53.9656</v>
      </c>
      <c r="M513" s="164"/>
      <c r="N513" s="163">
        <v>53.9656</v>
      </c>
      <c r="O513" s="164"/>
      <c r="P513" s="151"/>
      <c r="Q513" s="151"/>
      <c r="R513" s="151"/>
      <c r="S513" s="151"/>
      <c r="T513" s="151"/>
      <c r="U513" s="151"/>
      <c r="V513" s="151"/>
      <c r="W513" s="151"/>
      <c r="X513" s="151"/>
      <c r="Y513" s="151"/>
      <c r="Z513" s="151"/>
    </row>
    <row r="514" ht="12.75" customHeight="1">
      <c r="A514" s="151"/>
      <c r="B514" s="125" t="s">
        <v>1089</v>
      </c>
      <c r="C514" s="126" t="s">
        <v>1090</v>
      </c>
      <c r="D514" s="127" t="s">
        <v>142</v>
      </c>
      <c r="E514" s="151"/>
      <c r="F514" s="163">
        <v>65.0</v>
      </c>
      <c r="G514" s="164"/>
      <c r="H514" s="163">
        <v>67.14496535500001</v>
      </c>
      <c r="I514" s="164"/>
      <c r="J514" s="163">
        <v>69.28993071000001</v>
      </c>
      <c r="K514" s="164"/>
      <c r="L514" s="163">
        <v>67.14496535500001</v>
      </c>
      <c r="M514" s="164"/>
      <c r="N514" s="163">
        <v>67.14496535500001</v>
      </c>
      <c r="O514" s="164"/>
      <c r="P514" s="151"/>
      <c r="Q514" s="151"/>
      <c r="R514" s="151"/>
      <c r="S514" s="151"/>
      <c r="T514" s="151"/>
      <c r="U514" s="151"/>
      <c r="V514" s="151"/>
      <c r="W514" s="151"/>
      <c r="X514" s="151"/>
      <c r="Y514" s="151"/>
      <c r="Z514" s="151"/>
    </row>
    <row r="515" ht="12.75" customHeight="1">
      <c r="A515" s="151"/>
      <c r="B515" s="125" t="s">
        <v>1091</v>
      </c>
      <c r="C515" s="126" t="s">
        <v>1092</v>
      </c>
      <c r="D515" s="127" t="s">
        <v>142</v>
      </c>
      <c r="E515" s="151"/>
      <c r="F515" s="163">
        <v>43.0</v>
      </c>
      <c r="G515" s="164"/>
      <c r="H515" s="163">
        <v>44.72</v>
      </c>
      <c r="I515" s="164"/>
      <c r="J515" s="163">
        <v>46.440000000000005</v>
      </c>
      <c r="K515" s="164"/>
      <c r="L515" s="163">
        <v>44.72</v>
      </c>
      <c r="M515" s="164"/>
      <c r="N515" s="163">
        <v>44.72</v>
      </c>
      <c r="O515" s="164"/>
      <c r="P515" s="151"/>
      <c r="Q515" s="151"/>
      <c r="R515" s="151"/>
      <c r="S515" s="151"/>
      <c r="T515" s="151"/>
      <c r="U515" s="151"/>
      <c r="V515" s="151"/>
      <c r="W515" s="151"/>
      <c r="X515" s="151"/>
      <c r="Y515" s="151"/>
      <c r="Z515" s="151"/>
    </row>
    <row r="516" ht="12.75" customHeight="1">
      <c r="A516" s="151"/>
      <c r="B516" s="125" t="s">
        <v>1093</v>
      </c>
      <c r="C516" s="126" t="s">
        <v>1094</v>
      </c>
      <c r="D516" s="127" t="s">
        <v>142</v>
      </c>
      <c r="E516" s="151"/>
      <c r="F516" s="163">
        <v>49.489999999999995</v>
      </c>
      <c r="G516" s="164"/>
      <c r="H516" s="163">
        <v>51.4696</v>
      </c>
      <c r="I516" s="164"/>
      <c r="J516" s="163">
        <v>53.4492</v>
      </c>
      <c r="K516" s="164"/>
      <c r="L516" s="163">
        <v>51.4696</v>
      </c>
      <c r="M516" s="164"/>
      <c r="N516" s="163">
        <v>51.4696</v>
      </c>
      <c r="O516" s="164"/>
      <c r="P516" s="151"/>
      <c r="Q516" s="151"/>
      <c r="R516" s="151"/>
      <c r="S516" s="151"/>
      <c r="T516" s="151"/>
      <c r="U516" s="151"/>
      <c r="V516" s="151"/>
      <c r="W516" s="151"/>
      <c r="X516" s="151"/>
      <c r="Y516" s="151"/>
      <c r="Z516" s="151"/>
    </row>
    <row r="517" ht="12.75" customHeight="1">
      <c r="A517" s="151"/>
      <c r="B517" s="125" t="s">
        <v>1095</v>
      </c>
      <c r="C517" s="126" t="s">
        <v>1096</v>
      </c>
      <c r="D517" s="127" t="s">
        <v>142</v>
      </c>
      <c r="E517" s="151"/>
      <c r="F517" s="163">
        <v>74.8125</v>
      </c>
      <c r="G517" s="164"/>
      <c r="H517" s="163">
        <v>76.3062111</v>
      </c>
      <c r="I517" s="164"/>
      <c r="J517" s="163">
        <v>77.7999222</v>
      </c>
      <c r="K517" s="164"/>
      <c r="L517" s="163">
        <v>76.3062111</v>
      </c>
      <c r="M517" s="164"/>
      <c r="N517" s="163">
        <v>76.3062111</v>
      </c>
      <c r="O517" s="164"/>
      <c r="P517" s="151"/>
      <c r="Q517" s="151"/>
      <c r="R517" s="151"/>
      <c r="S517" s="151"/>
      <c r="T517" s="151"/>
      <c r="U517" s="151"/>
      <c r="V517" s="151"/>
      <c r="W517" s="151"/>
      <c r="X517" s="151"/>
      <c r="Y517" s="151"/>
      <c r="Z517" s="151"/>
    </row>
    <row r="518" ht="12.75" customHeight="1">
      <c r="A518" s="151"/>
      <c r="B518" s="125" t="s">
        <v>1097</v>
      </c>
      <c r="C518" s="126" t="s">
        <v>1098</v>
      </c>
      <c r="D518" s="127" t="s">
        <v>142</v>
      </c>
      <c r="E518" s="151"/>
      <c r="F518" s="163">
        <v>66.83</v>
      </c>
      <c r="G518" s="164"/>
      <c r="H518" s="163">
        <v>69.50319999999999</v>
      </c>
      <c r="I518" s="164"/>
      <c r="J518" s="163">
        <v>72.1764</v>
      </c>
      <c r="K518" s="164"/>
      <c r="L518" s="163">
        <v>69.50319999999999</v>
      </c>
      <c r="M518" s="164"/>
      <c r="N518" s="163">
        <v>69.50319999999999</v>
      </c>
      <c r="O518" s="164"/>
      <c r="P518" s="151"/>
      <c r="Q518" s="151"/>
      <c r="R518" s="151"/>
      <c r="S518" s="151"/>
      <c r="T518" s="151"/>
      <c r="U518" s="151"/>
      <c r="V518" s="151"/>
      <c r="W518" s="151"/>
      <c r="X518" s="151"/>
      <c r="Y518" s="151"/>
      <c r="Z518" s="151"/>
    </row>
    <row r="519" ht="12.75" customHeight="1">
      <c r="A519" s="151"/>
      <c r="B519" s="125" t="s">
        <v>1099</v>
      </c>
      <c r="C519" s="126" t="s">
        <v>1100</v>
      </c>
      <c r="D519" s="127" t="s">
        <v>142</v>
      </c>
      <c r="E519" s="151"/>
      <c r="F519" s="163">
        <v>337.5</v>
      </c>
      <c r="G519" s="164"/>
      <c r="H519" s="163">
        <v>343.9498248</v>
      </c>
      <c r="I519" s="164"/>
      <c r="J519" s="163">
        <v>350.3996496</v>
      </c>
      <c r="K519" s="164"/>
      <c r="L519" s="163">
        <v>343.9498248</v>
      </c>
      <c r="M519" s="164"/>
      <c r="N519" s="163">
        <v>343.9498248</v>
      </c>
      <c r="O519" s="164"/>
      <c r="P519" s="151"/>
      <c r="Q519" s="151"/>
      <c r="R519" s="151"/>
      <c r="S519" s="151"/>
      <c r="T519" s="151"/>
      <c r="U519" s="151"/>
      <c r="V519" s="151"/>
      <c r="W519" s="151"/>
      <c r="X519" s="151"/>
      <c r="Y519" s="151"/>
      <c r="Z519" s="151"/>
    </row>
    <row r="520" ht="12.75" customHeight="1">
      <c r="A520" s="151"/>
      <c r="B520" s="125" t="s">
        <v>1101</v>
      </c>
      <c r="C520" s="126" t="s">
        <v>1102</v>
      </c>
      <c r="D520" s="127" t="s">
        <v>142</v>
      </c>
      <c r="E520" s="151"/>
      <c r="F520" s="163">
        <v>497.26</v>
      </c>
      <c r="G520" s="164"/>
      <c r="H520" s="163">
        <v>507.02974159999997</v>
      </c>
      <c r="I520" s="164"/>
      <c r="J520" s="163">
        <v>516.7994831999999</v>
      </c>
      <c r="K520" s="164"/>
      <c r="L520" s="163">
        <v>507.02974159999997</v>
      </c>
      <c r="M520" s="164"/>
      <c r="N520" s="163">
        <v>507.02974159999997</v>
      </c>
      <c r="O520" s="164"/>
      <c r="P520" s="151"/>
      <c r="Q520" s="151"/>
      <c r="R520" s="151"/>
      <c r="S520" s="151"/>
      <c r="T520" s="151"/>
      <c r="U520" s="151"/>
      <c r="V520" s="151"/>
      <c r="W520" s="151"/>
      <c r="X520" s="151"/>
      <c r="Y520" s="151"/>
      <c r="Z520" s="151"/>
    </row>
    <row r="521" ht="12.75" customHeight="1">
      <c r="A521" s="151"/>
      <c r="B521" s="125" t="s">
        <v>1103</v>
      </c>
      <c r="C521" s="126" t="s">
        <v>1104</v>
      </c>
      <c r="D521" s="127" t="s">
        <v>142</v>
      </c>
      <c r="E521" s="151"/>
      <c r="F521" s="163">
        <v>651.02</v>
      </c>
      <c r="G521" s="164"/>
      <c r="H521" s="163">
        <v>663.9096615999999</v>
      </c>
      <c r="I521" s="164"/>
      <c r="J521" s="163">
        <v>676.7993232</v>
      </c>
      <c r="K521" s="164"/>
      <c r="L521" s="163">
        <v>663.9096615999999</v>
      </c>
      <c r="M521" s="164"/>
      <c r="N521" s="163">
        <v>663.9096615999999</v>
      </c>
      <c r="O521" s="164"/>
      <c r="P521" s="151"/>
      <c r="Q521" s="151"/>
      <c r="R521" s="151"/>
      <c r="S521" s="151"/>
      <c r="T521" s="151"/>
      <c r="U521" s="151"/>
      <c r="V521" s="151"/>
      <c r="W521" s="151"/>
      <c r="X521" s="151"/>
      <c r="Y521" s="151"/>
      <c r="Z521" s="151"/>
    </row>
    <row r="522" ht="12.75" customHeight="1">
      <c r="A522" s="151"/>
      <c r="B522" s="125" t="s">
        <v>1105</v>
      </c>
      <c r="C522" s="126" t="s">
        <v>1106</v>
      </c>
      <c r="D522" s="127" t="s">
        <v>142</v>
      </c>
      <c r="E522" s="151"/>
      <c r="F522" s="163">
        <v>15.738</v>
      </c>
      <c r="G522" s="164"/>
      <c r="H522" s="163">
        <v>16.36752</v>
      </c>
      <c r="I522" s="164"/>
      <c r="J522" s="163">
        <v>16.997040000000002</v>
      </c>
      <c r="K522" s="164"/>
      <c r="L522" s="163">
        <v>16.36752</v>
      </c>
      <c r="M522" s="164"/>
      <c r="N522" s="163">
        <v>16.36752</v>
      </c>
      <c r="O522" s="164"/>
      <c r="P522" s="151"/>
      <c r="Q522" s="151"/>
      <c r="R522" s="151"/>
      <c r="S522" s="151"/>
      <c r="T522" s="151"/>
      <c r="U522" s="151"/>
      <c r="V522" s="151"/>
      <c r="W522" s="151"/>
      <c r="X522" s="151"/>
      <c r="Y522" s="151"/>
      <c r="Z522" s="151"/>
    </row>
    <row r="523" ht="12.75" customHeight="1">
      <c r="A523" s="151"/>
      <c r="B523" s="113" t="s">
        <v>1107</v>
      </c>
      <c r="C523" s="114" t="s">
        <v>1108</v>
      </c>
      <c r="D523" s="115"/>
      <c r="E523" s="151"/>
      <c r="F523" s="161"/>
      <c r="G523" s="162"/>
      <c r="H523" s="161"/>
      <c r="I523" s="162"/>
      <c r="J523" s="161"/>
      <c r="K523" s="162"/>
      <c r="L523" s="161"/>
      <c r="M523" s="162"/>
      <c r="N523" s="161"/>
      <c r="O523" s="162"/>
      <c r="P523" s="151"/>
      <c r="Q523" s="151"/>
      <c r="R523" s="151"/>
      <c r="S523" s="151"/>
      <c r="T523" s="151"/>
      <c r="U523" s="151"/>
      <c r="V523" s="151"/>
      <c r="W523" s="151"/>
      <c r="X523" s="151"/>
      <c r="Y523" s="151"/>
      <c r="Z523" s="151"/>
    </row>
    <row r="524" ht="12.75" customHeight="1">
      <c r="A524" s="151"/>
      <c r="B524" s="125" t="s">
        <v>1109</v>
      </c>
      <c r="C524" s="126" t="s">
        <v>1110</v>
      </c>
      <c r="D524" s="127" t="s">
        <v>180</v>
      </c>
      <c r="E524" s="151"/>
      <c r="F524" s="163">
        <v>4.03</v>
      </c>
      <c r="G524" s="164"/>
      <c r="H524" s="163">
        <v>4.171904</v>
      </c>
      <c r="I524" s="164"/>
      <c r="J524" s="163">
        <v>4.313808</v>
      </c>
      <c r="K524" s="164"/>
      <c r="L524" s="163">
        <v>4.171904</v>
      </c>
      <c r="M524" s="164"/>
      <c r="N524" s="163">
        <v>4.171904</v>
      </c>
      <c r="O524" s="164"/>
      <c r="P524" s="151"/>
      <c r="Q524" s="151"/>
      <c r="R524" s="151"/>
      <c r="S524" s="151"/>
      <c r="T524" s="151"/>
      <c r="U524" s="151"/>
      <c r="V524" s="151"/>
      <c r="W524" s="151"/>
      <c r="X524" s="151"/>
      <c r="Y524" s="151"/>
      <c r="Z524" s="151"/>
    </row>
    <row r="525" ht="12.75" customHeight="1">
      <c r="A525" s="151"/>
      <c r="B525" s="125" t="s">
        <v>1111</v>
      </c>
      <c r="C525" s="126" t="s">
        <v>1112</v>
      </c>
      <c r="D525" s="127" t="s">
        <v>180</v>
      </c>
      <c r="E525" s="151"/>
      <c r="F525" s="163">
        <v>16.880000000000003</v>
      </c>
      <c r="G525" s="164"/>
      <c r="H525" s="163">
        <v>17.314991125</v>
      </c>
      <c r="I525" s="164"/>
      <c r="J525" s="163">
        <v>17.74998225</v>
      </c>
      <c r="K525" s="164"/>
      <c r="L525" s="163">
        <v>17.314991125</v>
      </c>
      <c r="M525" s="164"/>
      <c r="N525" s="163">
        <v>17.314991125</v>
      </c>
      <c r="O525" s="164"/>
      <c r="P525" s="151"/>
      <c r="Q525" s="151"/>
      <c r="R525" s="151"/>
      <c r="S525" s="151"/>
      <c r="T525" s="151"/>
      <c r="U525" s="151"/>
      <c r="V525" s="151"/>
      <c r="W525" s="151"/>
      <c r="X525" s="151"/>
      <c r="Y525" s="151"/>
      <c r="Z525" s="151"/>
    </row>
    <row r="526" ht="12.75" customHeight="1">
      <c r="A526" s="151"/>
      <c r="B526" s="125" t="s">
        <v>1113</v>
      </c>
      <c r="C526" s="126" t="s">
        <v>1114</v>
      </c>
      <c r="D526" s="127" t="s">
        <v>180</v>
      </c>
      <c r="E526" s="151"/>
      <c r="F526" s="163">
        <v>10.214078867298568</v>
      </c>
      <c r="G526" s="164"/>
      <c r="H526" s="163">
        <v>8.646</v>
      </c>
      <c r="I526" s="164"/>
      <c r="J526" s="163">
        <v>8.782557217434</v>
      </c>
      <c r="K526" s="164"/>
      <c r="L526" s="163">
        <v>8.646</v>
      </c>
      <c r="M526" s="164"/>
      <c r="N526" s="163">
        <v>8.646</v>
      </c>
      <c r="O526" s="164"/>
      <c r="P526" s="151"/>
      <c r="Q526" s="151"/>
      <c r="R526" s="151"/>
      <c r="S526" s="151"/>
      <c r="T526" s="151"/>
      <c r="U526" s="151"/>
      <c r="V526" s="151"/>
      <c r="W526" s="151"/>
      <c r="X526" s="151"/>
      <c r="Y526" s="151"/>
      <c r="Z526" s="151"/>
    </row>
    <row r="527" ht="12.75" customHeight="1">
      <c r="A527" s="151"/>
      <c r="B527" s="125" t="s">
        <v>1115</v>
      </c>
      <c r="C527" s="126" t="s">
        <v>1116</v>
      </c>
      <c r="D527" s="127" t="s">
        <v>180</v>
      </c>
      <c r="E527" s="151"/>
      <c r="F527" s="163">
        <v>19.8</v>
      </c>
      <c r="G527" s="164"/>
      <c r="H527" s="163">
        <v>20.194989704999998</v>
      </c>
      <c r="I527" s="164"/>
      <c r="J527" s="163">
        <v>20.589979409999998</v>
      </c>
      <c r="K527" s="164"/>
      <c r="L527" s="163">
        <v>20.194989704999998</v>
      </c>
      <c r="M527" s="164"/>
      <c r="N527" s="163">
        <v>20.194989704999998</v>
      </c>
      <c r="O527" s="164"/>
      <c r="P527" s="151"/>
      <c r="Q527" s="151"/>
      <c r="R527" s="151"/>
      <c r="S527" s="151"/>
      <c r="T527" s="151"/>
      <c r="U527" s="151"/>
      <c r="V527" s="151"/>
      <c r="W527" s="151"/>
      <c r="X527" s="151"/>
      <c r="Y527" s="151"/>
      <c r="Z527" s="151"/>
    </row>
    <row r="528" ht="12.75" customHeight="1">
      <c r="A528" s="151"/>
      <c r="B528" s="125" t="s">
        <v>1117</v>
      </c>
      <c r="C528" s="126" t="s">
        <v>1118</v>
      </c>
      <c r="D528" s="127" t="s">
        <v>180</v>
      </c>
      <c r="E528" s="151"/>
      <c r="F528" s="163">
        <v>24.29</v>
      </c>
      <c r="G528" s="164"/>
      <c r="H528" s="163">
        <v>24.77498737</v>
      </c>
      <c r="I528" s="164"/>
      <c r="J528" s="163">
        <v>25.259974740000004</v>
      </c>
      <c r="K528" s="164"/>
      <c r="L528" s="163">
        <v>24.77498737</v>
      </c>
      <c r="M528" s="164"/>
      <c r="N528" s="163">
        <v>24.77498737</v>
      </c>
      <c r="O528" s="164"/>
      <c r="P528" s="151"/>
      <c r="Q528" s="151"/>
      <c r="R528" s="151"/>
      <c r="S528" s="151"/>
      <c r="T528" s="151"/>
      <c r="U528" s="151"/>
      <c r="V528" s="151"/>
      <c r="W528" s="151"/>
      <c r="X528" s="151"/>
      <c r="Y528" s="151"/>
      <c r="Z528" s="151"/>
    </row>
    <row r="529" ht="12.75" customHeight="1">
      <c r="A529" s="151"/>
      <c r="B529" s="125" t="s">
        <v>1119</v>
      </c>
      <c r="C529" s="126" t="s">
        <v>1120</v>
      </c>
      <c r="D529" s="127" t="s">
        <v>180</v>
      </c>
      <c r="E529" s="151"/>
      <c r="F529" s="163">
        <v>36.11</v>
      </c>
      <c r="G529" s="164"/>
      <c r="H529" s="163">
        <v>33.88096116504854</v>
      </c>
      <c r="I529" s="164"/>
      <c r="J529" s="163">
        <v>31.651922330097083</v>
      </c>
      <c r="K529" s="164"/>
      <c r="L529" s="163">
        <v>33.88096116504854</v>
      </c>
      <c r="M529" s="164"/>
      <c r="N529" s="163">
        <v>33.88096116504854</v>
      </c>
      <c r="O529" s="164"/>
      <c r="P529" s="151"/>
      <c r="Q529" s="151"/>
      <c r="R529" s="151"/>
      <c r="S529" s="151"/>
      <c r="T529" s="151"/>
      <c r="U529" s="151"/>
      <c r="V529" s="151"/>
      <c r="W529" s="151"/>
      <c r="X529" s="151"/>
      <c r="Y529" s="151"/>
      <c r="Z529" s="151"/>
    </row>
    <row r="530" ht="12.75" customHeight="1">
      <c r="A530" s="151"/>
      <c r="B530" s="125" t="s">
        <v>1121</v>
      </c>
      <c r="C530" s="126" t="s">
        <v>1122</v>
      </c>
      <c r="D530" s="127" t="s">
        <v>180</v>
      </c>
      <c r="E530" s="151"/>
      <c r="F530" s="163">
        <v>3.5165329038832267</v>
      </c>
      <c r="G530" s="164"/>
      <c r="H530" s="163">
        <v>3.3952599149465144</v>
      </c>
      <c r="I530" s="164"/>
      <c r="J530" s="163">
        <v>3.273986926009801</v>
      </c>
      <c r="K530" s="164"/>
      <c r="L530" s="163">
        <v>3.3952599149465144</v>
      </c>
      <c r="M530" s="164"/>
      <c r="N530" s="163">
        <v>3.3952599149465144</v>
      </c>
      <c r="O530" s="164"/>
      <c r="P530" s="151"/>
      <c r="Q530" s="151"/>
      <c r="R530" s="151"/>
      <c r="S530" s="151"/>
      <c r="T530" s="151"/>
      <c r="U530" s="151"/>
      <c r="V530" s="151"/>
      <c r="W530" s="151"/>
      <c r="X530" s="151"/>
      <c r="Y530" s="151"/>
      <c r="Z530" s="151"/>
    </row>
    <row r="531" ht="12.75" customHeight="1">
      <c r="A531" s="151"/>
      <c r="B531" s="125" t="s">
        <v>1123</v>
      </c>
      <c r="C531" s="126" t="s">
        <v>1124</v>
      </c>
      <c r="D531" s="127" t="s">
        <v>142</v>
      </c>
      <c r="E531" s="151"/>
      <c r="F531" s="163">
        <v>11.83</v>
      </c>
      <c r="G531" s="164"/>
      <c r="H531" s="163">
        <v>12.06499385</v>
      </c>
      <c r="I531" s="164"/>
      <c r="J531" s="163">
        <v>12.2999877</v>
      </c>
      <c r="K531" s="164"/>
      <c r="L531" s="163">
        <v>12.06499385</v>
      </c>
      <c r="M531" s="164"/>
      <c r="N531" s="163">
        <v>12.06499385</v>
      </c>
      <c r="O531" s="164"/>
      <c r="P531" s="151"/>
      <c r="Q531" s="151"/>
      <c r="R531" s="151"/>
      <c r="S531" s="151"/>
      <c r="T531" s="151"/>
      <c r="U531" s="151"/>
      <c r="V531" s="151"/>
      <c r="W531" s="151"/>
      <c r="X531" s="151"/>
      <c r="Y531" s="151"/>
      <c r="Z531" s="151"/>
    </row>
    <row r="532" ht="12.75" customHeight="1">
      <c r="A532" s="151"/>
      <c r="B532" s="125" t="s">
        <v>1125</v>
      </c>
      <c r="C532" s="126" t="s">
        <v>1126</v>
      </c>
      <c r="D532" s="127" t="s">
        <v>142</v>
      </c>
      <c r="E532" s="151"/>
      <c r="F532" s="163">
        <v>2.84</v>
      </c>
      <c r="G532" s="164"/>
      <c r="H532" s="163">
        <v>2.484</v>
      </c>
      <c r="I532" s="164"/>
      <c r="J532" s="163">
        <v>2.41</v>
      </c>
      <c r="K532" s="164"/>
      <c r="L532" s="163">
        <v>2.484</v>
      </c>
      <c r="M532" s="164"/>
      <c r="N532" s="163">
        <v>2.484</v>
      </c>
      <c r="O532" s="164"/>
      <c r="P532" s="151"/>
      <c r="Q532" s="151"/>
      <c r="R532" s="151"/>
      <c r="S532" s="151"/>
      <c r="T532" s="151"/>
      <c r="U532" s="151"/>
      <c r="V532" s="151"/>
      <c r="W532" s="151"/>
      <c r="X532" s="151"/>
      <c r="Y532" s="151"/>
      <c r="Z532" s="151"/>
    </row>
    <row r="533" ht="12.75" customHeight="1">
      <c r="A533" s="151"/>
      <c r="B533" s="125" t="s">
        <v>1127</v>
      </c>
      <c r="C533" s="126" t="s">
        <v>1128</v>
      </c>
      <c r="D533" s="127" t="s">
        <v>946</v>
      </c>
      <c r="E533" s="151"/>
      <c r="F533" s="163">
        <v>24.485</v>
      </c>
      <c r="G533" s="164"/>
      <c r="H533" s="163">
        <v>27.70375</v>
      </c>
      <c r="I533" s="164"/>
      <c r="J533" s="163">
        <v>30.922500000000003</v>
      </c>
      <c r="K533" s="164"/>
      <c r="L533" s="163">
        <v>27.70375</v>
      </c>
      <c r="M533" s="164"/>
      <c r="N533" s="163">
        <v>27.70375</v>
      </c>
      <c r="O533" s="164"/>
      <c r="P533" s="151"/>
      <c r="Q533" s="151"/>
      <c r="R533" s="151"/>
      <c r="S533" s="151"/>
      <c r="T533" s="151"/>
      <c r="U533" s="151"/>
      <c r="V533" s="151"/>
      <c r="W533" s="151"/>
      <c r="X533" s="151"/>
      <c r="Y533" s="151"/>
      <c r="Z533" s="151"/>
    </row>
    <row r="534" ht="12.75" customHeight="1">
      <c r="A534" s="151"/>
      <c r="B534" s="125" t="s">
        <v>1129</v>
      </c>
      <c r="C534" s="126" t="s">
        <v>1130</v>
      </c>
      <c r="D534" s="127" t="s">
        <v>946</v>
      </c>
      <c r="E534" s="151"/>
      <c r="F534" s="163">
        <v>8.4816</v>
      </c>
      <c r="G534" s="164"/>
      <c r="H534" s="163">
        <v>8.4816</v>
      </c>
      <c r="I534" s="164"/>
      <c r="J534" s="163">
        <v>8.4816</v>
      </c>
      <c r="K534" s="164"/>
      <c r="L534" s="163">
        <v>8.4816</v>
      </c>
      <c r="M534" s="164"/>
      <c r="N534" s="163">
        <v>8.4816</v>
      </c>
      <c r="O534" s="164"/>
      <c r="P534" s="151"/>
      <c r="Q534" s="151"/>
      <c r="R534" s="151"/>
      <c r="S534" s="151"/>
      <c r="T534" s="151"/>
      <c r="U534" s="151"/>
      <c r="V534" s="151"/>
      <c r="W534" s="151"/>
      <c r="X534" s="151"/>
      <c r="Y534" s="151"/>
      <c r="Z534" s="151"/>
    </row>
    <row r="535" ht="12.75" customHeight="1">
      <c r="A535" s="151"/>
      <c r="B535" s="125" t="s">
        <v>1131</v>
      </c>
      <c r="C535" s="126" t="s">
        <v>1132</v>
      </c>
      <c r="D535" s="127" t="s">
        <v>946</v>
      </c>
      <c r="E535" s="151"/>
      <c r="F535" s="163">
        <v>4.5477</v>
      </c>
      <c r="G535" s="164"/>
      <c r="H535" s="163">
        <v>4.5477</v>
      </c>
      <c r="I535" s="164"/>
      <c r="J535" s="163">
        <v>4.5477</v>
      </c>
      <c r="K535" s="164"/>
      <c r="L535" s="163">
        <v>4.5477</v>
      </c>
      <c r="M535" s="164"/>
      <c r="N535" s="163">
        <v>4.5477</v>
      </c>
      <c r="O535" s="164"/>
      <c r="P535" s="151"/>
      <c r="Q535" s="151"/>
      <c r="R535" s="151"/>
      <c r="S535" s="151"/>
      <c r="T535" s="151"/>
      <c r="U535" s="151"/>
      <c r="V535" s="151"/>
      <c r="W535" s="151"/>
      <c r="X535" s="151"/>
      <c r="Y535" s="151"/>
      <c r="Z535" s="151"/>
    </row>
    <row r="536" ht="12.75" customHeight="1">
      <c r="A536" s="151"/>
      <c r="B536" s="125" t="s">
        <v>1133</v>
      </c>
      <c r="C536" s="126" t="s">
        <v>1134</v>
      </c>
      <c r="D536" s="127" t="s">
        <v>180</v>
      </c>
      <c r="E536" s="151"/>
      <c r="F536" s="163">
        <v>12.0</v>
      </c>
      <c r="G536" s="164"/>
      <c r="H536" s="163">
        <v>12.600000000000001</v>
      </c>
      <c r="I536" s="164"/>
      <c r="J536" s="163">
        <v>13.200000000000001</v>
      </c>
      <c r="K536" s="164"/>
      <c r="L536" s="163">
        <v>12.600000000000001</v>
      </c>
      <c r="M536" s="164"/>
      <c r="N536" s="163">
        <v>12.600000000000001</v>
      </c>
      <c r="O536" s="164"/>
      <c r="P536" s="151"/>
      <c r="Q536" s="151"/>
      <c r="R536" s="151"/>
      <c r="S536" s="151"/>
      <c r="T536" s="151"/>
      <c r="U536" s="151"/>
      <c r="V536" s="151"/>
      <c r="W536" s="151"/>
      <c r="X536" s="151"/>
      <c r="Y536" s="151"/>
      <c r="Z536" s="151"/>
    </row>
    <row r="537" ht="12.75" customHeight="1">
      <c r="A537" s="151"/>
      <c r="B537" s="125" t="s">
        <v>1135</v>
      </c>
      <c r="C537" s="126" t="s">
        <v>1136</v>
      </c>
      <c r="D537" s="127" t="s">
        <v>180</v>
      </c>
      <c r="E537" s="151"/>
      <c r="F537" s="163">
        <v>4.41</v>
      </c>
      <c r="G537" s="164"/>
      <c r="H537" s="163">
        <v>5.705</v>
      </c>
      <c r="I537" s="164"/>
      <c r="J537" s="163">
        <v>7.0</v>
      </c>
      <c r="K537" s="164"/>
      <c r="L537" s="163">
        <v>5.705</v>
      </c>
      <c r="M537" s="164"/>
      <c r="N537" s="163">
        <v>5.705</v>
      </c>
      <c r="O537" s="164"/>
      <c r="P537" s="151"/>
      <c r="Q537" s="151"/>
      <c r="R537" s="151"/>
      <c r="S537" s="151"/>
      <c r="T537" s="151"/>
      <c r="U537" s="151"/>
      <c r="V537" s="151"/>
      <c r="W537" s="151"/>
      <c r="X537" s="151"/>
      <c r="Y537" s="151"/>
      <c r="Z537" s="151"/>
    </row>
    <row r="538" ht="12.75" customHeight="1">
      <c r="A538" s="151"/>
      <c r="B538" s="125" t="s">
        <v>1137</v>
      </c>
      <c r="C538" s="126" t="s">
        <v>1138</v>
      </c>
      <c r="D538" s="127" t="s">
        <v>142</v>
      </c>
      <c r="E538" s="151"/>
      <c r="F538" s="163">
        <v>2224.50475</v>
      </c>
      <c r="G538" s="164"/>
      <c r="H538" s="163">
        <v>2335.7273750000004</v>
      </c>
      <c r="I538" s="164"/>
      <c r="J538" s="163">
        <v>2446.9500000000003</v>
      </c>
      <c r="K538" s="164"/>
      <c r="L538" s="163">
        <v>2335.7273750000004</v>
      </c>
      <c r="M538" s="164"/>
      <c r="N538" s="163">
        <v>2335.7273750000004</v>
      </c>
      <c r="O538" s="164"/>
      <c r="P538" s="151"/>
      <c r="Q538" s="151"/>
      <c r="R538" s="151"/>
      <c r="S538" s="151"/>
      <c r="T538" s="151"/>
      <c r="U538" s="151"/>
      <c r="V538" s="151"/>
      <c r="W538" s="151"/>
      <c r="X538" s="151"/>
      <c r="Y538" s="151"/>
      <c r="Z538" s="151"/>
    </row>
    <row r="539" ht="12.75" customHeight="1">
      <c r="A539" s="151"/>
      <c r="B539" s="125" t="s">
        <v>1139</v>
      </c>
      <c r="C539" s="126" t="s">
        <v>1140</v>
      </c>
      <c r="D539" s="127" t="s">
        <v>142</v>
      </c>
      <c r="E539" s="151"/>
      <c r="F539" s="163">
        <v>1567.9112796412182</v>
      </c>
      <c r="G539" s="164"/>
      <c r="H539" s="163">
        <v>1567.9112796412182</v>
      </c>
      <c r="I539" s="164"/>
      <c r="J539" s="163">
        <v>1567.9112796412182</v>
      </c>
      <c r="K539" s="164"/>
      <c r="L539" s="163">
        <v>1567.9112796412182</v>
      </c>
      <c r="M539" s="164"/>
      <c r="N539" s="163">
        <v>1567.9112796412182</v>
      </c>
      <c r="O539" s="164"/>
      <c r="P539" s="151"/>
      <c r="Q539" s="151"/>
      <c r="R539" s="151"/>
      <c r="S539" s="151"/>
      <c r="T539" s="151"/>
      <c r="U539" s="151"/>
      <c r="V539" s="151"/>
      <c r="W539" s="151"/>
      <c r="X539" s="151"/>
      <c r="Y539" s="151"/>
      <c r="Z539" s="151"/>
    </row>
    <row r="540" ht="12.75" customHeight="1">
      <c r="A540" s="151"/>
      <c r="B540" s="125" t="s">
        <v>1141</v>
      </c>
      <c r="C540" s="126" t="s">
        <v>1142</v>
      </c>
      <c r="D540" s="127" t="s">
        <v>64</v>
      </c>
      <c r="E540" s="151"/>
      <c r="F540" s="163">
        <v>1200.0</v>
      </c>
      <c r="G540" s="164"/>
      <c r="H540" s="163">
        <v>1260.0</v>
      </c>
      <c r="I540" s="164"/>
      <c r="J540" s="163">
        <v>1320.0</v>
      </c>
      <c r="K540" s="164"/>
      <c r="L540" s="163">
        <v>1260.0</v>
      </c>
      <c r="M540" s="164"/>
      <c r="N540" s="163">
        <v>1260.0</v>
      </c>
      <c r="O540" s="164"/>
      <c r="P540" s="151"/>
      <c r="Q540" s="151"/>
      <c r="R540" s="151"/>
      <c r="S540" s="151"/>
      <c r="T540" s="151"/>
      <c r="U540" s="151"/>
      <c r="V540" s="151"/>
      <c r="W540" s="151"/>
      <c r="X540" s="151"/>
      <c r="Y540" s="151"/>
      <c r="Z540" s="151"/>
    </row>
    <row r="541" ht="12.75" customHeight="1">
      <c r="A541" s="151"/>
      <c r="B541" s="125" t="s">
        <v>1143</v>
      </c>
      <c r="C541" s="126" t="s">
        <v>1144</v>
      </c>
      <c r="D541" s="127" t="s">
        <v>142</v>
      </c>
      <c r="E541" s="151"/>
      <c r="F541" s="163">
        <v>137.49201328774117</v>
      </c>
      <c r="G541" s="164"/>
      <c r="H541" s="163">
        <v>140.0060066438706</v>
      </c>
      <c r="I541" s="164"/>
      <c r="J541" s="163">
        <v>142.52</v>
      </c>
      <c r="K541" s="164"/>
      <c r="L541" s="163">
        <v>140.0060066438706</v>
      </c>
      <c r="M541" s="164"/>
      <c r="N541" s="163">
        <v>140.0060066438706</v>
      </c>
      <c r="O541" s="164"/>
      <c r="P541" s="151"/>
      <c r="Q541" s="151"/>
      <c r="R541" s="151"/>
      <c r="S541" s="151"/>
      <c r="T541" s="151"/>
      <c r="U541" s="151"/>
      <c r="V541" s="151"/>
      <c r="W541" s="151"/>
      <c r="X541" s="151"/>
      <c r="Y541" s="151"/>
      <c r="Z541" s="151"/>
    </row>
    <row r="542" ht="12.75" customHeight="1">
      <c r="A542" s="151"/>
      <c r="B542" s="125" t="s">
        <v>1145</v>
      </c>
      <c r="C542" s="126" t="s">
        <v>1146</v>
      </c>
      <c r="D542" s="127" t="s">
        <v>946</v>
      </c>
      <c r="E542" s="151"/>
      <c r="F542" s="163">
        <v>137.808</v>
      </c>
      <c r="G542" s="164"/>
      <c r="H542" s="163">
        <v>137.808</v>
      </c>
      <c r="I542" s="164"/>
      <c r="J542" s="163">
        <v>137.808</v>
      </c>
      <c r="K542" s="164"/>
      <c r="L542" s="163">
        <v>137.808</v>
      </c>
      <c r="M542" s="164"/>
      <c r="N542" s="163">
        <v>137.808</v>
      </c>
      <c r="O542" s="164"/>
      <c r="P542" s="151"/>
      <c r="Q542" s="151"/>
      <c r="R542" s="151"/>
      <c r="S542" s="151"/>
      <c r="T542" s="151"/>
      <c r="U542" s="151"/>
      <c r="V542" s="151"/>
      <c r="W542" s="151"/>
      <c r="X542" s="151"/>
      <c r="Y542" s="151"/>
      <c r="Z542" s="151"/>
    </row>
    <row r="543" ht="12.75" customHeight="1">
      <c r="A543" s="151"/>
      <c r="B543" s="125" t="s">
        <v>1147</v>
      </c>
      <c r="C543" s="126" t="s">
        <v>1148</v>
      </c>
      <c r="D543" s="127" t="s">
        <v>946</v>
      </c>
      <c r="E543" s="151"/>
      <c r="F543" s="163">
        <v>135.7</v>
      </c>
      <c r="G543" s="164"/>
      <c r="H543" s="163">
        <v>150.35</v>
      </c>
      <c r="I543" s="164"/>
      <c r="J543" s="163">
        <v>165.0</v>
      </c>
      <c r="K543" s="164"/>
      <c r="L543" s="163">
        <v>150.35</v>
      </c>
      <c r="M543" s="164"/>
      <c r="N543" s="163">
        <v>150.35</v>
      </c>
      <c r="O543" s="164"/>
      <c r="P543" s="151"/>
      <c r="Q543" s="151"/>
      <c r="R543" s="151"/>
      <c r="S543" s="151"/>
      <c r="T543" s="151"/>
      <c r="U543" s="151"/>
      <c r="V543" s="151"/>
      <c r="W543" s="151"/>
      <c r="X543" s="151"/>
      <c r="Y543" s="151"/>
      <c r="Z543" s="151"/>
    </row>
    <row r="544" ht="12.75" customHeight="1">
      <c r="A544" s="151"/>
      <c r="B544" s="125" t="s">
        <v>1149</v>
      </c>
      <c r="C544" s="126" t="s">
        <v>1150</v>
      </c>
      <c r="D544" s="127" t="s">
        <v>142</v>
      </c>
      <c r="E544" s="151"/>
      <c r="F544" s="163">
        <v>16.836039935222676</v>
      </c>
      <c r="G544" s="164"/>
      <c r="H544" s="163">
        <v>18.81204733603239</v>
      </c>
      <c r="I544" s="164"/>
      <c r="J544" s="163">
        <v>20.788054736842106</v>
      </c>
      <c r="K544" s="164"/>
      <c r="L544" s="163">
        <v>18.81204733603239</v>
      </c>
      <c r="M544" s="164"/>
      <c r="N544" s="163">
        <v>18.81204733603239</v>
      </c>
      <c r="O544" s="164"/>
      <c r="P544" s="151"/>
      <c r="Q544" s="151"/>
      <c r="R544" s="151"/>
      <c r="S544" s="151"/>
      <c r="T544" s="151"/>
      <c r="U544" s="151"/>
      <c r="V544" s="151"/>
      <c r="W544" s="151"/>
      <c r="X544" s="151"/>
      <c r="Y544" s="151"/>
      <c r="Z544" s="151"/>
    </row>
    <row r="545" ht="12.75" customHeight="1">
      <c r="A545" s="151"/>
      <c r="B545" s="125" t="s">
        <v>1151</v>
      </c>
      <c r="C545" s="126" t="s">
        <v>1152</v>
      </c>
      <c r="D545" s="127" t="s">
        <v>142</v>
      </c>
      <c r="E545" s="151"/>
      <c r="F545" s="163">
        <v>15.048543689320386</v>
      </c>
      <c r="G545" s="164"/>
      <c r="H545" s="163">
        <v>16.412317961165044</v>
      </c>
      <c r="I545" s="164"/>
      <c r="J545" s="163">
        <v>17.776092233009706</v>
      </c>
      <c r="K545" s="164"/>
      <c r="L545" s="163">
        <v>16.412317961165044</v>
      </c>
      <c r="M545" s="164"/>
      <c r="N545" s="163">
        <v>16.412317961165044</v>
      </c>
      <c r="O545" s="164"/>
      <c r="P545" s="151"/>
      <c r="Q545" s="151"/>
      <c r="R545" s="151"/>
      <c r="S545" s="151"/>
      <c r="T545" s="151"/>
      <c r="U545" s="151"/>
      <c r="V545" s="151"/>
      <c r="W545" s="151"/>
      <c r="X545" s="151"/>
      <c r="Y545" s="151"/>
      <c r="Z545" s="151"/>
    </row>
    <row r="546" ht="12.75" customHeight="1">
      <c r="A546" s="151"/>
      <c r="B546" s="125" t="s">
        <v>1153</v>
      </c>
      <c r="C546" s="126" t="s">
        <v>1154</v>
      </c>
      <c r="D546" s="127" t="s">
        <v>64</v>
      </c>
      <c r="E546" s="151"/>
      <c r="F546" s="163">
        <v>1500.0</v>
      </c>
      <c r="G546" s="164"/>
      <c r="H546" s="163">
        <v>1500.0</v>
      </c>
      <c r="I546" s="164"/>
      <c r="J546" s="163">
        <v>1500.0</v>
      </c>
      <c r="K546" s="164"/>
      <c r="L546" s="163">
        <v>1500.0</v>
      </c>
      <c r="M546" s="164"/>
      <c r="N546" s="163">
        <v>1500.0</v>
      </c>
      <c r="O546" s="164"/>
      <c r="P546" s="151"/>
      <c r="Q546" s="151"/>
      <c r="R546" s="151"/>
      <c r="S546" s="151"/>
      <c r="T546" s="151"/>
      <c r="U546" s="151"/>
      <c r="V546" s="151"/>
      <c r="W546" s="151"/>
      <c r="X546" s="151"/>
      <c r="Y546" s="151"/>
      <c r="Z546" s="151"/>
    </row>
    <row r="547" ht="12.75" customHeight="1">
      <c r="A547" s="151"/>
      <c r="B547" s="125"/>
      <c r="C547" s="126"/>
      <c r="D547" s="127"/>
      <c r="E547" s="151"/>
      <c r="F547" s="163"/>
      <c r="G547" s="164"/>
      <c r="H547" s="163"/>
      <c r="I547" s="164"/>
      <c r="J547" s="163"/>
      <c r="K547" s="164"/>
      <c r="L547" s="163"/>
      <c r="M547" s="164"/>
      <c r="N547" s="163"/>
      <c r="O547" s="164"/>
      <c r="P547" s="151"/>
      <c r="Q547" s="151"/>
      <c r="R547" s="151"/>
      <c r="S547" s="151"/>
      <c r="T547" s="151"/>
      <c r="U547" s="151"/>
      <c r="V547" s="151"/>
      <c r="W547" s="151"/>
      <c r="X547" s="151"/>
      <c r="Y547" s="151"/>
      <c r="Z547" s="151"/>
    </row>
    <row r="548" ht="12.75" customHeight="1">
      <c r="A548" s="151"/>
      <c r="B548" s="101" t="s">
        <v>1155</v>
      </c>
      <c r="C548" s="102" t="s">
        <v>1156</v>
      </c>
      <c r="D548" s="103"/>
      <c r="E548" s="151"/>
      <c r="F548" s="159"/>
      <c r="G548" s="160"/>
      <c r="H548" s="159"/>
      <c r="I548" s="160"/>
      <c r="J548" s="159"/>
      <c r="K548" s="160"/>
      <c r="L548" s="159"/>
      <c r="M548" s="160"/>
      <c r="N548" s="159"/>
      <c r="O548" s="160"/>
      <c r="P548" s="151"/>
      <c r="Q548" s="151"/>
      <c r="R548" s="151"/>
      <c r="S548" s="151"/>
      <c r="T548" s="151"/>
      <c r="U548" s="151"/>
      <c r="V548" s="151"/>
      <c r="W548" s="151"/>
      <c r="X548" s="151"/>
      <c r="Y548" s="151"/>
      <c r="Z548" s="151"/>
    </row>
    <row r="549" ht="12.75" customHeight="1">
      <c r="A549" s="151"/>
      <c r="B549" s="113" t="s">
        <v>1157</v>
      </c>
      <c r="C549" s="114" t="s">
        <v>1158</v>
      </c>
      <c r="D549" s="115"/>
      <c r="E549" s="151"/>
      <c r="F549" s="161"/>
      <c r="G549" s="162"/>
      <c r="H549" s="161"/>
      <c r="I549" s="162"/>
      <c r="J549" s="161"/>
      <c r="K549" s="162"/>
      <c r="L549" s="161"/>
      <c r="M549" s="162"/>
      <c r="N549" s="161"/>
      <c r="O549" s="162"/>
      <c r="P549" s="151"/>
      <c r="Q549" s="151"/>
      <c r="R549" s="151"/>
      <c r="S549" s="151"/>
      <c r="T549" s="151"/>
      <c r="U549" s="151"/>
      <c r="V549" s="151"/>
      <c r="W549" s="151"/>
      <c r="X549" s="151"/>
      <c r="Y549" s="151"/>
      <c r="Z549" s="151"/>
    </row>
    <row r="550" ht="12.75" customHeight="1">
      <c r="A550" s="151"/>
      <c r="B550" s="125" t="s">
        <v>1159</v>
      </c>
      <c r="C550" s="126" t="s">
        <v>1160</v>
      </c>
      <c r="D550" s="127" t="s">
        <v>142</v>
      </c>
      <c r="E550" s="151"/>
      <c r="F550" s="163">
        <v>332.45799999999997</v>
      </c>
      <c r="G550" s="164"/>
      <c r="H550" s="163">
        <v>371.83765009999996</v>
      </c>
      <c r="I550" s="164"/>
      <c r="J550" s="163">
        <v>411.21730019999995</v>
      </c>
      <c r="K550" s="164"/>
      <c r="L550" s="163">
        <v>371.83765009999996</v>
      </c>
      <c r="M550" s="164"/>
      <c r="N550" s="163">
        <v>371.83765009999996</v>
      </c>
      <c r="O550" s="164"/>
      <c r="P550" s="151"/>
      <c r="Q550" s="151"/>
      <c r="R550" s="151"/>
      <c r="S550" s="151"/>
      <c r="T550" s="151"/>
      <c r="U550" s="151"/>
      <c r="V550" s="151"/>
      <c r="W550" s="151"/>
      <c r="X550" s="151"/>
      <c r="Y550" s="151"/>
      <c r="Z550" s="151"/>
    </row>
    <row r="551" ht="12.75" customHeight="1">
      <c r="A551" s="151"/>
      <c r="B551" s="125" t="s">
        <v>1161</v>
      </c>
      <c r="C551" s="126" t="s">
        <v>1162</v>
      </c>
      <c r="D551" s="127" t="s">
        <v>142</v>
      </c>
      <c r="E551" s="151"/>
      <c r="F551" s="163">
        <v>50.873786407767</v>
      </c>
      <c r="G551" s="164"/>
      <c r="H551" s="163">
        <v>61.6727682038835</v>
      </c>
      <c r="I551" s="164"/>
      <c r="J551" s="163">
        <v>72.47175</v>
      </c>
      <c r="K551" s="164"/>
      <c r="L551" s="163">
        <v>61.6727682038835</v>
      </c>
      <c r="M551" s="164"/>
      <c r="N551" s="163">
        <v>61.6727682038835</v>
      </c>
      <c r="O551" s="164"/>
      <c r="P551" s="151"/>
      <c r="Q551" s="151"/>
      <c r="R551" s="151"/>
      <c r="S551" s="151"/>
      <c r="T551" s="151"/>
      <c r="U551" s="151"/>
      <c r="V551" s="151"/>
      <c r="W551" s="151"/>
      <c r="X551" s="151"/>
      <c r="Y551" s="151"/>
      <c r="Z551" s="151"/>
    </row>
    <row r="552" ht="12.75" customHeight="1">
      <c r="A552" s="151"/>
      <c r="B552" s="125" t="s">
        <v>1163</v>
      </c>
      <c r="C552" s="126" t="s">
        <v>1164</v>
      </c>
      <c r="D552" s="127" t="s">
        <v>142</v>
      </c>
      <c r="E552" s="151"/>
      <c r="F552" s="163">
        <v>345.66</v>
      </c>
      <c r="G552" s="164"/>
      <c r="H552" s="163">
        <v>345.66</v>
      </c>
      <c r="I552" s="164"/>
      <c r="J552" s="163">
        <v>345.66</v>
      </c>
      <c r="K552" s="164"/>
      <c r="L552" s="163">
        <v>345.66</v>
      </c>
      <c r="M552" s="164"/>
      <c r="N552" s="163">
        <v>345.66</v>
      </c>
      <c r="O552" s="164"/>
      <c r="P552" s="151"/>
      <c r="Q552" s="151"/>
      <c r="R552" s="151"/>
      <c r="S552" s="151"/>
      <c r="T552" s="151"/>
      <c r="U552" s="151"/>
      <c r="V552" s="151"/>
      <c r="W552" s="151"/>
      <c r="X552" s="151"/>
      <c r="Y552" s="151"/>
      <c r="Z552" s="151"/>
    </row>
    <row r="553" ht="12.75" customHeight="1">
      <c r="A553" s="151"/>
      <c r="B553" s="125" t="s">
        <v>1165</v>
      </c>
      <c r="C553" s="126" t="s">
        <v>1166</v>
      </c>
      <c r="D553" s="127" t="s">
        <v>142</v>
      </c>
      <c r="E553" s="151"/>
      <c r="F553" s="163">
        <v>1633.2552281675091</v>
      </c>
      <c r="G553" s="164"/>
      <c r="H553" s="163">
        <v>1463.2226140837547</v>
      </c>
      <c r="I553" s="164"/>
      <c r="J553" s="163">
        <v>1293.19</v>
      </c>
      <c r="K553" s="164"/>
      <c r="L553" s="163">
        <v>1463.2226140837547</v>
      </c>
      <c r="M553" s="164"/>
      <c r="N553" s="163">
        <v>1463.2226140837547</v>
      </c>
      <c r="O553" s="164"/>
      <c r="P553" s="151"/>
      <c r="Q553" s="151"/>
      <c r="R553" s="151"/>
      <c r="S553" s="151"/>
      <c r="T553" s="151"/>
      <c r="U553" s="151"/>
      <c r="V553" s="151"/>
      <c r="W553" s="151"/>
      <c r="X553" s="151"/>
      <c r="Y553" s="151"/>
      <c r="Z553" s="151"/>
    </row>
    <row r="554" ht="12.75" customHeight="1">
      <c r="A554" s="151"/>
      <c r="B554" s="125" t="s">
        <v>1167</v>
      </c>
      <c r="C554" s="126" t="s">
        <v>1168</v>
      </c>
      <c r="D554" s="127" t="s">
        <v>142</v>
      </c>
      <c r="E554" s="151"/>
      <c r="F554" s="163">
        <v>699.2010605157593</v>
      </c>
      <c r="G554" s="164"/>
      <c r="H554" s="163">
        <v>817.0955302578798</v>
      </c>
      <c r="I554" s="164"/>
      <c r="J554" s="163">
        <v>934.99</v>
      </c>
      <c r="K554" s="164"/>
      <c r="L554" s="163">
        <v>817.0955302578798</v>
      </c>
      <c r="M554" s="164"/>
      <c r="N554" s="163">
        <v>817.0955302578798</v>
      </c>
      <c r="O554" s="164"/>
      <c r="P554" s="151"/>
      <c r="Q554" s="151"/>
      <c r="R554" s="151"/>
      <c r="S554" s="151"/>
      <c r="T554" s="151"/>
      <c r="U554" s="151"/>
      <c r="V554" s="151"/>
      <c r="W554" s="151"/>
      <c r="X554" s="151"/>
      <c r="Y554" s="151"/>
      <c r="Z554" s="151"/>
    </row>
    <row r="555" ht="12.75" customHeight="1">
      <c r="A555" s="151"/>
      <c r="B555" s="125" t="s">
        <v>1169</v>
      </c>
      <c r="C555" s="126" t="s">
        <v>1170</v>
      </c>
      <c r="D555" s="127" t="s">
        <v>142</v>
      </c>
      <c r="E555" s="151"/>
      <c r="F555" s="163">
        <v>1627.5741897911998</v>
      </c>
      <c r="G555" s="164"/>
      <c r="H555" s="163">
        <v>1397.6115110706</v>
      </c>
      <c r="I555" s="164"/>
      <c r="J555" s="163">
        <v>1167.64883235</v>
      </c>
      <c r="K555" s="164"/>
      <c r="L555" s="163">
        <v>1397.6115110706</v>
      </c>
      <c r="M555" s="164"/>
      <c r="N555" s="163">
        <v>1397.6115110706</v>
      </c>
      <c r="O555" s="164"/>
      <c r="P555" s="151"/>
      <c r="Q555" s="151"/>
      <c r="R555" s="151"/>
      <c r="S555" s="151"/>
      <c r="T555" s="151"/>
      <c r="U555" s="151"/>
      <c r="V555" s="151"/>
      <c r="W555" s="151"/>
      <c r="X555" s="151"/>
      <c r="Y555" s="151"/>
      <c r="Z555" s="151"/>
    </row>
    <row r="556" ht="12.75" customHeight="1">
      <c r="A556" s="151"/>
      <c r="B556" s="125" t="s">
        <v>1171</v>
      </c>
      <c r="C556" s="126" t="s">
        <v>1172</v>
      </c>
      <c r="D556" s="127" t="s">
        <v>142</v>
      </c>
      <c r="E556" s="151"/>
      <c r="F556" s="163">
        <v>238.18374999999997</v>
      </c>
      <c r="G556" s="164"/>
      <c r="H556" s="163">
        <v>247.709075</v>
      </c>
      <c r="I556" s="164"/>
      <c r="J556" s="163">
        <v>257.23440000000005</v>
      </c>
      <c r="K556" s="164"/>
      <c r="L556" s="163">
        <v>247.709075</v>
      </c>
      <c r="M556" s="164"/>
      <c r="N556" s="163">
        <v>247.709075</v>
      </c>
      <c r="O556" s="164"/>
      <c r="P556" s="151"/>
      <c r="Q556" s="151"/>
      <c r="R556" s="151"/>
      <c r="S556" s="151"/>
      <c r="T556" s="151"/>
      <c r="U556" s="151"/>
      <c r="V556" s="151"/>
      <c r="W556" s="151"/>
      <c r="X556" s="151"/>
      <c r="Y556" s="151"/>
      <c r="Z556" s="151"/>
    </row>
    <row r="557" ht="12.75" customHeight="1">
      <c r="A557" s="151"/>
      <c r="B557" s="125" t="s">
        <v>1173</v>
      </c>
      <c r="C557" s="126" t="s">
        <v>1174</v>
      </c>
      <c r="D557" s="127" t="s">
        <v>142</v>
      </c>
      <c r="E557" s="151"/>
      <c r="F557" s="163">
        <v>1786.56</v>
      </c>
      <c r="G557" s="164"/>
      <c r="H557" s="163">
        <v>1676.28885</v>
      </c>
      <c r="I557" s="164"/>
      <c r="J557" s="163">
        <v>1566.0177</v>
      </c>
      <c r="K557" s="164"/>
      <c r="L557" s="163">
        <v>1676.28885</v>
      </c>
      <c r="M557" s="164"/>
      <c r="N557" s="163">
        <v>1676.28885</v>
      </c>
      <c r="O557" s="164"/>
      <c r="P557" s="151"/>
      <c r="Q557" s="151"/>
      <c r="R557" s="151"/>
      <c r="S557" s="151"/>
      <c r="T557" s="151"/>
      <c r="U557" s="151"/>
      <c r="V557" s="151"/>
      <c r="W557" s="151"/>
      <c r="X557" s="151"/>
      <c r="Y557" s="151"/>
      <c r="Z557" s="151"/>
    </row>
    <row r="558" ht="12.75" customHeight="1">
      <c r="A558" s="151"/>
      <c r="B558" s="125" t="s">
        <v>1175</v>
      </c>
      <c r="C558" s="126" t="s">
        <v>1176</v>
      </c>
      <c r="D558" s="127" t="s">
        <v>142</v>
      </c>
      <c r="E558" s="151"/>
      <c r="F558" s="163">
        <v>1156.8272727272727</v>
      </c>
      <c r="G558" s="164"/>
      <c r="H558" s="163">
        <v>1214.6686363636363</v>
      </c>
      <c r="I558" s="164"/>
      <c r="J558" s="163">
        <v>1272.51</v>
      </c>
      <c r="K558" s="164"/>
      <c r="L558" s="163">
        <v>1214.6686363636363</v>
      </c>
      <c r="M558" s="164"/>
      <c r="N558" s="163">
        <v>1214.6686363636363</v>
      </c>
      <c r="O558" s="164"/>
      <c r="P558" s="151"/>
      <c r="Q558" s="151"/>
      <c r="R558" s="151"/>
      <c r="S558" s="151"/>
      <c r="T558" s="151"/>
      <c r="U558" s="151"/>
      <c r="V558" s="151"/>
      <c r="W558" s="151"/>
      <c r="X558" s="151"/>
      <c r="Y558" s="151"/>
      <c r="Z558" s="151"/>
    </row>
    <row r="559" ht="12.75" customHeight="1">
      <c r="A559" s="151"/>
      <c r="B559" s="125" t="s">
        <v>1177</v>
      </c>
      <c r="C559" s="126" t="s">
        <v>1178</v>
      </c>
      <c r="D559" s="127" t="s">
        <v>142</v>
      </c>
      <c r="E559" s="151"/>
      <c r="F559" s="163">
        <v>263.9090909090909</v>
      </c>
      <c r="G559" s="164"/>
      <c r="H559" s="163">
        <v>277.1045454545455</v>
      </c>
      <c r="I559" s="164"/>
      <c r="J559" s="163">
        <v>290.3</v>
      </c>
      <c r="K559" s="164"/>
      <c r="L559" s="163">
        <v>277.1045454545455</v>
      </c>
      <c r="M559" s="164"/>
      <c r="N559" s="163">
        <v>277.1045454545455</v>
      </c>
      <c r="O559" s="164"/>
      <c r="P559" s="151"/>
      <c r="Q559" s="151"/>
      <c r="R559" s="151"/>
      <c r="S559" s="151"/>
      <c r="T559" s="151"/>
      <c r="U559" s="151"/>
      <c r="V559" s="151"/>
      <c r="W559" s="151"/>
      <c r="X559" s="151"/>
      <c r="Y559" s="151"/>
      <c r="Z559" s="151"/>
    </row>
    <row r="560" ht="12.75" customHeight="1">
      <c r="A560" s="151"/>
      <c r="B560" s="125" t="s">
        <v>1179</v>
      </c>
      <c r="C560" s="126" t="s">
        <v>1180</v>
      </c>
      <c r="D560" s="127" t="s">
        <v>142</v>
      </c>
      <c r="E560" s="151"/>
      <c r="F560" s="163">
        <v>370.0</v>
      </c>
      <c r="G560" s="164"/>
      <c r="H560" s="163">
        <v>413.78</v>
      </c>
      <c r="I560" s="164"/>
      <c r="J560" s="163">
        <v>457.56</v>
      </c>
      <c r="K560" s="164"/>
      <c r="L560" s="163">
        <v>413.78</v>
      </c>
      <c r="M560" s="164"/>
      <c r="N560" s="163">
        <v>413.78</v>
      </c>
      <c r="O560" s="164"/>
      <c r="P560" s="151"/>
      <c r="Q560" s="151"/>
      <c r="R560" s="151"/>
      <c r="S560" s="151"/>
      <c r="T560" s="151"/>
      <c r="U560" s="151"/>
      <c r="V560" s="151"/>
      <c r="W560" s="151"/>
      <c r="X560" s="151"/>
      <c r="Y560" s="151"/>
      <c r="Z560" s="151"/>
    </row>
    <row r="561" ht="12.75" customHeight="1">
      <c r="A561" s="151"/>
      <c r="B561" s="125" t="s">
        <v>1181</v>
      </c>
      <c r="C561" s="126" t="s">
        <v>1182</v>
      </c>
      <c r="D561" s="127" t="s">
        <v>946</v>
      </c>
      <c r="E561" s="151"/>
      <c r="F561" s="163">
        <v>1488.4185000000002</v>
      </c>
      <c r="G561" s="164"/>
      <c r="H561" s="163">
        <v>1488.4185000000002</v>
      </c>
      <c r="I561" s="164"/>
      <c r="J561" s="163">
        <v>1488.4185000000002</v>
      </c>
      <c r="K561" s="164"/>
      <c r="L561" s="163">
        <v>1488.4185000000002</v>
      </c>
      <c r="M561" s="164"/>
      <c r="N561" s="163">
        <v>1488.4185000000002</v>
      </c>
      <c r="O561" s="164"/>
      <c r="P561" s="151"/>
      <c r="Q561" s="151"/>
      <c r="R561" s="151"/>
      <c r="S561" s="151"/>
      <c r="T561" s="151"/>
      <c r="U561" s="151"/>
      <c r="V561" s="151"/>
      <c r="W561" s="151"/>
      <c r="X561" s="151"/>
      <c r="Y561" s="151"/>
      <c r="Z561" s="151"/>
    </row>
    <row r="562" ht="12.75" customHeight="1">
      <c r="A562" s="151"/>
      <c r="B562" s="125" t="s">
        <v>1183</v>
      </c>
      <c r="C562" s="126" t="s">
        <v>1184</v>
      </c>
      <c r="D562" s="127" t="s">
        <v>142</v>
      </c>
      <c r="E562" s="151"/>
      <c r="F562" s="163">
        <v>81.8109136</v>
      </c>
      <c r="G562" s="164"/>
      <c r="H562" s="163">
        <v>85.90145928000001</v>
      </c>
      <c r="I562" s="164"/>
      <c r="J562" s="163">
        <v>89.99200496000002</v>
      </c>
      <c r="K562" s="164"/>
      <c r="L562" s="163">
        <v>85.90145928000001</v>
      </c>
      <c r="M562" s="164"/>
      <c r="N562" s="163">
        <v>85.90145928000001</v>
      </c>
      <c r="O562" s="164"/>
      <c r="P562" s="151"/>
      <c r="Q562" s="151"/>
      <c r="R562" s="151"/>
      <c r="S562" s="151"/>
      <c r="T562" s="151"/>
      <c r="U562" s="151"/>
      <c r="V562" s="151"/>
      <c r="W562" s="151"/>
      <c r="X562" s="151"/>
      <c r="Y562" s="151"/>
      <c r="Z562" s="151"/>
    </row>
    <row r="563" ht="12.75" customHeight="1">
      <c r="A563" s="151"/>
      <c r="B563" s="125" t="s">
        <v>1185</v>
      </c>
      <c r="C563" s="126" t="s">
        <v>1186</v>
      </c>
      <c r="D563" s="127" t="s">
        <v>142</v>
      </c>
      <c r="E563" s="151"/>
      <c r="F563" s="163">
        <v>91.89</v>
      </c>
      <c r="G563" s="164"/>
      <c r="H563" s="163">
        <v>96.4845</v>
      </c>
      <c r="I563" s="164"/>
      <c r="J563" s="163">
        <v>101.07900000000001</v>
      </c>
      <c r="K563" s="164"/>
      <c r="L563" s="163">
        <v>96.4845</v>
      </c>
      <c r="M563" s="164"/>
      <c r="N563" s="163">
        <v>96.4845</v>
      </c>
      <c r="O563" s="164"/>
      <c r="P563" s="151"/>
      <c r="Q563" s="151"/>
      <c r="R563" s="151"/>
      <c r="S563" s="151"/>
      <c r="T563" s="151"/>
      <c r="U563" s="151"/>
      <c r="V563" s="151"/>
      <c r="W563" s="151"/>
      <c r="X563" s="151"/>
      <c r="Y563" s="151"/>
      <c r="Z563" s="151"/>
    </row>
    <row r="564" ht="12.75" customHeight="1">
      <c r="A564" s="151"/>
      <c r="B564" s="125" t="s">
        <v>1187</v>
      </c>
      <c r="C564" s="126" t="s">
        <v>1188</v>
      </c>
      <c r="D564" s="127" t="s">
        <v>142</v>
      </c>
      <c r="E564" s="151"/>
      <c r="F564" s="163">
        <v>797.22069</v>
      </c>
      <c r="G564" s="164"/>
      <c r="H564" s="163">
        <v>837.0817245000001</v>
      </c>
      <c r="I564" s="164"/>
      <c r="J564" s="163">
        <v>876.942759</v>
      </c>
      <c r="K564" s="164"/>
      <c r="L564" s="163">
        <v>837.0817245000001</v>
      </c>
      <c r="M564" s="164"/>
      <c r="N564" s="163">
        <v>837.0817245000001</v>
      </c>
      <c r="O564" s="164"/>
      <c r="P564" s="151"/>
      <c r="Q564" s="151"/>
      <c r="R564" s="151"/>
      <c r="S564" s="151"/>
      <c r="T564" s="151"/>
      <c r="U564" s="151"/>
      <c r="V564" s="151"/>
      <c r="W564" s="151"/>
      <c r="X564" s="151"/>
      <c r="Y564" s="151"/>
      <c r="Z564" s="151"/>
    </row>
    <row r="565" ht="12.75" customHeight="1">
      <c r="A565" s="151"/>
      <c r="B565" s="125" t="s">
        <v>1189</v>
      </c>
      <c r="C565" s="126" t="s">
        <v>1190</v>
      </c>
      <c r="D565" s="127" t="s">
        <v>142</v>
      </c>
      <c r="E565" s="151"/>
      <c r="F565" s="163">
        <v>798.47</v>
      </c>
      <c r="G565" s="164"/>
      <c r="H565" s="163">
        <v>935.485</v>
      </c>
      <c r="I565" s="164"/>
      <c r="J565" s="163">
        <v>1072.5</v>
      </c>
      <c r="K565" s="164"/>
      <c r="L565" s="163">
        <v>935.485</v>
      </c>
      <c r="M565" s="164"/>
      <c r="N565" s="163">
        <v>935.485</v>
      </c>
      <c r="O565" s="164"/>
      <c r="P565" s="151"/>
      <c r="Q565" s="151"/>
      <c r="R565" s="151"/>
      <c r="S565" s="151"/>
      <c r="T565" s="151"/>
      <c r="U565" s="151"/>
      <c r="V565" s="151"/>
      <c r="W565" s="151"/>
      <c r="X565" s="151"/>
      <c r="Y565" s="151"/>
      <c r="Z565" s="151"/>
    </row>
    <row r="566" ht="12.75" customHeight="1">
      <c r="A566" s="151"/>
      <c r="B566" s="125" t="s">
        <v>1191</v>
      </c>
      <c r="C566" s="126" t="s">
        <v>1192</v>
      </c>
      <c r="D566" s="127" t="s">
        <v>142</v>
      </c>
      <c r="E566" s="151"/>
      <c r="F566" s="163">
        <v>625.0</v>
      </c>
      <c r="G566" s="164"/>
      <c r="H566" s="163">
        <v>749.568</v>
      </c>
      <c r="I566" s="164"/>
      <c r="J566" s="163">
        <v>874.136</v>
      </c>
      <c r="K566" s="164"/>
      <c r="L566" s="163">
        <v>749.568</v>
      </c>
      <c r="M566" s="164"/>
      <c r="N566" s="163">
        <v>749.568</v>
      </c>
      <c r="O566" s="164"/>
      <c r="P566" s="151"/>
      <c r="Q566" s="151"/>
      <c r="R566" s="151"/>
      <c r="S566" s="151"/>
      <c r="T566" s="151"/>
      <c r="U566" s="151"/>
      <c r="V566" s="151"/>
      <c r="W566" s="151"/>
      <c r="X566" s="151"/>
      <c r="Y566" s="151"/>
      <c r="Z566" s="151"/>
    </row>
    <row r="567" ht="12.75" customHeight="1">
      <c r="A567" s="151"/>
      <c r="B567" s="125" t="s">
        <v>1193</v>
      </c>
      <c r="C567" s="126" t="s">
        <v>1194</v>
      </c>
      <c r="D567" s="127" t="s">
        <v>142</v>
      </c>
      <c r="E567" s="151"/>
      <c r="F567" s="163">
        <v>884.386</v>
      </c>
      <c r="G567" s="164"/>
      <c r="H567" s="163">
        <v>884.386</v>
      </c>
      <c r="I567" s="164"/>
      <c r="J567" s="163">
        <v>884.386</v>
      </c>
      <c r="K567" s="164"/>
      <c r="L567" s="163">
        <v>884.386</v>
      </c>
      <c r="M567" s="164"/>
      <c r="N567" s="163">
        <v>884.386</v>
      </c>
      <c r="O567" s="164"/>
      <c r="P567" s="151"/>
      <c r="Q567" s="151"/>
      <c r="R567" s="151"/>
      <c r="S567" s="151"/>
      <c r="T567" s="151"/>
      <c r="U567" s="151"/>
      <c r="V567" s="151"/>
      <c r="W567" s="151"/>
      <c r="X567" s="151"/>
      <c r="Y567" s="151"/>
      <c r="Z567" s="151"/>
    </row>
    <row r="568" ht="12.75" customHeight="1">
      <c r="A568" s="151"/>
      <c r="B568" s="125" t="s">
        <v>1195</v>
      </c>
      <c r="C568" s="126" t="s">
        <v>1196</v>
      </c>
      <c r="D568" s="127" t="s">
        <v>142</v>
      </c>
      <c r="E568" s="151"/>
      <c r="F568" s="163">
        <v>459.9</v>
      </c>
      <c r="G568" s="164"/>
      <c r="H568" s="163">
        <v>482.895</v>
      </c>
      <c r="I568" s="164"/>
      <c r="J568" s="163">
        <v>505.89000000000004</v>
      </c>
      <c r="K568" s="164"/>
      <c r="L568" s="163">
        <v>482.895</v>
      </c>
      <c r="M568" s="164"/>
      <c r="N568" s="163">
        <v>482.895</v>
      </c>
      <c r="O568" s="164"/>
      <c r="P568" s="151"/>
      <c r="Q568" s="151"/>
      <c r="R568" s="151"/>
      <c r="S568" s="151"/>
      <c r="T568" s="151"/>
      <c r="U568" s="151"/>
      <c r="V568" s="151"/>
      <c r="W568" s="151"/>
      <c r="X568" s="151"/>
      <c r="Y568" s="151"/>
      <c r="Z568" s="151"/>
    </row>
    <row r="569" ht="12.75" customHeight="1">
      <c r="A569" s="151"/>
      <c r="B569" s="125" t="s">
        <v>1197</v>
      </c>
      <c r="C569" s="126" t="s">
        <v>1198</v>
      </c>
      <c r="D569" s="127" t="s">
        <v>142</v>
      </c>
      <c r="E569" s="151"/>
      <c r="F569" s="163">
        <v>501.34</v>
      </c>
      <c r="G569" s="164"/>
      <c r="H569" s="163">
        <v>521.3936</v>
      </c>
      <c r="I569" s="164"/>
      <c r="J569" s="163">
        <v>541.4472</v>
      </c>
      <c r="K569" s="164"/>
      <c r="L569" s="163">
        <v>521.3936</v>
      </c>
      <c r="M569" s="164"/>
      <c r="N569" s="163">
        <v>521.3936</v>
      </c>
      <c r="O569" s="164"/>
      <c r="P569" s="151"/>
      <c r="Q569" s="151"/>
      <c r="R569" s="151"/>
      <c r="S569" s="151"/>
      <c r="T569" s="151"/>
      <c r="U569" s="151"/>
      <c r="V569" s="151"/>
      <c r="W569" s="151"/>
      <c r="X569" s="151"/>
      <c r="Y569" s="151"/>
      <c r="Z569" s="151"/>
    </row>
    <row r="570" ht="12.75" customHeight="1">
      <c r="A570" s="151"/>
      <c r="B570" s="125" t="s">
        <v>1199</v>
      </c>
      <c r="C570" s="126" t="s">
        <v>1200</v>
      </c>
      <c r="D570" s="127" t="s">
        <v>142</v>
      </c>
      <c r="E570" s="151"/>
      <c r="F570" s="163">
        <v>609.7545</v>
      </c>
      <c r="G570" s="164"/>
      <c r="H570" s="163">
        <v>625.96905</v>
      </c>
      <c r="I570" s="164"/>
      <c r="J570" s="163">
        <v>642.1836000000001</v>
      </c>
      <c r="K570" s="164"/>
      <c r="L570" s="163">
        <v>625.96905</v>
      </c>
      <c r="M570" s="164"/>
      <c r="N570" s="163">
        <v>625.96905</v>
      </c>
      <c r="O570" s="164"/>
      <c r="P570" s="151"/>
      <c r="Q570" s="151"/>
      <c r="R570" s="151"/>
      <c r="S570" s="151"/>
      <c r="T570" s="151"/>
      <c r="U570" s="151"/>
      <c r="V570" s="151"/>
      <c r="W570" s="151"/>
      <c r="X570" s="151"/>
      <c r="Y570" s="151"/>
      <c r="Z570" s="151"/>
    </row>
    <row r="571" ht="12.75" customHeight="1">
      <c r="A571" s="151"/>
      <c r="B571" s="125" t="s">
        <v>1201</v>
      </c>
      <c r="C571" s="126" t="s">
        <v>1202</v>
      </c>
      <c r="D571" s="127" t="s">
        <v>142</v>
      </c>
      <c r="E571" s="151"/>
      <c r="F571" s="163">
        <v>1360.27</v>
      </c>
      <c r="G571" s="164"/>
      <c r="H571" s="163">
        <v>1360.27</v>
      </c>
      <c r="I571" s="164"/>
      <c r="J571" s="163">
        <v>1360.27</v>
      </c>
      <c r="K571" s="164"/>
      <c r="L571" s="163">
        <v>1360.27</v>
      </c>
      <c r="M571" s="164"/>
      <c r="N571" s="163">
        <v>1360.27</v>
      </c>
      <c r="O571" s="164"/>
      <c r="P571" s="151"/>
      <c r="Q571" s="151"/>
      <c r="R571" s="151"/>
      <c r="S571" s="151"/>
      <c r="T571" s="151"/>
      <c r="U571" s="151"/>
      <c r="V571" s="151"/>
      <c r="W571" s="151"/>
      <c r="X571" s="151"/>
      <c r="Y571" s="151"/>
      <c r="Z571" s="151"/>
    </row>
    <row r="572" ht="12.75" customHeight="1">
      <c r="A572" s="151"/>
      <c r="B572" s="125" t="s">
        <v>1203</v>
      </c>
      <c r="C572" s="126" t="s">
        <v>1204</v>
      </c>
      <c r="D572" s="127" t="s">
        <v>142</v>
      </c>
      <c r="E572" s="151"/>
      <c r="F572" s="163">
        <v>684.13</v>
      </c>
      <c r="G572" s="164"/>
      <c r="H572" s="163">
        <v>653.8729999999999</v>
      </c>
      <c r="I572" s="164"/>
      <c r="J572" s="163">
        <v>623.6159999999999</v>
      </c>
      <c r="K572" s="164"/>
      <c r="L572" s="163">
        <v>653.8729999999999</v>
      </c>
      <c r="M572" s="164"/>
      <c r="N572" s="163">
        <v>653.8729999999999</v>
      </c>
      <c r="O572" s="164"/>
      <c r="P572" s="151"/>
      <c r="Q572" s="151"/>
      <c r="R572" s="151"/>
      <c r="S572" s="151"/>
      <c r="T572" s="151"/>
      <c r="U572" s="151"/>
      <c r="V572" s="151"/>
      <c r="W572" s="151"/>
      <c r="X572" s="151"/>
      <c r="Y572" s="151"/>
      <c r="Z572" s="151"/>
    </row>
    <row r="573" ht="12.75" customHeight="1">
      <c r="A573" s="151"/>
      <c r="B573" s="125" t="s">
        <v>1205</v>
      </c>
      <c r="C573" s="126" t="s">
        <v>1206</v>
      </c>
      <c r="D573" s="127" t="s">
        <v>142</v>
      </c>
      <c r="E573" s="151"/>
      <c r="F573" s="163">
        <v>1098.04</v>
      </c>
      <c r="G573" s="164"/>
      <c r="H573" s="163">
        <v>1141.9616</v>
      </c>
      <c r="I573" s="164"/>
      <c r="J573" s="163">
        <v>1185.8832</v>
      </c>
      <c r="K573" s="164"/>
      <c r="L573" s="163">
        <v>1141.9616</v>
      </c>
      <c r="M573" s="164"/>
      <c r="N573" s="163">
        <v>1141.9616</v>
      </c>
      <c r="O573" s="164"/>
      <c r="P573" s="151"/>
      <c r="Q573" s="151"/>
      <c r="R573" s="151"/>
      <c r="S573" s="151"/>
      <c r="T573" s="151"/>
      <c r="U573" s="151"/>
      <c r="V573" s="151"/>
      <c r="W573" s="151"/>
      <c r="X573" s="151"/>
      <c r="Y573" s="151"/>
      <c r="Z573" s="151"/>
    </row>
    <row r="574" ht="12.75" customHeight="1">
      <c r="A574" s="151"/>
      <c r="B574" s="125" t="s">
        <v>1207</v>
      </c>
      <c r="C574" s="126" t="s">
        <v>1208</v>
      </c>
      <c r="D574" s="127" t="s">
        <v>142</v>
      </c>
      <c r="E574" s="151"/>
      <c r="F574" s="163">
        <v>347.32</v>
      </c>
      <c r="G574" s="164"/>
      <c r="H574" s="163">
        <v>364.68600000000004</v>
      </c>
      <c r="I574" s="164"/>
      <c r="J574" s="163">
        <v>382.052</v>
      </c>
      <c r="K574" s="164"/>
      <c r="L574" s="163">
        <v>364.68600000000004</v>
      </c>
      <c r="M574" s="164"/>
      <c r="N574" s="163">
        <v>364.68600000000004</v>
      </c>
      <c r="O574" s="164"/>
      <c r="P574" s="151"/>
      <c r="Q574" s="151"/>
      <c r="R574" s="151"/>
      <c r="S574" s="151"/>
      <c r="T574" s="151"/>
      <c r="U574" s="151"/>
      <c r="V574" s="151"/>
      <c r="W574" s="151"/>
      <c r="X574" s="151"/>
      <c r="Y574" s="151"/>
      <c r="Z574" s="151"/>
    </row>
    <row r="575" ht="12.75" customHeight="1">
      <c r="A575" s="151"/>
      <c r="B575" s="125" t="s">
        <v>1209</v>
      </c>
      <c r="C575" s="126" t="s">
        <v>1210</v>
      </c>
      <c r="D575" s="127" t="s">
        <v>142</v>
      </c>
      <c r="E575" s="151"/>
      <c r="F575" s="163">
        <v>365.4</v>
      </c>
      <c r="G575" s="164"/>
      <c r="H575" s="163">
        <v>383.66999999999996</v>
      </c>
      <c r="I575" s="164"/>
      <c r="J575" s="163">
        <v>401.94</v>
      </c>
      <c r="K575" s="164"/>
      <c r="L575" s="163">
        <v>383.66999999999996</v>
      </c>
      <c r="M575" s="164"/>
      <c r="N575" s="163">
        <v>383.66999999999996</v>
      </c>
      <c r="O575" s="164"/>
      <c r="P575" s="151"/>
      <c r="Q575" s="151"/>
      <c r="R575" s="151"/>
      <c r="S575" s="151"/>
      <c r="T575" s="151"/>
      <c r="U575" s="151"/>
      <c r="V575" s="151"/>
      <c r="W575" s="151"/>
      <c r="X575" s="151"/>
      <c r="Y575" s="151"/>
      <c r="Z575" s="151"/>
    </row>
    <row r="576" ht="12.75" customHeight="1">
      <c r="A576" s="151"/>
      <c r="B576" s="125" t="s">
        <v>1211</v>
      </c>
      <c r="C576" s="126" t="s">
        <v>1212</v>
      </c>
      <c r="D576" s="127" t="s">
        <v>142</v>
      </c>
      <c r="E576" s="151"/>
      <c r="F576" s="163">
        <v>1437.5382000000002</v>
      </c>
      <c r="G576" s="164"/>
      <c r="H576" s="163">
        <v>1437.5382000000002</v>
      </c>
      <c r="I576" s="164"/>
      <c r="J576" s="163">
        <v>1437.5382000000002</v>
      </c>
      <c r="K576" s="164"/>
      <c r="L576" s="163">
        <v>1437.5382000000002</v>
      </c>
      <c r="M576" s="164"/>
      <c r="N576" s="163">
        <v>1437.5382000000002</v>
      </c>
      <c r="O576" s="164"/>
      <c r="P576" s="151"/>
      <c r="Q576" s="151"/>
      <c r="R576" s="151"/>
      <c r="S576" s="151"/>
      <c r="T576" s="151"/>
      <c r="U576" s="151"/>
      <c r="V576" s="151"/>
      <c r="W576" s="151"/>
      <c r="X576" s="151"/>
      <c r="Y576" s="151"/>
      <c r="Z576" s="151"/>
    </row>
    <row r="577" ht="12.75" customHeight="1">
      <c r="A577" s="151"/>
      <c r="B577" s="125" t="s">
        <v>1213</v>
      </c>
      <c r="C577" s="126" t="s">
        <v>1214</v>
      </c>
      <c r="D577" s="127" t="s">
        <v>142</v>
      </c>
      <c r="E577" s="151"/>
      <c r="F577" s="163">
        <v>206.29</v>
      </c>
      <c r="G577" s="164"/>
      <c r="H577" s="163">
        <v>242.28486085999998</v>
      </c>
      <c r="I577" s="164"/>
      <c r="J577" s="163">
        <v>278.27972171999994</v>
      </c>
      <c r="K577" s="164"/>
      <c r="L577" s="163">
        <v>242.28486085999998</v>
      </c>
      <c r="M577" s="164"/>
      <c r="N577" s="163">
        <v>242.28486085999998</v>
      </c>
      <c r="O577" s="164"/>
      <c r="P577" s="151"/>
      <c r="Q577" s="151"/>
      <c r="R577" s="151"/>
      <c r="S577" s="151"/>
      <c r="T577" s="151"/>
      <c r="U577" s="151"/>
      <c r="V577" s="151"/>
      <c r="W577" s="151"/>
      <c r="X577" s="151"/>
      <c r="Y577" s="151"/>
      <c r="Z577" s="151"/>
    </row>
    <row r="578" ht="12.75" customHeight="1">
      <c r="A578" s="151"/>
      <c r="B578" s="125" t="s">
        <v>1215</v>
      </c>
      <c r="C578" s="126" t="s">
        <v>1216</v>
      </c>
      <c r="D578" s="127" t="s">
        <v>142</v>
      </c>
      <c r="E578" s="151"/>
      <c r="F578" s="163">
        <v>214.1496</v>
      </c>
      <c r="G578" s="164"/>
      <c r="H578" s="163">
        <v>222.7158</v>
      </c>
      <c r="I578" s="164"/>
      <c r="J578" s="163">
        <v>231.282</v>
      </c>
      <c r="K578" s="164"/>
      <c r="L578" s="163">
        <v>222.7158</v>
      </c>
      <c r="M578" s="164"/>
      <c r="N578" s="163">
        <v>222.7158</v>
      </c>
      <c r="O578" s="164"/>
      <c r="P578" s="151"/>
      <c r="Q578" s="151"/>
      <c r="R578" s="151"/>
      <c r="S578" s="151"/>
      <c r="T578" s="151"/>
      <c r="U578" s="151"/>
      <c r="V578" s="151"/>
      <c r="W578" s="151"/>
      <c r="X578" s="151"/>
      <c r="Y578" s="151"/>
      <c r="Z578" s="151"/>
    </row>
    <row r="579" ht="12.75" customHeight="1">
      <c r="A579" s="151"/>
      <c r="B579" s="125" t="s">
        <v>1217</v>
      </c>
      <c r="C579" s="126" t="s">
        <v>1218</v>
      </c>
      <c r="D579" s="127" t="s">
        <v>142</v>
      </c>
      <c r="E579" s="151"/>
      <c r="F579" s="163">
        <v>229.41</v>
      </c>
      <c r="G579" s="164"/>
      <c r="H579" s="163">
        <v>237.20499999999998</v>
      </c>
      <c r="I579" s="164"/>
      <c r="J579" s="163">
        <v>245.0</v>
      </c>
      <c r="K579" s="164"/>
      <c r="L579" s="163">
        <v>237.20499999999998</v>
      </c>
      <c r="M579" s="164"/>
      <c r="N579" s="163">
        <v>237.20499999999998</v>
      </c>
      <c r="O579" s="164"/>
      <c r="P579" s="151"/>
      <c r="Q579" s="151"/>
      <c r="R579" s="151"/>
      <c r="S579" s="151"/>
      <c r="T579" s="151"/>
      <c r="U579" s="151"/>
      <c r="V579" s="151"/>
      <c r="W579" s="151"/>
      <c r="X579" s="151"/>
      <c r="Y579" s="151"/>
      <c r="Z579" s="151"/>
    </row>
    <row r="580" ht="12.75" customHeight="1">
      <c r="A580" s="151"/>
      <c r="B580" s="125" t="s">
        <v>1219</v>
      </c>
      <c r="C580" s="126" t="s">
        <v>1220</v>
      </c>
      <c r="D580" s="127" t="s">
        <v>142</v>
      </c>
      <c r="E580" s="151"/>
      <c r="F580" s="163">
        <v>285.6408</v>
      </c>
      <c r="G580" s="164"/>
      <c r="H580" s="163">
        <v>291.7614</v>
      </c>
      <c r="I580" s="164"/>
      <c r="J580" s="163">
        <v>297.882</v>
      </c>
      <c r="K580" s="164"/>
      <c r="L580" s="163">
        <v>291.7614</v>
      </c>
      <c r="M580" s="164"/>
      <c r="N580" s="163">
        <v>291.7614</v>
      </c>
      <c r="O580" s="164"/>
      <c r="P580" s="151"/>
      <c r="Q580" s="151"/>
      <c r="R580" s="151"/>
      <c r="S580" s="151"/>
      <c r="T580" s="151"/>
      <c r="U580" s="151"/>
      <c r="V580" s="151"/>
      <c r="W580" s="151"/>
      <c r="X580" s="151"/>
      <c r="Y580" s="151"/>
      <c r="Z580" s="151"/>
    </row>
    <row r="581" ht="12.75" customHeight="1">
      <c r="A581" s="151"/>
      <c r="B581" s="125" t="s">
        <v>1221</v>
      </c>
      <c r="C581" s="126" t="s">
        <v>1222</v>
      </c>
      <c r="D581" s="127" t="s">
        <v>142</v>
      </c>
      <c r="E581" s="151"/>
      <c r="F581" s="163">
        <v>441.02200000000005</v>
      </c>
      <c r="G581" s="164"/>
      <c r="H581" s="163">
        <v>463.07310000000007</v>
      </c>
      <c r="I581" s="164"/>
      <c r="J581" s="163">
        <v>485.1242000000001</v>
      </c>
      <c r="K581" s="164"/>
      <c r="L581" s="163">
        <v>463.07310000000007</v>
      </c>
      <c r="M581" s="164"/>
      <c r="N581" s="163">
        <v>463.07310000000007</v>
      </c>
      <c r="O581" s="164"/>
      <c r="P581" s="151"/>
      <c r="Q581" s="151"/>
      <c r="R581" s="151"/>
      <c r="S581" s="151"/>
      <c r="T581" s="151"/>
      <c r="U581" s="151"/>
      <c r="V581" s="151"/>
      <c r="W581" s="151"/>
      <c r="X581" s="151"/>
      <c r="Y581" s="151"/>
      <c r="Z581" s="151"/>
    </row>
    <row r="582" ht="12.75" customHeight="1">
      <c r="A582" s="151"/>
      <c r="B582" s="125" t="s">
        <v>1223</v>
      </c>
      <c r="C582" s="126" t="s">
        <v>1224</v>
      </c>
      <c r="D582" s="127" t="s">
        <v>142</v>
      </c>
      <c r="E582" s="151"/>
      <c r="F582" s="163">
        <v>313.56</v>
      </c>
      <c r="G582" s="164"/>
      <c r="H582" s="163">
        <v>329.23800000000006</v>
      </c>
      <c r="I582" s="164"/>
      <c r="J582" s="163">
        <v>344.91600000000005</v>
      </c>
      <c r="K582" s="164"/>
      <c r="L582" s="163">
        <v>329.23800000000006</v>
      </c>
      <c r="M582" s="164"/>
      <c r="N582" s="163">
        <v>329.23800000000006</v>
      </c>
      <c r="O582" s="164"/>
      <c r="P582" s="151"/>
      <c r="Q582" s="151"/>
      <c r="R582" s="151"/>
      <c r="S582" s="151"/>
      <c r="T582" s="151"/>
      <c r="U582" s="151"/>
      <c r="V582" s="151"/>
      <c r="W582" s="151"/>
      <c r="X582" s="151"/>
      <c r="Y582" s="151"/>
      <c r="Z582" s="151"/>
    </row>
    <row r="583" ht="12.75" customHeight="1">
      <c r="A583" s="151"/>
      <c r="B583" s="125" t="s">
        <v>1225</v>
      </c>
      <c r="C583" s="126" t="s">
        <v>1226</v>
      </c>
      <c r="D583" s="127" t="s">
        <v>142</v>
      </c>
      <c r="E583" s="151"/>
      <c r="F583" s="163">
        <v>600.0</v>
      </c>
      <c r="G583" s="164"/>
      <c r="H583" s="163">
        <v>630.0</v>
      </c>
      <c r="I583" s="164"/>
      <c r="J583" s="163">
        <v>660.0</v>
      </c>
      <c r="K583" s="164"/>
      <c r="L583" s="163">
        <v>630.0</v>
      </c>
      <c r="M583" s="164"/>
      <c r="N583" s="163">
        <v>630.0</v>
      </c>
      <c r="O583" s="164"/>
      <c r="P583" s="151"/>
      <c r="Q583" s="151"/>
      <c r="R583" s="151"/>
      <c r="S583" s="151"/>
      <c r="T583" s="151"/>
      <c r="U583" s="151"/>
      <c r="V583" s="151"/>
      <c r="W583" s="151"/>
      <c r="X583" s="151"/>
      <c r="Y583" s="151"/>
      <c r="Z583" s="151"/>
    </row>
    <row r="584" ht="12.75" customHeight="1">
      <c r="A584" s="151"/>
      <c r="B584" s="125" t="s">
        <v>1227</v>
      </c>
      <c r="C584" s="126" t="s">
        <v>1228</v>
      </c>
      <c r="D584" s="127" t="s">
        <v>142</v>
      </c>
      <c r="E584" s="151"/>
      <c r="F584" s="163">
        <v>47.5</v>
      </c>
      <c r="G584" s="164"/>
      <c r="H584" s="163">
        <v>49.997</v>
      </c>
      <c r="I584" s="164"/>
      <c r="J584" s="163">
        <v>52.494</v>
      </c>
      <c r="K584" s="164"/>
      <c r="L584" s="163">
        <v>49.997</v>
      </c>
      <c r="M584" s="164"/>
      <c r="N584" s="163">
        <v>49.997</v>
      </c>
      <c r="O584" s="164"/>
      <c r="P584" s="151"/>
      <c r="Q584" s="151"/>
      <c r="R584" s="151"/>
      <c r="S584" s="151"/>
      <c r="T584" s="151"/>
      <c r="U584" s="151"/>
      <c r="V584" s="151"/>
      <c r="W584" s="151"/>
      <c r="X584" s="151"/>
      <c r="Y584" s="151"/>
      <c r="Z584" s="151"/>
    </row>
    <row r="585" ht="12.75" customHeight="1">
      <c r="A585" s="151"/>
      <c r="B585" s="125" t="s">
        <v>1229</v>
      </c>
      <c r="C585" s="126" t="s">
        <v>1230</v>
      </c>
      <c r="D585" s="127" t="s">
        <v>142</v>
      </c>
      <c r="E585" s="151"/>
      <c r="F585" s="163">
        <v>191.17</v>
      </c>
      <c r="G585" s="164"/>
      <c r="H585" s="163">
        <v>197.327</v>
      </c>
      <c r="I585" s="164"/>
      <c r="J585" s="163">
        <v>203.484</v>
      </c>
      <c r="K585" s="164"/>
      <c r="L585" s="163">
        <v>197.327</v>
      </c>
      <c r="M585" s="164"/>
      <c r="N585" s="163">
        <v>197.327</v>
      </c>
      <c r="O585" s="164"/>
      <c r="P585" s="151"/>
      <c r="Q585" s="151"/>
      <c r="R585" s="151"/>
      <c r="S585" s="151"/>
      <c r="T585" s="151"/>
      <c r="U585" s="151"/>
      <c r="V585" s="151"/>
      <c r="W585" s="151"/>
      <c r="X585" s="151"/>
      <c r="Y585" s="151"/>
      <c r="Z585" s="151"/>
    </row>
    <row r="586" ht="12.75" customHeight="1">
      <c r="A586" s="151"/>
      <c r="B586" s="125" t="s">
        <v>1231</v>
      </c>
      <c r="C586" s="126" t="s">
        <v>1232</v>
      </c>
      <c r="D586" s="127" t="s">
        <v>142</v>
      </c>
      <c r="E586" s="151"/>
      <c r="F586" s="163">
        <v>45.64699999999999</v>
      </c>
      <c r="G586" s="164"/>
      <c r="H586" s="163">
        <v>47.92934999999999</v>
      </c>
      <c r="I586" s="164"/>
      <c r="J586" s="163">
        <v>50.21169999999999</v>
      </c>
      <c r="K586" s="164"/>
      <c r="L586" s="163">
        <v>47.92934999999999</v>
      </c>
      <c r="M586" s="164"/>
      <c r="N586" s="163">
        <v>47.92934999999999</v>
      </c>
      <c r="O586" s="164"/>
      <c r="P586" s="151"/>
      <c r="Q586" s="151"/>
      <c r="R586" s="151"/>
      <c r="S586" s="151"/>
      <c r="T586" s="151"/>
      <c r="U586" s="151"/>
      <c r="V586" s="151"/>
      <c r="W586" s="151"/>
      <c r="X586" s="151"/>
      <c r="Y586" s="151"/>
      <c r="Z586" s="151"/>
    </row>
    <row r="587" ht="12.75" customHeight="1">
      <c r="A587" s="151"/>
      <c r="B587" s="125" t="s">
        <v>1233</v>
      </c>
      <c r="C587" s="126" t="s">
        <v>1234</v>
      </c>
      <c r="D587" s="127" t="s">
        <v>142</v>
      </c>
      <c r="E587" s="151"/>
      <c r="F587" s="163">
        <v>63.2945088</v>
      </c>
      <c r="G587" s="164"/>
      <c r="H587" s="163">
        <v>66.45923424</v>
      </c>
      <c r="I587" s="164"/>
      <c r="J587" s="163">
        <v>69.62395968000001</v>
      </c>
      <c r="K587" s="164"/>
      <c r="L587" s="163">
        <v>66.45923424</v>
      </c>
      <c r="M587" s="164"/>
      <c r="N587" s="163">
        <v>66.45923424</v>
      </c>
      <c r="O587" s="164"/>
      <c r="P587" s="151"/>
      <c r="Q587" s="151"/>
      <c r="R587" s="151"/>
      <c r="S587" s="151"/>
      <c r="T587" s="151"/>
      <c r="U587" s="151"/>
      <c r="V587" s="151"/>
      <c r="W587" s="151"/>
      <c r="X587" s="151"/>
      <c r="Y587" s="151"/>
      <c r="Z587" s="151"/>
    </row>
    <row r="588" ht="12.75" customHeight="1">
      <c r="A588" s="151"/>
      <c r="B588" s="125" t="s">
        <v>1235</v>
      </c>
      <c r="C588" s="126" t="s">
        <v>1236</v>
      </c>
      <c r="D588" s="127" t="s">
        <v>142</v>
      </c>
      <c r="E588" s="151"/>
      <c r="F588" s="163">
        <v>1267.7</v>
      </c>
      <c r="G588" s="164"/>
      <c r="H588" s="163">
        <v>1273.85</v>
      </c>
      <c r="I588" s="164"/>
      <c r="J588" s="163">
        <v>1280.0</v>
      </c>
      <c r="K588" s="164"/>
      <c r="L588" s="163">
        <v>1273.85</v>
      </c>
      <c r="M588" s="164"/>
      <c r="N588" s="163">
        <v>1273.85</v>
      </c>
      <c r="O588" s="164"/>
      <c r="P588" s="151"/>
      <c r="Q588" s="151"/>
      <c r="R588" s="151"/>
      <c r="S588" s="151"/>
      <c r="T588" s="151"/>
      <c r="U588" s="151"/>
      <c r="V588" s="151"/>
      <c r="W588" s="151"/>
      <c r="X588" s="151"/>
      <c r="Y588" s="151"/>
      <c r="Z588" s="151"/>
    </row>
    <row r="589" ht="12.75" customHeight="1">
      <c r="A589" s="151"/>
      <c r="B589" s="125" t="s">
        <v>1237</v>
      </c>
      <c r="C589" s="126" t="s">
        <v>1238</v>
      </c>
      <c r="D589" s="127" t="s">
        <v>142</v>
      </c>
      <c r="E589" s="151"/>
      <c r="F589" s="163">
        <v>917.6400000000001</v>
      </c>
      <c r="G589" s="164"/>
      <c r="H589" s="163">
        <v>947.82</v>
      </c>
      <c r="I589" s="164"/>
      <c r="J589" s="163">
        <v>978.0</v>
      </c>
      <c r="K589" s="164"/>
      <c r="L589" s="163">
        <v>947.82</v>
      </c>
      <c r="M589" s="164"/>
      <c r="N589" s="163">
        <v>947.82</v>
      </c>
      <c r="O589" s="164"/>
      <c r="P589" s="151"/>
      <c r="Q589" s="151"/>
      <c r="R589" s="151"/>
      <c r="S589" s="151"/>
      <c r="T589" s="151"/>
      <c r="U589" s="151"/>
      <c r="V589" s="151"/>
      <c r="W589" s="151"/>
      <c r="X589" s="151"/>
      <c r="Y589" s="151"/>
      <c r="Z589" s="151"/>
    </row>
    <row r="590" ht="12.75" customHeight="1">
      <c r="A590" s="151"/>
      <c r="B590" s="125" t="s">
        <v>1239</v>
      </c>
      <c r="C590" s="126" t="s">
        <v>1240</v>
      </c>
      <c r="D590" s="127" t="s">
        <v>911</v>
      </c>
      <c r="E590" s="151"/>
      <c r="F590" s="163">
        <v>431.3</v>
      </c>
      <c r="G590" s="164"/>
      <c r="H590" s="163">
        <v>452.865</v>
      </c>
      <c r="I590" s="164"/>
      <c r="J590" s="163">
        <v>474.43000000000006</v>
      </c>
      <c r="K590" s="164"/>
      <c r="L590" s="163">
        <v>452.865</v>
      </c>
      <c r="M590" s="164"/>
      <c r="N590" s="163">
        <v>452.865</v>
      </c>
      <c r="O590" s="164"/>
      <c r="P590" s="151"/>
      <c r="Q590" s="151"/>
      <c r="R590" s="151"/>
      <c r="S590" s="151"/>
      <c r="T590" s="151"/>
      <c r="U590" s="151"/>
      <c r="V590" s="151"/>
      <c r="W590" s="151"/>
      <c r="X590" s="151"/>
      <c r="Y590" s="151"/>
      <c r="Z590" s="151"/>
    </row>
    <row r="591" ht="12.75" customHeight="1">
      <c r="A591" s="151"/>
      <c r="B591" s="125" t="s">
        <v>1241</v>
      </c>
      <c r="C591" s="126" t="s">
        <v>1242</v>
      </c>
      <c r="D591" s="127" t="s">
        <v>142</v>
      </c>
      <c r="E591" s="151"/>
      <c r="F591" s="163">
        <v>360.094</v>
      </c>
      <c r="G591" s="164"/>
      <c r="H591" s="163">
        <v>360.092</v>
      </c>
      <c r="I591" s="164"/>
      <c r="J591" s="163">
        <v>360.09</v>
      </c>
      <c r="K591" s="164"/>
      <c r="L591" s="163">
        <v>360.092</v>
      </c>
      <c r="M591" s="164"/>
      <c r="N591" s="163">
        <v>360.092</v>
      </c>
      <c r="O591" s="164"/>
      <c r="P591" s="151"/>
      <c r="Q591" s="151"/>
      <c r="R591" s="151"/>
      <c r="S591" s="151"/>
      <c r="T591" s="151"/>
      <c r="U591" s="151"/>
      <c r="V591" s="151"/>
      <c r="W591" s="151"/>
      <c r="X591" s="151"/>
      <c r="Y591" s="151"/>
      <c r="Z591" s="151"/>
    </row>
    <row r="592" ht="12.75" customHeight="1">
      <c r="A592" s="151"/>
      <c r="B592" s="125" t="s">
        <v>1243</v>
      </c>
      <c r="C592" s="126" t="s">
        <v>1244</v>
      </c>
      <c r="D592" s="127" t="s">
        <v>142</v>
      </c>
      <c r="E592" s="151"/>
      <c r="F592" s="163">
        <v>341.27</v>
      </c>
      <c r="G592" s="164"/>
      <c r="H592" s="163">
        <v>341.27</v>
      </c>
      <c r="I592" s="164"/>
      <c r="J592" s="163">
        <v>341.27</v>
      </c>
      <c r="K592" s="164"/>
      <c r="L592" s="163">
        <v>341.27</v>
      </c>
      <c r="M592" s="164"/>
      <c r="N592" s="163">
        <v>341.27</v>
      </c>
      <c r="O592" s="164"/>
      <c r="P592" s="151"/>
      <c r="Q592" s="151"/>
      <c r="R592" s="151"/>
      <c r="S592" s="151"/>
      <c r="T592" s="151"/>
      <c r="U592" s="151"/>
      <c r="V592" s="151"/>
      <c r="W592" s="151"/>
      <c r="X592" s="151"/>
      <c r="Y592" s="151"/>
      <c r="Z592" s="151"/>
    </row>
    <row r="593" ht="12.75" customHeight="1">
      <c r="A593" s="151"/>
      <c r="B593" s="125" t="s">
        <v>1245</v>
      </c>
      <c r="C593" s="126" t="s">
        <v>1246</v>
      </c>
      <c r="D593" s="127" t="s">
        <v>142</v>
      </c>
      <c r="E593" s="151"/>
      <c r="F593" s="163">
        <v>775.63</v>
      </c>
      <c r="G593" s="164"/>
      <c r="H593" s="163">
        <v>775.63</v>
      </c>
      <c r="I593" s="164"/>
      <c r="J593" s="163">
        <v>775.63</v>
      </c>
      <c r="K593" s="164"/>
      <c r="L593" s="163">
        <v>775.63</v>
      </c>
      <c r="M593" s="164"/>
      <c r="N593" s="163">
        <v>775.63</v>
      </c>
      <c r="O593" s="164"/>
      <c r="P593" s="151"/>
      <c r="Q593" s="151"/>
      <c r="R593" s="151"/>
      <c r="S593" s="151"/>
      <c r="T593" s="151"/>
      <c r="U593" s="151"/>
      <c r="V593" s="151"/>
      <c r="W593" s="151"/>
      <c r="X593" s="151"/>
      <c r="Y593" s="151"/>
      <c r="Z593" s="151"/>
    </row>
    <row r="594" ht="12.75" customHeight="1">
      <c r="A594" s="151"/>
      <c r="B594" s="125" t="s">
        <v>1247</v>
      </c>
      <c r="C594" s="126" t="s">
        <v>1248</v>
      </c>
      <c r="D594" s="127" t="s">
        <v>142</v>
      </c>
      <c r="E594" s="151"/>
      <c r="F594" s="163">
        <v>406.7994</v>
      </c>
      <c r="G594" s="164"/>
      <c r="H594" s="163">
        <v>406.5657</v>
      </c>
      <c r="I594" s="164"/>
      <c r="J594" s="163">
        <v>406.332</v>
      </c>
      <c r="K594" s="164"/>
      <c r="L594" s="163">
        <v>406.5657</v>
      </c>
      <c r="M594" s="164"/>
      <c r="N594" s="163">
        <v>406.5657</v>
      </c>
      <c r="O594" s="164"/>
      <c r="P594" s="151"/>
      <c r="Q594" s="151"/>
      <c r="R594" s="151"/>
      <c r="S594" s="151"/>
      <c r="T594" s="151"/>
      <c r="U594" s="151"/>
      <c r="V594" s="151"/>
      <c r="W594" s="151"/>
      <c r="X594" s="151"/>
      <c r="Y594" s="151"/>
      <c r="Z594" s="151"/>
    </row>
    <row r="595" ht="12.75" customHeight="1">
      <c r="A595" s="151"/>
      <c r="B595" s="113" t="s">
        <v>1249</v>
      </c>
      <c r="C595" s="114" t="s">
        <v>1250</v>
      </c>
      <c r="D595" s="115"/>
      <c r="E595" s="151"/>
      <c r="F595" s="161"/>
      <c r="G595" s="162"/>
      <c r="H595" s="161"/>
      <c r="I595" s="162"/>
      <c r="J595" s="161"/>
      <c r="K595" s="162"/>
      <c r="L595" s="161"/>
      <c r="M595" s="162"/>
      <c r="N595" s="161"/>
      <c r="O595" s="162"/>
      <c r="P595" s="151"/>
      <c r="Q595" s="151"/>
      <c r="R595" s="151"/>
      <c r="S595" s="151"/>
      <c r="T595" s="151"/>
      <c r="U595" s="151"/>
      <c r="V595" s="151"/>
      <c r="W595" s="151"/>
      <c r="X595" s="151"/>
      <c r="Y595" s="151"/>
      <c r="Z595" s="151"/>
    </row>
    <row r="596" ht="12.75" customHeight="1">
      <c r="A596" s="151"/>
      <c r="B596" s="125" t="s">
        <v>1251</v>
      </c>
      <c r="C596" s="126" t="s">
        <v>1252</v>
      </c>
      <c r="D596" s="127" t="s">
        <v>142</v>
      </c>
      <c r="E596" s="151"/>
      <c r="F596" s="163">
        <v>72.23880000000001</v>
      </c>
      <c r="G596" s="164"/>
      <c r="H596" s="163">
        <v>73.4307402</v>
      </c>
      <c r="I596" s="164"/>
      <c r="J596" s="163">
        <v>74.62268040000001</v>
      </c>
      <c r="K596" s="164"/>
      <c r="L596" s="163">
        <v>73.4307402</v>
      </c>
      <c r="M596" s="164"/>
      <c r="N596" s="163">
        <v>73.4307402</v>
      </c>
      <c r="O596" s="164"/>
      <c r="P596" s="151"/>
      <c r="Q596" s="151"/>
      <c r="R596" s="151"/>
      <c r="S596" s="151"/>
      <c r="T596" s="151"/>
      <c r="U596" s="151"/>
      <c r="V596" s="151"/>
      <c r="W596" s="151"/>
      <c r="X596" s="151"/>
      <c r="Y596" s="151"/>
      <c r="Z596" s="151"/>
    </row>
    <row r="597" ht="12.75" customHeight="1">
      <c r="A597" s="151"/>
      <c r="B597" s="125" t="s">
        <v>1253</v>
      </c>
      <c r="C597" s="126" t="s">
        <v>1254</v>
      </c>
      <c r="D597" s="127" t="s">
        <v>142</v>
      </c>
      <c r="E597" s="151"/>
      <c r="F597" s="163">
        <v>111.98321936090224</v>
      </c>
      <c r="G597" s="164"/>
      <c r="H597" s="163">
        <v>115.56668238045113</v>
      </c>
      <c r="I597" s="164"/>
      <c r="J597" s="163">
        <v>119.1501454</v>
      </c>
      <c r="K597" s="164"/>
      <c r="L597" s="163">
        <v>115.56668238045113</v>
      </c>
      <c r="M597" s="164"/>
      <c r="N597" s="163">
        <v>115.56668238045113</v>
      </c>
      <c r="O597" s="164"/>
      <c r="P597" s="151"/>
      <c r="Q597" s="151"/>
      <c r="R597" s="151"/>
      <c r="S597" s="151"/>
      <c r="T597" s="151"/>
      <c r="U597" s="151"/>
      <c r="V597" s="151"/>
      <c r="W597" s="151"/>
      <c r="X597" s="151"/>
      <c r="Y597" s="151"/>
      <c r="Z597" s="151"/>
    </row>
    <row r="598" ht="12.75" customHeight="1">
      <c r="A598" s="151"/>
      <c r="B598" s="125" t="s">
        <v>1255</v>
      </c>
      <c r="C598" s="126" t="s">
        <v>1256</v>
      </c>
      <c r="D598" s="127" t="s">
        <v>142</v>
      </c>
      <c r="E598" s="151"/>
      <c r="F598" s="163">
        <v>163.954631466297</v>
      </c>
      <c r="G598" s="164"/>
      <c r="H598" s="163">
        <v>169.2011796732185</v>
      </c>
      <c r="I598" s="164"/>
      <c r="J598" s="163">
        <v>174.44772788014004</v>
      </c>
      <c r="K598" s="164"/>
      <c r="L598" s="163">
        <v>169.2011796732185</v>
      </c>
      <c r="M598" s="164"/>
      <c r="N598" s="163">
        <v>169.2011796732185</v>
      </c>
      <c r="O598" s="164"/>
      <c r="P598" s="151"/>
      <c r="Q598" s="151"/>
      <c r="R598" s="151"/>
      <c r="S598" s="151"/>
      <c r="T598" s="151"/>
      <c r="U598" s="151"/>
      <c r="V598" s="151"/>
      <c r="W598" s="151"/>
      <c r="X598" s="151"/>
      <c r="Y598" s="151"/>
      <c r="Z598" s="151"/>
    </row>
    <row r="599" ht="12.75" customHeight="1">
      <c r="A599" s="151"/>
      <c r="B599" s="125" t="s">
        <v>1257</v>
      </c>
      <c r="C599" s="126" t="s">
        <v>1258</v>
      </c>
      <c r="D599" s="127" t="s">
        <v>142</v>
      </c>
      <c r="E599" s="151"/>
      <c r="F599" s="163">
        <v>29.402484800000003</v>
      </c>
      <c r="G599" s="164"/>
      <c r="H599" s="163">
        <v>30.343364313600002</v>
      </c>
      <c r="I599" s="164"/>
      <c r="J599" s="163">
        <v>31.2842438272</v>
      </c>
      <c r="K599" s="164"/>
      <c r="L599" s="163">
        <v>30.343364313600002</v>
      </c>
      <c r="M599" s="164"/>
      <c r="N599" s="163">
        <v>30.343364313600002</v>
      </c>
      <c r="O599" s="164"/>
      <c r="P599" s="151"/>
      <c r="Q599" s="151"/>
      <c r="R599" s="151"/>
      <c r="S599" s="151"/>
      <c r="T599" s="151"/>
      <c r="U599" s="151"/>
      <c r="V599" s="151"/>
      <c r="W599" s="151"/>
      <c r="X599" s="151"/>
      <c r="Y599" s="151"/>
      <c r="Z599" s="151"/>
    </row>
    <row r="600" ht="12.75" customHeight="1">
      <c r="A600" s="151"/>
      <c r="B600" s="125" t="s">
        <v>1259</v>
      </c>
      <c r="C600" s="126" t="s">
        <v>1260</v>
      </c>
      <c r="D600" s="127" t="s">
        <v>142</v>
      </c>
      <c r="E600" s="151"/>
      <c r="F600" s="163">
        <v>35.664610800000005</v>
      </c>
      <c r="G600" s="164"/>
      <c r="H600" s="163">
        <v>36.80587834560001</v>
      </c>
      <c r="I600" s="164"/>
      <c r="J600" s="163">
        <v>37.94714589120001</v>
      </c>
      <c r="K600" s="164"/>
      <c r="L600" s="163">
        <v>36.80587834560001</v>
      </c>
      <c r="M600" s="164"/>
      <c r="N600" s="163">
        <v>36.80587834560001</v>
      </c>
      <c r="O600" s="164"/>
      <c r="P600" s="151"/>
      <c r="Q600" s="151"/>
      <c r="R600" s="151"/>
      <c r="S600" s="151"/>
      <c r="T600" s="151"/>
      <c r="U600" s="151"/>
      <c r="V600" s="151"/>
      <c r="W600" s="151"/>
      <c r="X600" s="151"/>
      <c r="Y600" s="151"/>
      <c r="Z600" s="151"/>
    </row>
    <row r="601" ht="12.75" customHeight="1">
      <c r="A601" s="151"/>
      <c r="B601" s="125" t="s">
        <v>1261</v>
      </c>
      <c r="C601" s="126" t="s">
        <v>1262</v>
      </c>
      <c r="D601" s="127" t="s">
        <v>142</v>
      </c>
      <c r="E601" s="151"/>
      <c r="F601" s="163">
        <v>48.81</v>
      </c>
      <c r="G601" s="164"/>
      <c r="H601" s="163">
        <v>50.37192</v>
      </c>
      <c r="I601" s="164"/>
      <c r="J601" s="163">
        <v>51.933840000000004</v>
      </c>
      <c r="K601" s="164"/>
      <c r="L601" s="163">
        <v>50.37192</v>
      </c>
      <c r="M601" s="164"/>
      <c r="N601" s="163">
        <v>50.37192</v>
      </c>
      <c r="O601" s="164"/>
      <c r="P601" s="151"/>
      <c r="Q601" s="151"/>
      <c r="R601" s="151"/>
      <c r="S601" s="151"/>
      <c r="T601" s="151"/>
      <c r="U601" s="151"/>
      <c r="V601" s="151"/>
      <c r="W601" s="151"/>
      <c r="X601" s="151"/>
      <c r="Y601" s="151"/>
      <c r="Z601" s="151"/>
    </row>
    <row r="602" ht="12.75" customHeight="1">
      <c r="A602" s="151"/>
      <c r="B602" s="125" t="s">
        <v>1263</v>
      </c>
      <c r="C602" s="126" t="s">
        <v>1264</v>
      </c>
      <c r="D602" s="127" t="s">
        <v>142</v>
      </c>
      <c r="E602" s="151"/>
      <c r="F602" s="163">
        <v>63.620000000000005</v>
      </c>
      <c r="G602" s="164"/>
      <c r="H602" s="163">
        <v>65.65584000000001</v>
      </c>
      <c r="I602" s="164"/>
      <c r="J602" s="163">
        <v>67.69168</v>
      </c>
      <c r="K602" s="164"/>
      <c r="L602" s="163">
        <v>65.65584000000001</v>
      </c>
      <c r="M602" s="164"/>
      <c r="N602" s="163">
        <v>65.65584000000001</v>
      </c>
      <c r="O602" s="164"/>
      <c r="P602" s="151"/>
      <c r="Q602" s="151"/>
      <c r="R602" s="151"/>
      <c r="S602" s="151"/>
      <c r="T602" s="151"/>
      <c r="U602" s="151"/>
      <c r="V602" s="151"/>
      <c r="W602" s="151"/>
      <c r="X602" s="151"/>
      <c r="Y602" s="151"/>
      <c r="Z602" s="151"/>
    </row>
    <row r="603" ht="12.75" customHeight="1">
      <c r="A603" s="151"/>
      <c r="B603" s="125" t="s">
        <v>1265</v>
      </c>
      <c r="C603" s="126" t="s">
        <v>1266</v>
      </c>
      <c r="D603" s="127" t="s">
        <v>142</v>
      </c>
      <c r="E603" s="151"/>
      <c r="F603" s="163">
        <v>70.85</v>
      </c>
      <c r="G603" s="164"/>
      <c r="H603" s="163">
        <v>73.1172</v>
      </c>
      <c r="I603" s="164"/>
      <c r="J603" s="163">
        <v>75.38439999999999</v>
      </c>
      <c r="K603" s="164"/>
      <c r="L603" s="163">
        <v>73.1172</v>
      </c>
      <c r="M603" s="164"/>
      <c r="N603" s="163">
        <v>73.1172</v>
      </c>
      <c r="O603" s="164"/>
      <c r="P603" s="151"/>
      <c r="Q603" s="151"/>
      <c r="R603" s="151"/>
      <c r="S603" s="151"/>
      <c r="T603" s="151"/>
      <c r="U603" s="151"/>
      <c r="V603" s="151"/>
      <c r="W603" s="151"/>
      <c r="X603" s="151"/>
      <c r="Y603" s="151"/>
      <c r="Z603" s="151"/>
    </row>
    <row r="604" ht="12.75" customHeight="1">
      <c r="A604" s="151"/>
      <c r="B604" s="125" t="s">
        <v>1267</v>
      </c>
      <c r="C604" s="126" t="s">
        <v>1268</v>
      </c>
      <c r="D604" s="127" t="s">
        <v>142</v>
      </c>
      <c r="E604" s="151"/>
      <c r="F604" s="163">
        <v>107.44567392000003</v>
      </c>
      <c r="G604" s="164"/>
      <c r="H604" s="163">
        <v>110.88393548544003</v>
      </c>
      <c r="I604" s="164"/>
      <c r="J604" s="163">
        <v>114.32219705088004</v>
      </c>
      <c r="K604" s="164"/>
      <c r="L604" s="163">
        <v>110.88393548544003</v>
      </c>
      <c r="M604" s="164"/>
      <c r="N604" s="163">
        <v>110.88393548544003</v>
      </c>
      <c r="O604" s="164"/>
      <c r="P604" s="151"/>
      <c r="Q604" s="151"/>
      <c r="R604" s="151"/>
      <c r="S604" s="151"/>
      <c r="T604" s="151"/>
      <c r="U604" s="151"/>
      <c r="V604" s="151"/>
      <c r="W604" s="151"/>
      <c r="X604" s="151"/>
      <c r="Y604" s="151"/>
      <c r="Z604" s="151"/>
    </row>
    <row r="605" ht="12.75" customHeight="1">
      <c r="A605" s="151"/>
      <c r="B605" s="125" t="s">
        <v>1269</v>
      </c>
      <c r="C605" s="126" t="s">
        <v>1270</v>
      </c>
      <c r="D605" s="127" t="s">
        <v>142</v>
      </c>
      <c r="E605" s="151"/>
      <c r="F605" s="163">
        <v>184.1241584</v>
      </c>
      <c r="G605" s="164"/>
      <c r="H605" s="163">
        <v>190.01613146879998</v>
      </c>
      <c r="I605" s="164"/>
      <c r="J605" s="163">
        <v>195.9081045376</v>
      </c>
      <c r="K605" s="164"/>
      <c r="L605" s="163">
        <v>190.01613146879998</v>
      </c>
      <c r="M605" s="164"/>
      <c r="N605" s="163">
        <v>190.01613146879998</v>
      </c>
      <c r="O605" s="164"/>
      <c r="P605" s="151"/>
      <c r="Q605" s="151"/>
      <c r="R605" s="151"/>
      <c r="S605" s="151"/>
      <c r="T605" s="151"/>
      <c r="U605" s="151"/>
      <c r="V605" s="151"/>
      <c r="W605" s="151"/>
      <c r="X605" s="151"/>
      <c r="Y605" s="151"/>
      <c r="Z605" s="151"/>
    </row>
    <row r="606" ht="12.75" customHeight="1">
      <c r="A606" s="151"/>
      <c r="B606" s="125" t="s">
        <v>1271</v>
      </c>
      <c r="C606" s="126" t="s">
        <v>1272</v>
      </c>
      <c r="D606" s="127" t="s">
        <v>142</v>
      </c>
      <c r="E606" s="151"/>
      <c r="F606" s="163">
        <v>338.52</v>
      </c>
      <c r="G606" s="164"/>
      <c r="H606" s="163">
        <v>321.76</v>
      </c>
      <c r="I606" s="164"/>
      <c r="J606" s="163">
        <v>305.0</v>
      </c>
      <c r="K606" s="164"/>
      <c r="L606" s="163">
        <v>321.76</v>
      </c>
      <c r="M606" s="164"/>
      <c r="N606" s="163">
        <v>321.76</v>
      </c>
      <c r="O606" s="164"/>
      <c r="P606" s="151"/>
      <c r="Q606" s="151"/>
      <c r="R606" s="151"/>
      <c r="S606" s="151"/>
      <c r="T606" s="151"/>
      <c r="U606" s="151"/>
      <c r="V606" s="151"/>
      <c r="W606" s="151"/>
      <c r="X606" s="151"/>
      <c r="Y606" s="151"/>
      <c r="Z606" s="151"/>
    </row>
    <row r="607" ht="12.75" customHeight="1">
      <c r="A607" s="151"/>
      <c r="B607" s="125" t="s">
        <v>1273</v>
      </c>
      <c r="C607" s="126" t="s">
        <v>1274</v>
      </c>
      <c r="D607" s="127" t="s">
        <v>142</v>
      </c>
      <c r="E607" s="151"/>
      <c r="F607" s="163">
        <v>626.7</v>
      </c>
      <c r="G607" s="164"/>
      <c r="H607" s="163">
        <v>603.4494950000001</v>
      </c>
      <c r="I607" s="164"/>
      <c r="J607" s="163">
        <v>666.8088</v>
      </c>
      <c r="K607" s="164"/>
      <c r="L607" s="163">
        <v>603.4494950000001</v>
      </c>
      <c r="M607" s="164"/>
      <c r="N607" s="163">
        <v>603.4494950000001</v>
      </c>
      <c r="O607" s="164"/>
      <c r="P607" s="151"/>
      <c r="Q607" s="151"/>
      <c r="R607" s="151"/>
      <c r="S607" s="151"/>
      <c r="T607" s="151"/>
      <c r="U607" s="151"/>
      <c r="V607" s="151"/>
      <c r="W607" s="151"/>
      <c r="X607" s="151"/>
      <c r="Y607" s="151"/>
      <c r="Z607" s="151"/>
    </row>
    <row r="608" ht="12.75" customHeight="1">
      <c r="A608" s="151"/>
      <c r="B608" s="125" t="s">
        <v>1275</v>
      </c>
      <c r="C608" s="126" t="s">
        <v>1276</v>
      </c>
      <c r="D608" s="127" t="s">
        <v>142</v>
      </c>
      <c r="E608" s="151"/>
      <c r="F608" s="163">
        <v>62.284210526315775</v>
      </c>
      <c r="G608" s="164"/>
      <c r="H608" s="163">
        <v>64.27730526315787</v>
      </c>
      <c r="I608" s="164"/>
      <c r="J608" s="163">
        <v>66.27039999999998</v>
      </c>
      <c r="K608" s="164"/>
      <c r="L608" s="163">
        <v>64.27730526315787</v>
      </c>
      <c r="M608" s="164"/>
      <c r="N608" s="163">
        <v>64.27730526315787</v>
      </c>
      <c r="O608" s="164"/>
      <c r="P608" s="151"/>
      <c r="Q608" s="151"/>
      <c r="R608" s="151"/>
      <c r="S608" s="151"/>
      <c r="T608" s="151"/>
      <c r="U608" s="151"/>
      <c r="V608" s="151"/>
      <c r="W608" s="151"/>
      <c r="X608" s="151"/>
      <c r="Y608" s="151"/>
      <c r="Z608" s="151"/>
    </row>
    <row r="609" ht="12.75" customHeight="1">
      <c r="A609" s="151"/>
      <c r="B609" s="125" t="s">
        <v>1277</v>
      </c>
      <c r="C609" s="126" t="s">
        <v>1278</v>
      </c>
      <c r="D609" s="127" t="s">
        <v>142</v>
      </c>
      <c r="E609" s="151"/>
      <c r="F609" s="163">
        <v>79.26691729323308</v>
      </c>
      <c r="G609" s="164"/>
      <c r="H609" s="163">
        <v>81.80345864661653</v>
      </c>
      <c r="I609" s="164"/>
      <c r="J609" s="163">
        <v>84.34</v>
      </c>
      <c r="K609" s="164"/>
      <c r="L609" s="163">
        <v>81.80345864661653</v>
      </c>
      <c r="M609" s="164"/>
      <c r="N609" s="163">
        <v>81.80345864661653</v>
      </c>
      <c r="O609" s="164"/>
      <c r="P609" s="151"/>
      <c r="Q609" s="151"/>
      <c r="R609" s="151"/>
      <c r="S609" s="151"/>
      <c r="T609" s="151"/>
      <c r="U609" s="151"/>
      <c r="V609" s="151"/>
      <c r="W609" s="151"/>
      <c r="X609" s="151"/>
      <c r="Y609" s="151"/>
      <c r="Z609" s="151"/>
    </row>
    <row r="610" ht="12.75" customHeight="1">
      <c r="A610" s="151"/>
      <c r="B610" s="125" t="s">
        <v>1279</v>
      </c>
      <c r="C610" s="126" t="s">
        <v>1280</v>
      </c>
      <c r="D610" s="127" t="s">
        <v>142</v>
      </c>
      <c r="E610" s="151"/>
      <c r="F610" s="163">
        <v>102.92164041011239</v>
      </c>
      <c r="G610" s="164"/>
      <c r="H610" s="163">
        <v>105.7070952050562</v>
      </c>
      <c r="I610" s="164"/>
      <c r="J610" s="163">
        <v>108.49255000000001</v>
      </c>
      <c r="K610" s="164"/>
      <c r="L610" s="163">
        <v>105.7070952050562</v>
      </c>
      <c r="M610" s="164"/>
      <c r="N610" s="163">
        <v>105.7070952050562</v>
      </c>
      <c r="O610" s="164"/>
      <c r="P610" s="151"/>
      <c r="Q610" s="151"/>
      <c r="R610" s="151"/>
      <c r="S610" s="151"/>
      <c r="T610" s="151"/>
      <c r="U610" s="151"/>
      <c r="V610" s="151"/>
      <c r="W610" s="151"/>
      <c r="X610" s="151"/>
      <c r="Y610" s="151"/>
      <c r="Z610" s="151"/>
    </row>
    <row r="611" ht="12.75" customHeight="1">
      <c r="A611" s="151"/>
      <c r="B611" s="125" t="s">
        <v>1281</v>
      </c>
      <c r="C611" s="126" t="s">
        <v>1282</v>
      </c>
      <c r="D611" s="127" t="s">
        <v>142</v>
      </c>
      <c r="E611" s="151"/>
      <c r="F611" s="163">
        <v>90.5</v>
      </c>
      <c r="G611" s="164"/>
      <c r="H611" s="163">
        <v>93.396</v>
      </c>
      <c r="I611" s="164"/>
      <c r="J611" s="163">
        <v>96.292</v>
      </c>
      <c r="K611" s="164"/>
      <c r="L611" s="163">
        <v>93.396</v>
      </c>
      <c r="M611" s="164"/>
      <c r="N611" s="163">
        <v>93.396</v>
      </c>
      <c r="O611" s="164"/>
      <c r="P611" s="151"/>
      <c r="Q611" s="151"/>
      <c r="R611" s="151"/>
      <c r="S611" s="151"/>
      <c r="T611" s="151"/>
      <c r="U611" s="151"/>
      <c r="V611" s="151"/>
      <c r="W611" s="151"/>
      <c r="X611" s="151"/>
      <c r="Y611" s="151"/>
      <c r="Z611" s="151"/>
    </row>
    <row r="612" ht="12.75" customHeight="1">
      <c r="A612" s="151"/>
      <c r="B612" s="125" t="s">
        <v>1283</v>
      </c>
      <c r="C612" s="126" t="s">
        <v>1284</v>
      </c>
      <c r="D612" s="127" t="s">
        <v>142</v>
      </c>
      <c r="E612" s="151"/>
      <c r="F612" s="163">
        <v>98.15384615384616</v>
      </c>
      <c r="G612" s="164"/>
      <c r="H612" s="163">
        <v>90.0234275</v>
      </c>
      <c r="I612" s="164"/>
      <c r="J612" s="163">
        <v>97.3401065</v>
      </c>
      <c r="K612" s="164"/>
      <c r="L612" s="163">
        <v>90.0234275</v>
      </c>
      <c r="M612" s="164"/>
      <c r="N612" s="163">
        <v>90.0234275</v>
      </c>
      <c r="O612" s="164"/>
      <c r="P612" s="151"/>
      <c r="Q612" s="151"/>
      <c r="R612" s="151"/>
      <c r="S612" s="151"/>
      <c r="T612" s="151"/>
      <c r="U612" s="151"/>
      <c r="V612" s="151"/>
      <c r="W612" s="151"/>
      <c r="X612" s="151"/>
      <c r="Y612" s="151"/>
      <c r="Z612" s="151"/>
    </row>
    <row r="613" ht="12.75" customHeight="1">
      <c r="A613" s="151"/>
      <c r="B613" s="125" t="s">
        <v>1285</v>
      </c>
      <c r="C613" s="126" t="s">
        <v>1286</v>
      </c>
      <c r="D613" s="127" t="s">
        <v>142</v>
      </c>
      <c r="E613" s="151"/>
      <c r="F613" s="163">
        <v>62.16</v>
      </c>
      <c r="G613" s="164"/>
      <c r="H613" s="163">
        <v>64.14911999999998</v>
      </c>
      <c r="I613" s="164"/>
      <c r="J613" s="163">
        <v>66.13823999999998</v>
      </c>
      <c r="K613" s="164"/>
      <c r="L613" s="163">
        <v>64.14911999999998</v>
      </c>
      <c r="M613" s="164"/>
      <c r="N613" s="163">
        <v>64.14911999999998</v>
      </c>
      <c r="O613" s="164"/>
      <c r="P613" s="151"/>
      <c r="Q613" s="151"/>
      <c r="R613" s="151"/>
      <c r="S613" s="151"/>
      <c r="T613" s="151"/>
      <c r="U613" s="151"/>
      <c r="V613" s="151"/>
      <c r="W613" s="151"/>
      <c r="X613" s="151"/>
      <c r="Y613" s="151"/>
      <c r="Z613" s="151"/>
    </row>
    <row r="614" ht="12.75" customHeight="1">
      <c r="A614" s="151"/>
      <c r="B614" s="125" t="s">
        <v>1287</v>
      </c>
      <c r="C614" s="126" t="s">
        <v>1288</v>
      </c>
      <c r="D614" s="127" t="s">
        <v>142</v>
      </c>
      <c r="E614" s="151"/>
      <c r="F614" s="163">
        <v>62.16</v>
      </c>
      <c r="G614" s="164"/>
      <c r="H614" s="163">
        <v>64.14911999999998</v>
      </c>
      <c r="I614" s="164"/>
      <c r="J614" s="163">
        <v>66.13823999999998</v>
      </c>
      <c r="K614" s="164"/>
      <c r="L614" s="163">
        <v>64.14911999999998</v>
      </c>
      <c r="M614" s="164"/>
      <c r="N614" s="163">
        <v>64.14911999999998</v>
      </c>
      <c r="O614" s="164"/>
      <c r="P614" s="151"/>
      <c r="Q614" s="151"/>
      <c r="R614" s="151"/>
      <c r="S614" s="151"/>
      <c r="T614" s="151"/>
      <c r="U614" s="151"/>
      <c r="V614" s="151"/>
      <c r="W614" s="151"/>
      <c r="X614" s="151"/>
      <c r="Y614" s="151"/>
      <c r="Z614" s="151"/>
    </row>
    <row r="615" ht="12.75" customHeight="1">
      <c r="A615" s="151"/>
      <c r="B615" s="125" t="s">
        <v>1289</v>
      </c>
      <c r="C615" s="126" t="s">
        <v>1290</v>
      </c>
      <c r="D615" s="127" t="s">
        <v>142</v>
      </c>
      <c r="E615" s="151"/>
      <c r="F615" s="163">
        <v>64.84758</v>
      </c>
      <c r="G615" s="164"/>
      <c r="H615" s="163">
        <v>66.92270256</v>
      </c>
      <c r="I615" s="164"/>
      <c r="J615" s="163">
        <v>68.99782512</v>
      </c>
      <c r="K615" s="164"/>
      <c r="L615" s="163">
        <v>66.92270256</v>
      </c>
      <c r="M615" s="164"/>
      <c r="N615" s="163">
        <v>66.92270256</v>
      </c>
      <c r="O615" s="164"/>
      <c r="P615" s="151"/>
      <c r="Q615" s="151"/>
      <c r="R615" s="151"/>
      <c r="S615" s="151"/>
      <c r="T615" s="151"/>
      <c r="U615" s="151"/>
      <c r="V615" s="151"/>
      <c r="W615" s="151"/>
      <c r="X615" s="151"/>
      <c r="Y615" s="151"/>
      <c r="Z615" s="151"/>
    </row>
    <row r="616" ht="12.75" customHeight="1">
      <c r="A616" s="151"/>
      <c r="B616" s="125" t="s">
        <v>1291</v>
      </c>
      <c r="C616" s="126" t="s">
        <v>1292</v>
      </c>
      <c r="D616" s="127" t="s">
        <v>142</v>
      </c>
      <c r="E616" s="151"/>
      <c r="F616" s="163">
        <v>46.239999999999995</v>
      </c>
      <c r="G616" s="164"/>
      <c r="H616" s="163">
        <v>47.71968</v>
      </c>
      <c r="I616" s="164"/>
      <c r="J616" s="163">
        <v>49.19935999999999</v>
      </c>
      <c r="K616" s="164"/>
      <c r="L616" s="163">
        <v>47.71968</v>
      </c>
      <c r="M616" s="164"/>
      <c r="N616" s="163">
        <v>47.71968</v>
      </c>
      <c r="O616" s="164"/>
      <c r="P616" s="151"/>
      <c r="Q616" s="151"/>
      <c r="R616" s="151"/>
      <c r="S616" s="151"/>
      <c r="T616" s="151"/>
      <c r="U616" s="151"/>
      <c r="V616" s="151"/>
      <c r="W616" s="151"/>
      <c r="X616" s="151"/>
      <c r="Y616" s="151"/>
      <c r="Z616" s="151"/>
    </row>
    <row r="617" ht="12.75" customHeight="1">
      <c r="A617" s="151"/>
      <c r="B617" s="125" t="s">
        <v>1293</v>
      </c>
      <c r="C617" s="126" t="s">
        <v>1294</v>
      </c>
      <c r="D617" s="127" t="s">
        <v>142</v>
      </c>
      <c r="E617" s="151"/>
      <c r="F617" s="163">
        <v>52.68</v>
      </c>
      <c r="G617" s="164"/>
      <c r="H617" s="163">
        <v>54.365759999999995</v>
      </c>
      <c r="I617" s="164"/>
      <c r="J617" s="163">
        <v>56.05152</v>
      </c>
      <c r="K617" s="164"/>
      <c r="L617" s="163">
        <v>54.365759999999995</v>
      </c>
      <c r="M617" s="164"/>
      <c r="N617" s="163">
        <v>54.365759999999995</v>
      </c>
      <c r="O617" s="164"/>
      <c r="P617" s="151"/>
      <c r="Q617" s="151"/>
      <c r="R617" s="151"/>
      <c r="S617" s="151"/>
      <c r="T617" s="151"/>
      <c r="U617" s="151"/>
      <c r="V617" s="151"/>
      <c r="W617" s="151"/>
      <c r="X617" s="151"/>
      <c r="Y617" s="151"/>
      <c r="Z617" s="151"/>
    </row>
    <row r="618" ht="12.75" customHeight="1">
      <c r="A618" s="151"/>
      <c r="B618" s="125" t="s">
        <v>1295</v>
      </c>
      <c r="C618" s="126" t="s">
        <v>1296</v>
      </c>
      <c r="D618" s="127" t="s">
        <v>142</v>
      </c>
      <c r="E618" s="151"/>
      <c r="F618" s="163">
        <v>65.05</v>
      </c>
      <c r="G618" s="164"/>
      <c r="H618" s="163">
        <v>67.13159999999999</v>
      </c>
      <c r="I618" s="164"/>
      <c r="J618" s="163">
        <v>69.2132</v>
      </c>
      <c r="K618" s="164"/>
      <c r="L618" s="163">
        <v>67.13159999999999</v>
      </c>
      <c r="M618" s="164"/>
      <c r="N618" s="163">
        <v>67.13159999999999</v>
      </c>
      <c r="O618" s="164"/>
      <c r="P618" s="151"/>
      <c r="Q618" s="151"/>
      <c r="R618" s="151"/>
      <c r="S618" s="151"/>
      <c r="T618" s="151"/>
      <c r="U618" s="151"/>
      <c r="V618" s="151"/>
      <c r="W618" s="151"/>
      <c r="X618" s="151"/>
      <c r="Y618" s="151"/>
      <c r="Z618" s="151"/>
    </row>
    <row r="619" ht="12.75" customHeight="1">
      <c r="A619" s="151"/>
      <c r="B619" s="125" t="s">
        <v>1297</v>
      </c>
      <c r="C619" s="126" t="s">
        <v>1298</v>
      </c>
      <c r="D619" s="127" t="s">
        <v>142</v>
      </c>
      <c r="E619" s="151"/>
      <c r="F619" s="163">
        <v>80.592</v>
      </c>
      <c r="G619" s="164"/>
      <c r="H619" s="163">
        <v>83.17094399999999</v>
      </c>
      <c r="I619" s="164"/>
      <c r="J619" s="163">
        <v>85.749888</v>
      </c>
      <c r="K619" s="164"/>
      <c r="L619" s="163">
        <v>83.17094399999999</v>
      </c>
      <c r="M619" s="164"/>
      <c r="N619" s="163">
        <v>83.17094399999999</v>
      </c>
      <c r="O619" s="164"/>
      <c r="P619" s="151"/>
      <c r="Q619" s="151"/>
      <c r="R619" s="151"/>
      <c r="S619" s="151"/>
      <c r="T619" s="151"/>
      <c r="U619" s="151"/>
      <c r="V619" s="151"/>
      <c r="W619" s="151"/>
      <c r="X619" s="151"/>
      <c r="Y619" s="151"/>
      <c r="Z619" s="151"/>
    </row>
    <row r="620" ht="12.75" customHeight="1">
      <c r="A620" s="151"/>
      <c r="B620" s="125" t="s">
        <v>1299</v>
      </c>
      <c r="C620" s="126" t="s">
        <v>1300</v>
      </c>
      <c r="D620" s="127" t="s">
        <v>142</v>
      </c>
      <c r="E620" s="151"/>
      <c r="F620" s="163">
        <v>98.07</v>
      </c>
      <c r="G620" s="164"/>
      <c r="H620" s="163">
        <v>101.20823999999999</v>
      </c>
      <c r="I620" s="164"/>
      <c r="J620" s="163">
        <v>104.34647999999999</v>
      </c>
      <c r="K620" s="164"/>
      <c r="L620" s="163">
        <v>101.20823999999999</v>
      </c>
      <c r="M620" s="164"/>
      <c r="N620" s="163">
        <v>101.20823999999999</v>
      </c>
      <c r="O620" s="164"/>
      <c r="P620" s="151"/>
      <c r="Q620" s="151"/>
      <c r="R620" s="151"/>
      <c r="S620" s="151"/>
      <c r="T620" s="151"/>
      <c r="U620" s="151"/>
      <c r="V620" s="151"/>
      <c r="W620" s="151"/>
      <c r="X620" s="151"/>
      <c r="Y620" s="151"/>
      <c r="Z620" s="151"/>
    </row>
    <row r="621" ht="12.75" customHeight="1">
      <c r="A621" s="151"/>
      <c r="B621" s="125" t="s">
        <v>1301</v>
      </c>
      <c r="C621" s="126" t="s">
        <v>1302</v>
      </c>
      <c r="D621" s="127" t="s">
        <v>142</v>
      </c>
      <c r="E621" s="151"/>
      <c r="F621" s="163">
        <v>134.55</v>
      </c>
      <c r="G621" s="164"/>
      <c r="H621" s="163">
        <v>135.075</v>
      </c>
      <c r="I621" s="164"/>
      <c r="J621" s="163">
        <v>135.6</v>
      </c>
      <c r="K621" s="164"/>
      <c r="L621" s="163">
        <v>135.075</v>
      </c>
      <c r="M621" s="164"/>
      <c r="N621" s="163">
        <v>135.075</v>
      </c>
      <c r="O621" s="164"/>
      <c r="P621" s="151"/>
      <c r="Q621" s="151"/>
      <c r="R621" s="151"/>
      <c r="S621" s="151"/>
      <c r="T621" s="151"/>
      <c r="U621" s="151"/>
      <c r="V621" s="151"/>
      <c r="W621" s="151"/>
      <c r="X621" s="151"/>
      <c r="Y621" s="151"/>
      <c r="Z621" s="151"/>
    </row>
    <row r="622" ht="12.75" customHeight="1">
      <c r="A622" s="151"/>
      <c r="B622" s="125" t="s">
        <v>1303</v>
      </c>
      <c r="C622" s="126" t="s">
        <v>1304</v>
      </c>
      <c r="D622" s="127" t="s">
        <v>142</v>
      </c>
      <c r="E622" s="151"/>
      <c r="F622" s="163">
        <v>191.94</v>
      </c>
      <c r="G622" s="164"/>
      <c r="H622" s="163">
        <v>198.08208000000002</v>
      </c>
      <c r="I622" s="164"/>
      <c r="J622" s="163">
        <v>204.22416</v>
      </c>
      <c r="K622" s="164"/>
      <c r="L622" s="163">
        <v>198.08208000000002</v>
      </c>
      <c r="M622" s="164"/>
      <c r="N622" s="163">
        <v>198.08208000000002</v>
      </c>
      <c r="O622" s="164"/>
      <c r="P622" s="151"/>
      <c r="Q622" s="151"/>
      <c r="R622" s="151"/>
      <c r="S622" s="151"/>
      <c r="T622" s="151"/>
      <c r="U622" s="151"/>
      <c r="V622" s="151"/>
      <c r="W622" s="151"/>
      <c r="X622" s="151"/>
      <c r="Y622" s="151"/>
      <c r="Z622" s="151"/>
    </row>
    <row r="623" ht="12.75" customHeight="1">
      <c r="A623" s="151"/>
      <c r="B623" s="125" t="s">
        <v>1305</v>
      </c>
      <c r="C623" s="126" t="s">
        <v>1306</v>
      </c>
      <c r="D623" s="127" t="s">
        <v>142</v>
      </c>
      <c r="E623" s="151"/>
      <c r="F623" s="163">
        <v>231.34000000000003</v>
      </c>
      <c r="G623" s="164"/>
      <c r="H623" s="163">
        <v>238.74288</v>
      </c>
      <c r="I623" s="164"/>
      <c r="J623" s="163">
        <v>246.14576000000002</v>
      </c>
      <c r="K623" s="164"/>
      <c r="L623" s="163">
        <v>238.74288</v>
      </c>
      <c r="M623" s="164"/>
      <c r="N623" s="163">
        <v>238.74288</v>
      </c>
      <c r="O623" s="164"/>
      <c r="P623" s="151"/>
      <c r="Q623" s="151"/>
      <c r="R623" s="151"/>
      <c r="S623" s="151"/>
      <c r="T623" s="151"/>
      <c r="U623" s="151"/>
      <c r="V623" s="151"/>
      <c r="W623" s="151"/>
      <c r="X623" s="151"/>
      <c r="Y623" s="151"/>
      <c r="Z623" s="151"/>
    </row>
    <row r="624" ht="12.75" customHeight="1">
      <c r="A624" s="151"/>
      <c r="B624" s="125" t="s">
        <v>1307</v>
      </c>
      <c r="C624" s="126" t="s">
        <v>1308</v>
      </c>
      <c r="D624" s="127" t="s">
        <v>142</v>
      </c>
      <c r="E624" s="151"/>
      <c r="F624" s="163">
        <v>100.95</v>
      </c>
      <c r="G624" s="164"/>
      <c r="H624" s="163">
        <v>104.18039999999999</v>
      </c>
      <c r="I624" s="164"/>
      <c r="J624" s="163">
        <v>107.4108</v>
      </c>
      <c r="K624" s="164"/>
      <c r="L624" s="163">
        <v>104.18039999999999</v>
      </c>
      <c r="M624" s="164"/>
      <c r="N624" s="163">
        <v>104.18039999999999</v>
      </c>
      <c r="O624" s="164"/>
      <c r="P624" s="151"/>
      <c r="Q624" s="151"/>
      <c r="R624" s="151"/>
      <c r="S624" s="151"/>
      <c r="T624" s="151"/>
      <c r="U624" s="151"/>
      <c r="V624" s="151"/>
      <c r="W624" s="151"/>
      <c r="X624" s="151"/>
      <c r="Y624" s="151"/>
      <c r="Z624" s="151"/>
    </row>
    <row r="625" ht="12.75" customHeight="1">
      <c r="A625" s="151"/>
      <c r="B625" s="113" t="s">
        <v>1309</v>
      </c>
      <c r="C625" s="114" t="s">
        <v>1310</v>
      </c>
      <c r="D625" s="115"/>
      <c r="E625" s="151"/>
      <c r="F625" s="161"/>
      <c r="G625" s="162"/>
      <c r="H625" s="161"/>
      <c r="I625" s="162"/>
      <c r="J625" s="161"/>
      <c r="K625" s="162"/>
      <c r="L625" s="161"/>
      <c r="M625" s="162"/>
      <c r="N625" s="161"/>
      <c r="O625" s="162"/>
      <c r="P625" s="151"/>
      <c r="Q625" s="151"/>
      <c r="R625" s="151"/>
      <c r="S625" s="151"/>
      <c r="T625" s="151"/>
      <c r="U625" s="151"/>
      <c r="V625" s="151"/>
      <c r="W625" s="151"/>
      <c r="X625" s="151"/>
      <c r="Y625" s="151"/>
      <c r="Z625" s="151"/>
    </row>
    <row r="626" ht="12.75" customHeight="1">
      <c r="A626" s="151"/>
      <c r="B626" s="125" t="s">
        <v>1311</v>
      </c>
      <c r="C626" s="126" t="s">
        <v>1312</v>
      </c>
      <c r="D626" s="127" t="s">
        <v>142</v>
      </c>
      <c r="E626" s="151"/>
      <c r="F626" s="163">
        <v>71.78999999999999</v>
      </c>
      <c r="G626" s="164"/>
      <c r="H626" s="163">
        <v>71.78999999999999</v>
      </c>
      <c r="I626" s="164"/>
      <c r="J626" s="163">
        <v>71.78999999999999</v>
      </c>
      <c r="K626" s="164"/>
      <c r="L626" s="163">
        <v>71.78999999999999</v>
      </c>
      <c r="M626" s="164"/>
      <c r="N626" s="163">
        <v>71.78999999999999</v>
      </c>
      <c r="O626" s="164"/>
      <c r="P626" s="151"/>
      <c r="Q626" s="151"/>
      <c r="R626" s="151"/>
      <c r="S626" s="151"/>
      <c r="T626" s="151"/>
      <c r="U626" s="151"/>
      <c r="V626" s="151"/>
      <c r="W626" s="151"/>
      <c r="X626" s="151"/>
      <c r="Y626" s="151"/>
      <c r="Z626" s="151"/>
    </row>
    <row r="627" ht="12.75" customHeight="1">
      <c r="A627" s="151"/>
      <c r="B627" s="125" t="s">
        <v>1313</v>
      </c>
      <c r="C627" s="126" t="s">
        <v>1314</v>
      </c>
      <c r="D627" s="127" t="s">
        <v>142</v>
      </c>
      <c r="E627" s="151"/>
      <c r="F627" s="163">
        <v>86.30999999999999</v>
      </c>
      <c r="G627" s="164"/>
      <c r="H627" s="163">
        <v>86.30999999999999</v>
      </c>
      <c r="I627" s="164"/>
      <c r="J627" s="163">
        <v>86.30999999999999</v>
      </c>
      <c r="K627" s="164"/>
      <c r="L627" s="163">
        <v>86.30999999999999</v>
      </c>
      <c r="M627" s="164"/>
      <c r="N627" s="163">
        <v>86.30999999999999</v>
      </c>
      <c r="O627" s="164"/>
      <c r="P627" s="151"/>
      <c r="Q627" s="151"/>
      <c r="R627" s="151"/>
      <c r="S627" s="151"/>
      <c r="T627" s="151"/>
      <c r="U627" s="151"/>
      <c r="V627" s="151"/>
      <c r="W627" s="151"/>
      <c r="X627" s="151"/>
      <c r="Y627" s="151"/>
      <c r="Z627" s="151"/>
    </row>
    <row r="628" ht="12.75" customHeight="1">
      <c r="A628" s="151"/>
      <c r="B628" s="125" t="s">
        <v>1315</v>
      </c>
      <c r="C628" s="126" t="s">
        <v>1316</v>
      </c>
      <c r="D628" s="127" t="s">
        <v>180</v>
      </c>
      <c r="E628" s="151"/>
      <c r="F628" s="163">
        <v>51.350418000000005</v>
      </c>
      <c r="G628" s="164"/>
      <c r="H628" s="163">
        <v>53.404434720000005</v>
      </c>
      <c r="I628" s="164"/>
      <c r="J628" s="163">
        <v>55.458451440000005</v>
      </c>
      <c r="K628" s="164"/>
      <c r="L628" s="163">
        <v>53.404434720000005</v>
      </c>
      <c r="M628" s="164"/>
      <c r="N628" s="163">
        <v>53.404434720000005</v>
      </c>
      <c r="O628" s="164"/>
      <c r="P628" s="151"/>
      <c r="Q628" s="151"/>
      <c r="R628" s="151"/>
      <c r="S628" s="151"/>
      <c r="T628" s="151"/>
      <c r="U628" s="151"/>
      <c r="V628" s="151"/>
      <c r="W628" s="151"/>
      <c r="X628" s="151"/>
      <c r="Y628" s="151"/>
      <c r="Z628" s="151"/>
    </row>
    <row r="629" ht="12.75" customHeight="1">
      <c r="A629" s="151"/>
      <c r="B629" s="125" t="s">
        <v>1317</v>
      </c>
      <c r="C629" s="126" t="s">
        <v>1318</v>
      </c>
      <c r="D629" s="127" t="s">
        <v>180</v>
      </c>
      <c r="E629" s="151"/>
      <c r="F629" s="163">
        <v>86.098761</v>
      </c>
      <c r="G629" s="164"/>
      <c r="H629" s="163">
        <v>89.54271144</v>
      </c>
      <c r="I629" s="164"/>
      <c r="J629" s="163">
        <v>92.98666188</v>
      </c>
      <c r="K629" s="164"/>
      <c r="L629" s="163">
        <v>89.54271144</v>
      </c>
      <c r="M629" s="164"/>
      <c r="N629" s="163">
        <v>89.54271144</v>
      </c>
      <c r="O629" s="164"/>
      <c r="P629" s="151"/>
      <c r="Q629" s="151"/>
      <c r="R629" s="151"/>
      <c r="S629" s="151"/>
      <c r="T629" s="151"/>
      <c r="U629" s="151"/>
      <c r="V629" s="151"/>
      <c r="W629" s="151"/>
      <c r="X629" s="151"/>
      <c r="Y629" s="151"/>
      <c r="Z629" s="151"/>
    </row>
    <row r="630" ht="12.75" customHeight="1">
      <c r="A630" s="151"/>
      <c r="B630" s="125" t="s">
        <v>1319</v>
      </c>
      <c r="C630" s="126" t="s">
        <v>1320</v>
      </c>
      <c r="D630" s="127" t="s">
        <v>180</v>
      </c>
      <c r="E630" s="151"/>
      <c r="F630" s="163">
        <v>114.86377400051283</v>
      </c>
      <c r="G630" s="164"/>
      <c r="H630" s="163">
        <v>119.45832496053336</v>
      </c>
      <c r="I630" s="164"/>
      <c r="J630" s="163">
        <v>124.05287592055387</v>
      </c>
      <c r="K630" s="164"/>
      <c r="L630" s="163">
        <v>119.45832496053336</v>
      </c>
      <c r="M630" s="164"/>
      <c r="N630" s="163">
        <v>119.45832496053336</v>
      </c>
      <c r="O630" s="164"/>
      <c r="P630" s="151"/>
      <c r="Q630" s="151"/>
      <c r="R630" s="151"/>
      <c r="S630" s="151"/>
      <c r="T630" s="151"/>
      <c r="U630" s="151"/>
      <c r="V630" s="151"/>
      <c r="W630" s="151"/>
      <c r="X630" s="151"/>
      <c r="Y630" s="151"/>
      <c r="Z630" s="151"/>
    </row>
    <row r="631" ht="12.75" customHeight="1">
      <c r="A631" s="151"/>
      <c r="B631" s="125" t="s">
        <v>1321</v>
      </c>
      <c r="C631" s="126" t="s">
        <v>1322</v>
      </c>
      <c r="D631" s="127" t="s">
        <v>180</v>
      </c>
      <c r="E631" s="151"/>
      <c r="F631" s="163">
        <v>159.945278914264</v>
      </c>
      <c r="G631" s="164"/>
      <c r="H631" s="163">
        <v>166.3430900708346</v>
      </c>
      <c r="I631" s="164"/>
      <c r="J631" s="163">
        <v>172.74090122740517</v>
      </c>
      <c r="K631" s="164"/>
      <c r="L631" s="163">
        <v>166.3430900708346</v>
      </c>
      <c r="M631" s="164"/>
      <c r="N631" s="163">
        <v>166.3430900708346</v>
      </c>
      <c r="O631" s="164"/>
      <c r="P631" s="151"/>
      <c r="Q631" s="151"/>
      <c r="R631" s="151"/>
      <c r="S631" s="151"/>
      <c r="T631" s="151"/>
      <c r="U631" s="151"/>
      <c r="V631" s="151"/>
      <c r="W631" s="151"/>
      <c r="X631" s="151"/>
      <c r="Y631" s="151"/>
      <c r="Z631" s="151"/>
    </row>
    <row r="632" ht="12.75" customHeight="1">
      <c r="A632" s="151"/>
      <c r="B632" s="125" t="s">
        <v>1323</v>
      </c>
      <c r="C632" s="126" t="s">
        <v>1324</v>
      </c>
      <c r="D632" s="127" t="s">
        <v>180</v>
      </c>
      <c r="E632" s="151"/>
      <c r="F632" s="163">
        <v>201.9098938078704</v>
      </c>
      <c r="G632" s="164"/>
      <c r="H632" s="163">
        <v>209.98628956018518</v>
      </c>
      <c r="I632" s="164"/>
      <c r="J632" s="163">
        <v>218.06268531250004</v>
      </c>
      <c r="K632" s="164"/>
      <c r="L632" s="163">
        <v>209.98628956018518</v>
      </c>
      <c r="M632" s="164"/>
      <c r="N632" s="163">
        <v>209.98628956018518</v>
      </c>
      <c r="O632" s="164"/>
      <c r="P632" s="151"/>
      <c r="Q632" s="151"/>
      <c r="R632" s="151"/>
      <c r="S632" s="151"/>
      <c r="T632" s="151"/>
      <c r="U632" s="151"/>
      <c r="V632" s="151"/>
      <c r="W632" s="151"/>
      <c r="X632" s="151"/>
      <c r="Y632" s="151"/>
      <c r="Z632" s="151"/>
    </row>
    <row r="633" ht="12.75" customHeight="1">
      <c r="A633" s="151"/>
      <c r="B633" s="125" t="s">
        <v>1325</v>
      </c>
      <c r="C633" s="126" t="s">
        <v>1326</v>
      </c>
      <c r="D633" s="127" t="s">
        <v>180</v>
      </c>
      <c r="E633" s="151"/>
      <c r="F633" s="163">
        <v>272.22564988425927</v>
      </c>
      <c r="G633" s="164"/>
      <c r="H633" s="163">
        <v>283.11467587962966</v>
      </c>
      <c r="I633" s="164"/>
      <c r="J633" s="163">
        <v>294.00370187500005</v>
      </c>
      <c r="K633" s="164"/>
      <c r="L633" s="163">
        <v>283.11467587962966</v>
      </c>
      <c r="M633" s="164"/>
      <c r="N633" s="163">
        <v>283.11467587962966</v>
      </c>
      <c r="O633" s="164"/>
      <c r="P633" s="151"/>
      <c r="Q633" s="151"/>
      <c r="R633" s="151"/>
      <c r="S633" s="151"/>
      <c r="T633" s="151"/>
      <c r="U633" s="151"/>
      <c r="V633" s="151"/>
      <c r="W633" s="151"/>
      <c r="X633" s="151"/>
      <c r="Y633" s="151"/>
      <c r="Z633" s="151"/>
    </row>
    <row r="634" ht="12.75" customHeight="1">
      <c r="A634" s="151"/>
      <c r="B634" s="125" t="s">
        <v>1327</v>
      </c>
      <c r="C634" s="126" t="s">
        <v>1328</v>
      </c>
      <c r="D634" s="127" t="s">
        <v>180</v>
      </c>
      <c r="E634" s="151"/>
      <c r="F634" s="163">
        <v>2.54</v>
      </c>
      <c r="G634" s="164"/>
      <c r="H634" s="163">
        <v>2.6416000000000004</v>
      </c>
      <c r="I634" s="164"/>
      <c r="J634" s="163">
        <v>2.7432000000000003</v>
      </c>
      <c r="K634" s="164"/>
      <c r="L634" s="163">
        <v>2.6416000000000004</v>
      </c>
      <c r="M634" s="164"/>
      <c r="N634" s="163">
        <v>2.6416000000000004</v>
      </c>
      <c r="O634" s="164"/>
      <c r="P634" s="151"/>
      <c r="Q634" s="151"/>
      <c r="R634" s="151"/>
      <c r="S634" s="151"/>
      <c r="T634" s="151"/>
      <c r="U634" s="151"/>
      <c r="V634" s="151"/>
      <c r="W634" s="151"/>
      <c r="X634" s="151"/>
      <c r="Y634" s="151"/>
      <c r="Z634" s="151"/>
    </row>
    <row r="635" ht="12.75" customHeight="1">
      <c r="A635" s="151"/>
      <c r="B635" s="125" t="s">
        <v>1329</v>
      </c>
      <c r="C635" s="126" t="s">
        <v>1330</v>
      </c>
      <c r="D635" s="127" t="s">
        <v>180</v>
      </c>
      <c r="E635" s="151"/>
      <c r="F635" s="163">
        <v>3.518</v>
      </c>
      <c r="G635" s="164"/>
      <c r="H635" s="163">
        <v>3.6587199999999998</v>
      </c>
      <c r="I635" s="164"/>
      <c r="J635" s="163">
        <v>3.79944</v>
      </c>
      <c r="K635" s="164"/>
      <c r="L635" s="163">
        <v>3.6587199999999998</v>
      </c>
      <c r="M635" s="164"/>
      <c r="N635" s="163">
        <v>3.6587199999999998</v>
      </c>
      <c r="O635" s="164"/>
      <c r="P635" s="151"/>
      <c r="Q635" s="151"/>
      <c r="R635" s="151"/>
      <c r="S635" s="151"/>
      <c r="T635" s="151"/>
      <c r="U635" s="151"/>
      <c r="V635" s="151"/>
      <c r="W635" s="151"/>
      <c r="X635" s="151"/>
      <c r="Y635" s="151"/>
      <c r="Z635" s="151"/>
    </row>
    <row r="636" ht="12.75" customHeight="1">
      <c r="A636" s="151"/>
      <c r="B636" s="125" t="s">
        <v>1331</v>
      </c>
      <c r="C636" s="126" t="s">
        <v>1332</v>
      </c>
      <c r="D636" s="127" t="s">
        <v>180</v>
      </c>
      <c r="E636" s="151"/>
      <c r="F636" s="163">
        <v>5.218</v>
      </c>
      <c r="G636" s="164"/>
      <c r="H636" s="163">
        <v>5.4267199999999995</v>
      </c>
      <c r="I636" s="164"/>
      <c r="J636" s="163">
        <v>5.63544</v>
      </c>
      <c r="K636" s="164"/>
      <c r="L636" s="163">
        <v>5.4267199999999995</v>
      </c>
      <c r="M636" s="164"/>
      <c r="N636" s="163">
        <v>5.4267199999999995</v>
      </c>
      <c r="O636" s="164"/>
      <c r="P636" s="151"/>
      <c r="Q636" s="151"/>
      <c r="R636" s="151"/>
      <c r="S636" s="151"/>
      <c r="T636" s="151"/>
      <c r="U636" s="151"/>
      <c r="V636" s="151"/>
      <c r="W636" s="151"/>
      <c r="X636" s="151"/>
      <c r="Y636" s="151"/>
      <c r="Z636" s="151"/>
    </row>
    <row r="637" ht="12.75" customHeight="1">
      <c r="A637" s="151"/>
      <c r="B637" s="125" t="s">
        <v>1333</v>
      </c>
      <c r="C637" s="126" t="s">
        <v>1334</v>
      </c>
      <c r="D637" s="127" t="s">
        <v>180</v>
      </c>
      <c r="E637" s="151"/>
      <c r="F637" s="163">
        <v>15.310679611650485</v>
      </c>
      <c r="G637" s="164"/>
      <c r="H637" s="163">
        <v>15.923106796116505</v>
      </c>
      <c r="I637" s="164"/>
      <c r="J637" s="163">
        <v>16.535533980582525</v>
      </c>
      <c r="K637" s="164"/>
      <c r="L637" s="163">
        <v>15.923106796116505</v>
      </c>
      <c r="M637" s="164"/>
      <c r="N637" s="163">
        <v>15.923106796116505</v>
      </c>
      <c r="O637" s="164"/>
      <c r="P637" s="151"/>
      <c r="Q637" s="151"/>
      <c r="R637" s="151"/>
      <c r="S637" s="151"/>
      <c r="T637" s="151"/>
      <c r="U637" s="151"/>
      <c r="V637" s="151"/>
      <c r="W637" s="151"/>
      <c r="X637" s="151"/>
      <c r="Y637" s="151"/>
      <c r="Z637" s="151"/>
    </row>
    <row r="638" ht="12.75" customHeight="1">
      <c r="A638" s="151"/>
      <c r="B638" s="125" t="s">
        <v>1335</v>
      </c>
      <c r="C638" s="126" t="s">
        <v>1336</v>
      </c>
      <c r="D638" s="127" t="s">
        <v>180</v>
      </c>
      <c r="E638" s="151"/>
      <c r="F638" s="163">
        <v>18.33146315789474</v>
      </c>
      <c r="G638" s="164"/>
      <c r="H638" s="163">
        <v>19.06472168421053</v>
      </c>
      <c r="I638" s="164"/>
      <c r="J638" s="163">
        <v>19.79798021052632</v>
      </c>
      <c r="K638" s="164"/>
      <c r="L638" s="163">
        <v>19.06472168421053</v>
      </c>
      <c r="M638" s="164"/>
      <c r="N638" s="163">
        <v>19.06472168421053</v>
      </c>
      <c r="O638" s="164"/>
      <c r="P638" s="151"/>
      <c r="Q638" s="151"/>
      <c r="R638" s="151"/>
      <c r="S638" s="151"/>
      <c r="T638" s="151"/>
      <c r="U638" s="151"/>
      <c r="V638" s="151"/>
      <c r="W638" s="151"/>
      <c r="X638" s="151"/>
      <c r="Y638" s="151"/>
      <c r="Z638" s="151"/>
    </row>
    <row r="639" ht="12.75" customHeight="1">
      <c r="A639" s="151"/>
      <c r="B639" s="125" t="s">
        <v>1337</v>
      </c>
      <c r="C639" s="126" t="s">
        <v>1338</v>
      </c>
      <c r="D639" s="127" t="s">
        <v>180</v>
      </c>
      <c r="E639" s="151"/>
      <c r="F639" s="163">
        <v>26.17</v>
      </c>
      <c r="G639" s="164"/>
      <c r="H639" s="163">
        <v>27.216800000000003</v>
      </c>
      <c r="I639" s="164"/>
      <c r="J639" s="163">
        <v>28.263600000000004</v>
      </c>
      <c r="K639" s="164"/>
      <c r="L639" s="163">
        <v>27.216800000000003</v>
      </c>
      <c r="M639" s="164"/>
      <c r="N639" s="163">
        <v>27.216800000000003</v>
      </c>
      <c r="O639" s="164"/>
      <c r="P639" s="151"/>
      <c r="Q639" s="151"/>
      <c r="R639" s="151"/>
      <c r="S639" s="151"/>
      <c r="T639" s="151"/>
      <c r="U639" s="151"/>
      <c r="V639" s="151"/>
      <c r="W639" s="151"/>
      <c r="X639" s="151"/>
      <c r="Y639" s="151"/>
      <c r="Z639" s="151"/>
    </row>
    <row r="640" ht="12.75" customHeight="1">
      <c r="A640" s="151"/>
      <c r="B640" s="125" t="s">
        <v>1339</v>
      </c>
      <c r="C640" s="126" t="s">
        <v>1340</v>
      </c>
      <c r="D640" s="127" t="s">
        <v>180</v>
      </c>
      <c r="E640" s="151"/>
      <c r="F640" s="163">
        <v>29.59</v>
      </c>
      <c r="G640" s="164"/>
      <c r="H640" s="163">
        <v>30.773600000000002</v>
      </c>
      <c r="I640" s="164"/>
      <c r="J640" s="163">
        <v>31.9572</v>
      </c>
      <c r="K640" s="164"/>
      <c r="L640" s="163">
        <v>30.773600000000002</v>
      </c>
      <c r="M640" s="164"/>
      <c r="N640" s="163">
        <v>30.773600000000002</v>
      </c>
      <c r="O640" s="164"/>
      <c r="P640" s="151"/>
      <c r="Q640" s="151"/>
      <c r="R640" s="151"/>
      <c r="S640" s="151"/>
      <c r="T640" s="151"/>
      <c r="U640" s="151"/>
      <c r="V640" s="151"/>
      <c r="W640" s="151"/>
      <c r="X640" s="151"/>
      <c r="Y640" s="151"/>
      <c r="Z640" s="151"/>
    </row>
    <row r="641" ht="12.75" customHeight="1">
      <c r="A641" s="151"/>
      <c r="B641" s="125" t="s">
        <v>1341</v>
      </c>
      <c r="C641" s="126" t="s">
        <v>1342</v>
      </c>
      <c r="D641" s="127" t="s">
        <v>180</v>
      </c>
      <c r="E641" s="151"/>
      <c r="F641" s="163">
        <v>37.659473684210525</v>
      </c>
      <c r="G641" s="164"/>
      <c r="H641" s="163">
        <v>39.16585263157894</v>
      </c>
      <c r="I641" s="164"/>
      <c r="J641" s="163">
        <v>40.67223157894737</v>
      </c>
      <c r="K641" s="164"/>
      <c r="L641" s="163">
        <v>39.16585263157894</v>
      </c>
      <c r="M641" s="164"/>
      <c r="N641" s="163">
        <v>39.16585263157894</v>
      </c>
      <c r="O641" s="164"/>
      <c r="P641" s="151"/>
      <c r="Q641" s="151"/>
      <c r="R641" s="151"/>
      <c r="S641" s="151"/>
      <c r="T641" s="151"/>
      <c r="U641" s="151"/>
      <c r="V641" s="151"/>
      <c r="W641" s="151"/>
      <c r="X641" s="151"/>
      <c r="Y641" s="151"/>
      <c r="Z641" s="151"/>
    </row>
    <row r="642" ht="12.75" customHeight="1">
      <c r="A642" s="151"/>
      <c r="B642" s="125" t="s">
        <v>1343</v>
      </c>
      <c r="C642" s="126" t="s">
        <v>1344</v>
      </c>
      <c r="D642" s="127" t="s">
        <v>180</v>
      </c>
      <c r="E642" s="151"/>
      <c r="F642" s="163">
        <v>81.06</v>
      </c>
      <c r="G642" s="164"/>
      <c r="H642" s="163">
        <v>84.3024</v>
      </c>
      <c r="I642" s="164"/>
      <c r="J642" s="163">
        <v>87.54480000000001</v>
      </c>
      <c r="K642" s="164"/>
      <c r="L642" s="163">
        <v>84.3024</v>
      </c>
      <c r="M642" s="164"/>
      <c r="N642" s="163">
        <v>84.3024</v>
      </c>
      <c r="O642" s="164"/>
      <c r="P642" s="151"/>
      <c r="Q642" s="151"/>
      <c r="R642" s="151"/>
      <c r="S642" s="151"/>
      <c r="T642" s="151"/>
      <c r="U642" s="151"/>
      <c r="V642" s="151"/>
      <c r="W642" s="151"/>
      <c r="X642" s="151"/>
      <c r="Y642" s="151"/>
      <c r="Z642" s="151"/>
    </row>
    <row r="643" ht="12.75" customHeight="1">
      <c r="A643" s="151"/>
      <c r="B643" s="125" t="s">
        <v>1345</v>
      </c>
      <c r="C643" s="126" t="s">
        <v>1346</v>
      </c>
      <c r="D643" s="127" t="s">
        <v>180</v>
      </c>
      <c r="E643" s="151"/>
      <c r="F643" s="163">
        <v>8.8665</v>
      </c>
      <c r="G643" s="164"/>
      <c r="H643" s="163">
        <v>9.221160000000001</v>
      </c>
      <c r="I643" s="164"/>
      <c r="J643" s="163">
        <v>9.57582</v>
      </c>
      <c r="K643" s="164"/>
      <c r="L643" s="163">
        <v>9.221160000000001</v>
      </c>
      <c r="M643" s="164"/>
      <c r="N643" s="163">
        <v>9.221160000000001</v>
      </c>
      <c r="O643" s="164"/>
      <c r="P643" s="151"/>
      <c r="Q643" s="151"/>
      <c r="R643" s="151"/>
      <c r="S643" s="151"/>
      <c r="T643" s="151"/>
      <c r="U643" s="151"/>
      <c r="V643" s="151"/>
      <c r="W643" s="151"/>
      <c r="X643" s="151"/>
      <c r="Y643" s="151"/>
      <c r="Z643" s="151"/>
    </row>
    <row r="644" ht="12.75" customHeight="1">
      <c r="A644" s="151"/>
      <c r="B644" s="125" t="s">
        <v>1347</v>
      </c>
      <c r="C644" s="126" t="s">
        <v>1348</v>
      </c>
      <c r="D644" s="127" t="s">
        <v>180</v>
      </c>
      <c r="E644" s="151"/>
      <c r="F644" s="163">
        <v>8.51086103569405</v>
      </c>
      <c r="G644" s="164"/>
      <c r="H644" s="163">
        <v>8.510057517847025</v>
      </c>
      <c r="I644" s="164"/>
      <c r="J644" s="163">
        <v>8.509254</v>
      </c>
      <c r="K644" s="164"/>
      <c r="L644" s="163">
        <v>8.510057517847025</v>
      </c>
      <c r="M644" s="164"/>
      <c r="N644" s="163">
        <v>8.510057517847025</v>
      </c>
      <c r="O644" s="164"/>
      <c r="P644" s="151"/>
      <c r="Q644" s="151"/>
      <c r="R644" s="151"/>
      <c r="S644" s="151"/>
      <c r="T644" s="151"/>
      <c r="U644" s="151"/>
      <c r="V644" s="151"/>
      <c r="W644" s="151"/>
      <c r="X644" s="151"/>
      <c r="Y644" s="151"/>
      <c r="Z644" s="151"/>
    </row>
    <row r="645" ht="12.75" customHeight="1">
      <c r="A645" s="151"/>
      <c r="B645" s="125" t="s">
        <v>1349</v>
      </c>
      <c r="C645" s="126" t="s">
        <v>1350</v>
      </c>
      <c r="D645" s="127" t="s">
        <v>180</v>
      </c>
      <c r="E645" s="151"/>
      <c r="F645" s="163">
        <v>18.211954545454542</v>
      </c>
      <c r="G645" s="164"/>
      <c r="H645" s="163">
        <v>19.122552272727273</v>
      </c>
      <c r="I645" s="164"/>
      <c r="J645" s="163">
        <v>20.03315</v>
      </c>
      <c r="K645" s="164"/>
      <c r="L645" s="163">
        <v>19.122552272727273</v>
      </c>
      <c r="M645" s="164"/>
      <c r="N645" s="163">
        <v>19.122552272727273</v>
      </c>
      <c r="O645" s="164"/>
      <c r="P645" s="151"/>
      <c r="Q645" s="151"/>
      <c r="R645" s="151"/>
      <c r="S645" s="151"/>
      <c r="T645" s="151"/>
      <c r="U645" s="151"/>
      <c r="V645" s="151"/>
      <c r="W645" s="151"/>
      <c r="X645" s="151"/>
      <c r="Y645" s="151"/>
      <c r="Z645" s="151"/>
    </row>
    <row r="646" ht="12.75" customHeight="1">
      <c r="A646" s="151"/>
      <c r="B646" s="125" t="s">
        <v>1351</v>
      </c>
      <c r="C646" s="126" t="s">
        <v>1352</v>
      </c>
      <c r="D646" s="127" t="s">
        <v>180</v>
      </c>
      <c r="E646" s="151"/>
      <c r="F646" s="163">
        <v>19.357</v>
      </c>
      <c r="G646" s="164"/>
      <c r="H646" s="163">
        <v>20.13128</v>
      </c>
      <c r="I646" s="164"/>
      <c r="J646" s="163">
        <v>20.90556</v>
      </c>
      <c r="K646" s="164"/>
      <c r="L646" s="163">
        <v>20.13128</v>
      </c>
      <c r="M646" s="164"/>
      <c r="N646" s="163">
        <v>20.13128</v>
      </c>
      <c r="O646" s="164"/>
      <c r="P646" s="151"/>
      <c r="Q646" s="151"/>
      <c r="R646" s="151"/>
      <c r="S646" s="151"/>
      <c r="T646" s="151"/>
      <c r="U646" s="151"/>
      <c r="V646" s="151"/>
      <c r="W646" s="151"/>
      <c r="X646" s="151"/>
      <c r="Y646" s="151"/>
      <c r="Z646" s="151"/>
    </row>
    <row r="647" ht="12.75" customHeight="1">
      <c r="A647" s="151"/>
      <c r="B647" s="125" t="s">
        <v>1353</v>
      </c>
      <c r="C647" s="126" t="s">
        <v>1354</v>
      </c>
      <c r="D647" s="127" t="s">
        <v>180</v>
      </c>
      <c r="E647" s="151"/>
      <c r="F647" s="163">
        <v>22.91</v>
      </c>
      <c r="G647" s="164"/>
      <c r="H647" s="163">
        <v>23.8264</v>
      </c>
      <c r="I647" s="164"/>
      <c r="J647" s="163">
        <v>24.742800000000003</v>
      </c>
      <c r="K647" s="164"/>
      <c r="L647" s="163">
        <v>23.8264</v>
      </c>
      <c r="M647" s="164"/>
      <c r="N647" s="163">
        <v>23.8264</v>
      </c>
      <c r="O647" s="164"/>
      <c r="P647" s="151"/>
      <c r="Q647" s="151"/>
      <c r="R647" s="151"/>
      <c r="S647" s="151"/>
      <c r="T647" s="151"/>
      <c r="U647" s="151"/>
      <c r="V647" s="151"/>
      <c r="W647" s="151"/>
      <c r="X647" s="151"/>
      <c r="Y647" s="151"/>
      <c r="Z647" s="151"/>
    </row>
    <row r="648" ht="12.75" customHeight="1">
      <c r="A648" s="151"/>
      <c r="B648" s="125" t="s">
        <v>1355</v>
      </c>
      <c r="C648" s="126" t="s">
        <v>1356</v>
      </c>
      <c r="D648" s="127" t="s">
        <v>180</v>
      </c>
      <c r="E648" s="151"/>
      <c r="F648" s="163">
        <v>27.868333333333332</v>
      </c>
      <c r="G648" s="164"/>
      <c r="H648" s="163">
        <v>28.983066666666666</v>
      </c>
      <c r="I648" s="164"/>
      <c r="J648" s="163">
        <v>30.0978</v>
      </c>
      <c r="K648" s="164"/>
      <c r="L648" s="163">
        <v>28.983066666666666</v>
      </c>
      <c r="M648" s="164"/>
      <c r="N648" s="163">
        <v>28.983066666666666</v>
      </c>
      <c r="O648" s="164"/>
      <c r="P648" s="151"/>
      <c r="Q648" s="151"/>
      <c r="R648" s="151"/>
      <c r="S648" s="151"/>
      <c r="T648" s="151"/>
      <c r="U648" s="151"/>
      <c r="V648" s="151"/>
      <c r="W648" s="151"/>
      <c r="X648" s="151"/>
      <c r="Y648" s="151"/>
      <c r="Z648" s="151"/>
    </row>
    <row r="649" ht="12.75" customHeight="1">
      <c r="A649" s="151"/>
      <c r="B649" s="125" t="s">
        <v>1357</v>
      </c>
      <c r="C649" s="126" t="s">
        <v>1358</v>
      </c>
      <c r="D649" s="127" t="s">
        <v>180</v>
      </c>
      <c r="E649" s="151"/>
      <c r="F649" s="163">
        <v>39.349999999999994</v>
      </c>
      <c r="G649" s="164"/>
      <c r="H649" s="163">
        <v>40.92399999999999</v>
      </c>
      <c r="I649" s="164"/>
      <c r="J649" s="163">
        <v>42.498</v>
      </c>
      <c r="K649" s="164"/>
      <c r="L649" s="163">
        <v>40.92399999999999</v>
      </c>
      <c r="M649" s="164"/>
      <c r="N649" s="163">
        <v>40.92399999999999</v>
      </c>
      <c r="O649" s="164"/>
      <c r="P649" s="151"/>
      <c r="Q649" s="151"/>
      <c r="R649" s="151"/>
      <c r="S649" s="151"/>
      <c r="T649" s="151"/>
      <c r="U649" s="151"/>
      <c r="V649" s="151"/>
      <c r="W649" s="151"/>
      <c r="X649" s="151"/>
      <c r="Y649" s="151"/>
      <c r="Z649" s="151"/>
    </row>
    <row r="650" ht="12.75" customHeight="1">
      <c r="A650" s="151"/>
      <c r="B650" s="125" t="s">
        <v>1359</v>
      </c>
      <c r="C650" s="126" t="s">
        <v>1360</v>
      </c>
      <c r="D650" s="127" t="s">
        <v>180</v>
      </c>
      <c r="E650" s="151"/>
      <c r="F650" s="163">
        <v>52.7</v>
      </c>
      <c r="G650" s="164"/>
      <c r="H650" s="163">
        <v>54.80800000000001</v>
      </c>
      <c r="I650" s="164"/>
      <c r="J650" s="163">
        <v>56.916000000000004</v>
      </c>
      <c r="K650" s="164"/>
      <c r="L650" s="163">
        <v>54.80800000000001</v>
      </c>
      <c r="M650" s="164"/>
      <c r="N650" s="163">
        <v>54.80800000000001</v>
      </c>
      <c r="O650" s="164"/>
      <c r="P650" s="151"/>
      <c r="Q650" s="151"/>
      <c r="R650" s="151"/>
      <c r="S650" s="151"/>
      <c r="T650" s="151"/>
      <c r="U650" s="151"/>
      <c r="V650" s="151"/>
      <c r="W650" s="151"/>
      <c r="X650" s="151"/>
      <c r="Y650" s="151"/>
      <c r="Z650" s="151"/>
    </row>
    <row r="651" ht="12.75" customHeight="1">
      <c r="A651" s="151"/>
      <c r="B651" s="125" t="s">
        <v>1361</v>
      </c>
      <c r="C651" s="126" t="s">
        <v>1362</v>
      </c>
      <c r="D651" s="127" t="s">
        <v>180</v>
      </c>
      <c r="E651" s="151"/>
      <c r="F651" s="163">
        <v>78.56</v>
      </c>
      <c r="G651" s="164"/>
      <c r="H651" s="163">
        <v>78.56</v>
      </c>
      <c r="I651" s="164"/>
      <c r="J651" s="163">
        <v>78.56</v>
      </c>
      <c r="K651" s="164"/>
      <c r="L651" s="163">
        <v>78.56</v>
      </c>
      <c r="M651" s="164"/>
      <c r="N651" s="163">
        <v>78.56</v>
      </c>
      <c r="O651" s="164"/>
      <c r="P651" s="151"/>
      <c r="Q651" s="151"/>
      <c r="R651" s="151"/>
      <c r="S651" s="151"/>
      <c r="T651" s="151"/>
      <c r="U651" s="151"/>
      <c r="V651" s="151"/>
      <c r="W651" s="151"/>
      <c r="X651" s="151"/>
      <c r="Y651" s="151"/>
      <c r="Z651" s="151"/>
    </row>
    <row r="652" ht="12.75" customHeight="1">
      <c r="A652" s="151"/>
      <c r="B652" s="113" t="s">
        <v>1363</v>
      </c>
      <c r="C652" s="114" t="s">
        <v>1364</v>
      </c>
      <c r="D652" s="115"/>
      <c r="E652" s="151"/>
      <c r="F652" s="161"/>
      <c r="G652" s="162"/>
      <c r="H652" s="161"/>
      <c r="I652" s="162"/>
      <c r="J652" s="161"/>
      <c r="K652" s="162"/>
      <c r="L652" s="161"/>
      <c r="M652" s="162"/>
      <c r="N652" s="161"/>
      <c r="O652" s="162"/>
      <c r="P652" s="151"/>
      <c r="Q652" s="151"/>
      <c r="R652" s="151"/>
      <c r="S652" s="151"/>
      <c r="T652" s="151"/>
      <c r="U652" s="151"/>
      <c r="V652" s="151"/>
      <c r="W652" s="151"/>
      <c r="X652" s="151"/>
      <c r="Y652" s="151"/>
      <c r="Z652" s="151"/>
    </row>
    <row r="653" ht="12.75" customHeight="1">
      <c r="A653" s="151"/>
      <c r="B653" s="125" t="s">
        <v>1365</v>
      </c>
      <c r="C653" s="126" t="s">
        <v>1366</v>
      </c>
      <c r="D653" s="127" t="s">
        <v>180</v>
      </c>
      <c r="E653" s="151"/>
      <c r="F653" s="163">
        <v>15.447221666666664</v>
      </c>
      <c r="G653" s="164"/>
      <c r="H653" s="163">
        <v>17.276945073083333</v>
      </c>
      <c r="I653" s="164"/>
      <c r="J653" s="163">
        <v>19.106668479499998</v>
      </c>
      <c r="K653" s="164"/>
      <c r="L653" s="163">
        <v>17.276945073083333</v>
      </c>
      <c r="M653" s="164"/>
      <c r="N653" s="163">
        <v>17.276945073083333</v>
      </c>
      <c r="O653" s="164"/>
      <c r="P653" s="151"/>
      <c r="Q653" s="151"/>
      <c r="R653" s="151"/>
      <c r="S653" s="151"/>
      <c r="T653" s="151"/>
      <c r="U653" s="151"/>
      <c r="V653" s="151"/>
      <c r="W653" s="151"/>
      <c r="X653" s="151"/>
      <c r="Y653" s="151"/>
      <c r="Z653" s="151"/>
    </row>
    <row r="654" ht="12.75" customHeight="1">
      <c r="A654" s="151"/>
      <c r="B654" s="125" t="s">
        <v>1367</v>
      </c>
      <c r="C654" s="126" t="s">
        <v>1368</v>
      </c>
      <c r="D654" s="127" t="s">
        <v>180</v>
      </c>
      <c r="E654" s="151"/>
      <c r="F654" s="163">
        <v>26.181818181818183</v>
      </c>
      <c r="G654" s="164"/>
      <c r="H654" s="163">
        <v>27.490909090909096</v>
      </c>
      <c r="I654" s="164"/>
      <c r="J654" s="163">
        <v>28.800000000000004</v>
      </c>
      <c r="K654" s="164"/>
      <c r="L654" s="163">
        <v>27.490909090909096</v>
      </c>
      <c r="M654" s="164"/>
      <c r="N654" s="163">
        <v>27.490909090909096</v>
      </c>
      <c r="O654" s="164"/>
      <c r="P654" s="151"/>
      <c r="Q654" s="151"/>
      <c r="R654" s="151"/>
      <c r="S654" s="151"/>
      <c r="T654" s="151"/>
      <c r="U654" s="151"/>
      <c r="V654" s="151"/>
      <c r="W654" s="151"/>
      <c r="X654" s="151"/>
      <c r="Y654" s="151"/>
      <c r="Z654" s="151"/>
    </row>
    <row r="655" ht="12.75" customHeight="1">
      <c r="A655" s="151"/>
      <c r="B655" s="125" t="s">
        <v>1369</v>
      </c>
      <c r="C655" s="126" t="s">
        <v>1370</v>
      </c>
      <c r="D655" s="127" t="s">
        <v>180</v>
      </c>
      <c r="E655" s="151"/>
      <c r="F655" s="163">
        <v>50.099999999999994</v>
      </c>
      <c r="G655" s="164"/>
      <c r="H655" s="163">
        <v>52.605000000000004</v>
      </c>
      <c r="I655" s="164"/>
      <c r="J655" s="163">
        <v>55.11</v>
      </c>
      <c r="K655" s="164"/>
      <c r="L655" s="163">
        <v>52.605000000000004</v>
      </c>
      <c r="M655" s="164"/>
      <c r="N655" s="163">
        <v>52.605000000000004</v>
      </c>
      <c r="O655" s="164"/>
      <c r="P655" s="151"/>
      <c r="Q655" s="151"/>
      <c r="R655" s="151"/>
      <c r="S655" s="151"/>
      <c r="T655" s="151"/>
      <c r="U655" s="151"/>
      <c r="V655" s="151"/>
      <c r="W655" s="151"/>
      <c r="X655" s="151"/>
      <c r="Y655" s="151"/>
      <c r="Z655" s="151"/>
    </row>
    <row r="656" ht="12.75" customHeight="1">
      <c r="A656" s="151"/>
      <c r="B656" s="125" t="s">
        <v>1371</v>
      </c>
      <c r="C656" s="126" t="s">
        <v>1372</v>
      </c>
      <c r="D656" s="127" t="s">
        <v>142</v>
      </c>
      <c r="E656" s="151"/>
      <c r="F656" s="163">
        <v>340.18</v>
      </c>
      <c r="G656" s="164"/>
      <c r="H656" s="163">
        <v>380.47432100000003</v>
      </c>
      <c r="I656" s="164"/>
      <c r="J656" s="163">
        <v>420.768642</v>
      </c>
      <c r="K656" s="164"/>
      <c r="L656" s="163">
        <v>380.47432100000003</v>
      </c>
      <c r="M656" s="164"/>
      <c r="N656" s="163">
        <v>380.47432100000003</v>
      </c>
      <c r="O656" s="164"/>
      <c r="P656" s="151"/>
      <c r="Q656" s="151"/>
      <c r="R656" s="151"/>
      <c r="S656" s="151"/>
      <c r="T656" s="151"/>
      <c r="U656" s="151"/>
      <c r="V656" s="151"/>
      <c r="W656" s="151"/>
      <c r="X656" s="151"/>
      <c r="Y656" s="151"/>
      <c r="Z656" s="151"/>
    </row>
    <row r="657" ht="12.75" customHeight="1">
      <c r="A657" s="151"/>
      <c r="B657" s="113" t="s">
        <v>1373</v>
      </c>
      <c r="C657" s="114" t="s">
        <v>1374</v>
      </c>
      <c r="D657" s="115"/>
      <c r="E657" s="151"/>
      <c r="F657" s="161"/>
      <c r="G657" s="162"/>
      <c r="H657" s="161"/>
      <c r="I657" s="162"/>
      <c r="J657" s="161"/>
      <c r="K657" s="162"/>
      <c r="L657" s="161"/>
      <c r="M657" s="162"/>
      <c r="N657" s="161"/>
      <c r="O657" s="162"/>
      <c r="P657" s="151"/>
      <c r="Q657" s="151"/>
      <c r="R657" s="151"/>
      <c r="S657" s="151"/>
      <c r="T657" s="151"/>
      <c r="U657" s="151"/>
      <c r="V657" s="151"/>
      <c r="W657" s="151"/>
      <c r="X657" s="151"/>
      <c r="Y657" s="151"/>
      <c r="Z657" s="151"/>
    </row>
    <row r="658" ht="12.75" customHeight="1">
      <c r="A658" s="151"/>
      <c r="B658" s="125" t="s">
        <v>1375</v>
      </c>
      <c r="C658" s="126" t="s">
        <v>1376</v>
      </c>
      <c r="D658" s="127" t="s">
        <v>180</v>
      </c>
      <c r="E658" s="151"/>
      <c r="F658" s="163">
        <v>12.73983228</v>
      </c>
      <c r="G658" s="164"/>
      <c r="H658" s="163">
        <v>12.73983228</v>
      </c>
      <c r="I658" s="164"/>
      <c r="J658" s="163">
        <v>12.73983228</v>
      </c>
      <c r="K658" s="164"/>
      <c r="L658" s="163">
        <v>12.73983228</v>
      </c>
      <c r="M658" s="164"/>
      <c r="N658" s="163">
        <v>12.73983228</v>
      </c>
      <c r="O658" s="164"/>
      <c r="P658" s="151"/>
      <c r="Q658" s="151"/>
      <c r="R658" s="151"/>
      <c r="S658" s="151"/>
      <c r="T658" s="151"/>
      <c r="U658" s="151"/>
      <c r="V658" s="151"/>
      <c r="W658" s="151"/>
      <c r="X658" s="151"/>
      <c r="Y658" s="151"/>
      <c r="Z658" s="151"/>
    </row>
    <row r="659" ht="12.75" customHeight="1">
      <c r="A659" s="151"/>
      <c r="B659" s="125" t="s">
        <v>1377</v>
      </c>
      <c r="C659" s="126" t="s">
        <v>1378</v>
      </c>
      <c r="D659" s="127" t="s">
        <v>180</v>
      </c>
      <c r="E659" s="151"/>
      <c r="F659" s="163">
        <v>18.4</v>
      </c>
      <c r="G659" s="164"/>
      <c r="H659" s="163">
        <v>18.4</v>
      </c>
      <c r="I659" s="164"/>
      <c r="J659" s="163">
        <v>18.4</v>
      </c>
      <c r="K659" s="164"/>
      <c r="L659" s="163">
        <v>18.4</v>
      </c>
      <c r="M659" s="164"/>
      <c r="N659" s="163">
        <v>18.4</v>
      </c>
      <c r="O659" s="164"/>
      <c r="P659" s="151"/>
      <c r="Q659" s="151"/>
      <c r="R659" s="151"/>
      <c r="S659" s="151"/>
      <c r="T659" s="151"/>
      <c r="U659" s="151"/>
      <c r="V659" s="151"/>
      <c r="W659" s="151"/>
      <c r="X659" s="151"/>
      <c r="Y659" s="151"/>
      <c r="Z659" s="151"/>
    </row>
    <row r="660" ht="12.75" customHeight="1">
      <c r="A660" s="151"/>
      <c r="B660" s="125" t="s">
        <v>1379</v>
      </c>
      <c r="C660" s="126" t="s">
        <v>1380</v>
      </c>
      <c r="D660" s="127" t="s">
        <v>180</v>
      </c>
      <c r="E660" s="151"/>
      <c r="F660" s="163">
        <v>25.0</v>
      </c>
      <c r="G660" s="164"/>
      <c r="H660" s="163">
        <v>25.0</v>
      </c>
      <c r="I660" s="164"/>
      <c r="J660" s="163">
        <v>25.0</v>
      </c>
      <c r="K660" s="164"/>
      <c r="L660" s="163">
        <v>25.0</v>
      </c>
      <c r="M660" s="164"/>
      <c r="N660" s="163">
        <v>25.0</v>
      </c>
      <c r="O660" s="164"/>
      <c r="P660" s="151"/>
      <c r="Q660" s="151"/>
      <c r="R660" s="151"/>
      <c r="S660" s="151"/>
      <c r="T660" s="151"/>
      <c r="U660" s="151"/>
      <c r="V660" s="151"/>
      <c r="W660" s="151"/>
      <c r="X660" s="151"/>
      <c r="Y660" s="151"/>
      <c r="Z660" s="151"/>
    </row>
    <row r="661" ht="12.75" customHeight="1">
      <c r="A661" s="151"/>
      <c r="B661" s="125" t="s">
        <v>1381</v>
      </c>
      <c r="C661" s="126" t="s">
        <v>1382</v>
      </c>
      <c r="D661" s="127" t="s">
        <v>180</v>
      </c>
      <c r="E661" s="151"/>
      <c r="F661" s="163">
        <v>28.800000000000004</v>
      </c>
      <c r="G661" s="164"/>
      <c r="H661" s="163">
        <v>28.800000000000004</v>
      </c>
      <c r="I661" s="164"/>
      <c r="J661" s="163">
        <v>28.800000000000004</v>
      </c>
      <c r="K661" s="164"/>
      <c r="L661" s="163">
        <v>28.800000000000004</v>
      </c>
      <c r="M661" s="164"/>
      <c r="N661" s="163">
        <v>28.800000000000004</v>
      </c>
      <c r="O661" s="164"/>
      <c r="P661" s="151"/>
      <c r="Q661" s="151"/>
      <c r="R661" s="151"/>
      <c r="S661" s="151"/>
      <c r="T661" s="151"/>
      <c r="U661" s="151"/>
      <c r="V661" s="151"/>
      <c r="W661" s="151"/>
      <c r="X661" s="151"/>
      <c r="Y661" s="151"/>
      <c r="Z661" s="151"/>
    </row>
    <row r="662" ht="12.75" customHeight="1">
      <c r="A662" s="151"/>
      <c r="B662" s="125" t="s">
        <v>1383</v>
      </c>
      <c r="C662" s="126" t="s">
        <v>1384</v>
      </c>
      <c r="D662" s="127" t="s">
        <v>180</v>
      </c>
      <c r="E662" s="151"/>
      <c r="F662" s="163">
        <v>49.099999999999994</v>
      </c>
      <c r="G662" s="164"/>
      <c r="H662" s="163">
        <v>51.55499999999999</v>
      </c>
      <c r="I662" s="164"/>
      <c r="J662" s="163">
        <v>54.01</v>
      </c>
      <c r="K662" s="164"/>
      <c r="L662" s="163">
        <v>51.55499999999999</v>
      </c>
      <c r="M662" s="164"/>
      <c r="N662" s="163">
        <v>51.55499999999999</v>
      </c>
      <c r="O662" s="164"/>
      <c r="P662" s="151"/>
      <c r="Q662" s="151"/>
      <c r="R662" s="151"/>
      <c r="S662" s="151"/>
      <c r="T662" s="151"/>
      <c r="U662" s="151"/>
      <c r="V662" s="151"/>
      <c r="W662" s="151"/>
      <c r="X662" s="151"/>
      <c r="Y662" s="151"/>
      <c r="Z662" s="151"/>
    </row>
    <row r="663" ht="12.75" customHeight="1">
      <c r="A663" s="151"/>
      <c r="B663" s="113" t="s">
        <v>1385</v>
      </c>
      <c r="C663" s="114" t="s">
        <v>1386</v>
      </c>
      <c r="D663" s="115"/>
      <c r="E663" s="151"/>
      <c r="F663" s="161"/>
      <c r="G663" s="162"/>
      <c r="H663" s="161"/>
      <c r="I663" s="162"/>
      <c r="J663" s="161"/>
      <c r="K663" s="162"/>
      <c r="L663" s="161"/>
      <c r="M663" s="162"/>
      <c r="N663" s="161"/>
      <c r="O663" s="162"/>
      <c r="P663" s="151"/>
      <c r="Q663" s="151"/>
      <c r="R663" s="151"/>
      <c r="S663" s="151"/>
      <c r="T663" s="151"/>
      <c r="U663" s="151"/>
      <c r="V663" s="151"/>
      <c r="W663" s="151"/>
      <c r="X663" s="151"/>
      <c r="Y663" s="151"/>
      <c r="Z663" s="151"/>
    </row>
    <row r="664" ht="12.75" customHeight="1">
      <c r="A664" s="151"/>
      <c r="B664" s="125" t="s">
        <v>1387</v>
      </c>
      <c r="C664" s="126" t="s">
        <v>1388</v>
      </c>
      <c r="D664" s="127" t="s">
        <v>142</v>
      </c>
      <c r="E664" s="151"/>
      <c r="F664" s="163">
        <v>218.83173568</v>
      </c>
      <c r="G664" s="164"/>
      <c r="H664" s="163">
        <v>227.5850051072</v>
      </c>
      <c r="I664" s="164"/>
      <c r="J664" s="163">
        <v>236.33827453440003</v>
      </c>
      <c r="K664" s="164"/>
      <c r="L664" s="163">
        <v>227.5850051072</v>
      </c>
      <c r="M664" s="164"/>
      <c r="N664" s="163">
        <v>227.5850051072</v>
      </c>
      <c r="O664" s="164"/>
      <c r="P664" s="151"/>
      <c r="Q664" s="151"/>
      <c r="R664" s="151"/>
      <c r="S664" s="151"/>
      <c r="T664" s="151"/>
      <c r="U664" s="151"/>
      <c r="V664" s="151"/>
      <c r="W664" s="151"/>
      <c r="X664" s="151"/>
      <c r="Y664" s="151"/>
      <c r="Z664" s="151"/>
    </row>
    <row r="665" ht="12.75" customHeight="1">
      <c r="A665" s="151"/>
      <c r="B665" s="125" t="s">
        <v>1389</v>
      </c>
      <c r="C665" s="126" t="s">
        <v>1390</v>
      </c>
      <c r="D665" s="127" t="s">
        <v>142</v>
      </c>
      <c r="E665" s="151"/>
      <c r="F665" s="163">
        <v>350.0</v>
      </c>
      <c r="G665" s="164"/>
      <c r="H665" s="163">
        <v>364.0</v>
      </c>
      <c r="I665" s="164"/>
      <c r="J665" s="163">
        <v>378.0</v>
      </c>
      <c r="K665" s="164"/>
      <c r="L665" s="163">
        <v>364.0</v>
      </c>
      <c r="M665" s="164"/>
      <c r="N665" s="163">
        <v>364.0</v>
      </c>
      <c r="O665" s="164"/>
      <c r="P665" s="151"/>
      <c r="Q665" s="151"/>
      <c r="R665" s="151"/>
      <c r="S665" s="151"/>
      <c r="T665" s="151"/>
      <c r="U665" s="151"/>
      <c r="V665" s="151"/>
      <c r="W665" s="151"/>
      <c r="X665" s="151"/>
      <c r="Y665" s="151"/>
      <c r="Z665" s="151"/>
    </row>
    <row r="666" ht="12.75" customHeight="1">
      <c r="A666" s="151"/>
      <c r="B666" s="125" t="s">
        <v>1391</v>
      </c>
      <c r="C666" s="126" t="s">
        <v>1392</v>
      </c>
      <c r="D666" s="127" t="s">
        <v>142</v>
      </c>
      <c r="E666" s="151"/>
      <c r="F666" s="163">
        <v>13.89</v>
      </c>
      <c r="G666" s="164"/>
      <c r="H666" s="163">
        <v>14.4456</v>
      </c>
      <c r="I666" s="164"/>
      <c r="J666" s="163">
        <v>15.0012</v>
      </c>
      <c r="K666" s="164"/>
      <c r="L666" s="163">
        <v>14.4456</v>
      </c>
      <c r="M666" s="164"/>
      <c r="N666" s="163">
        <v>14.4456</v>
      </c>
      <c r="O666" s="164"/>
      <c r="P666" s="151"/>
      <c r="Q666" s="151"/>
      <c r="R666" s="151"/>
      <c r="S666" s="151"/>
      <c r="T666" s="151"/>
      <c r="U666" s="151"/>
      <c r="V666" s="151"/>
      <c r="W666" s="151"/>
      <c r="X666" s="151"/>
      <c r="Y666" s="151"/>
      <c r="Z666" s="151"/>
    </row>
    <row r="667" ht="12.75" customHeight="1">
      <c r="A667" s="151"/>
      <c r="B667" s="125" t="s">
        <v>1393</v>
      </c>
      <c r="C667" s="126" t="s">
        <v>1394</v>
      </c>
      <c r="D667" s="127" t="s">
        <v>142</v>
      </c>
      <c r="E667" s="151"/>
      <c r="F667" s="163">
        <v>16.163</v>
      </c>
      <c r="G667" s="164"/>
      <c r="H667" s="163">
        <v>16.80952</v>
      </c>
      <c r="I667" s="164"/>
      <c r="J667" s="163">
        <v>17.45604</v>
      </c>
      <c r="K667" s="164"/>
      <c r="L667" s="163">
        <v>16.80952</v>
      </c>
      <c r="M667" s="164"/>
      <c r="N667" s="163">
        <v>16.80952</v>
      </c>
      <c r="O667" s="164"/>
      <c r="P667" s="151"/>
      <c r="Q667" s="151"/>
      <c r="R667" s="151"/>
      <c r="S667" s="151"/>
      <c r="T667" s="151"/>
      <c r="U667" s="151"/>
      <c r="V667" s="151"/>
      <c r="W667" s="151"/>
      <c r="X667" s="151"/>
      <c r="Y667" s="151"/>
      <c r="Z667" s="151"/>
    </row>
    <row r="668" ht="12.75" customHeight="1">
      <c r="A668" s="151"/>
      <c r="B668" s="125" t="s">
        <v>1395</v>
      </c>
      <c r="C668" s="126" t="s">
        <v>1396</v>
      </c>
      <c r="D668" s="127" t="s">
        <v>142</v>
      </c>
      <c r="E668" s="151"/>
      <c r="F668" s="163">
        <v>18.259999999999998</v>
      </c>
      <c r="G668" s="164"/>
      <c r="H668" s="163">
        <v>18.9904</v>
      </c>
      <c r="I668" s="164"/>
      <c r="J668" s="163">
        <v>19.7208</v>
      </c>
      <c r="K668" s="164"/>
      <c r="L668" s="163">
        <v>18.9904</v>
      </c>
      <c r="M668" s="164"/>
      <c r="N668" s="163">
        <v>18.9904</v>
      </c>
      <c r="O668" s="164"/>
      <c r="P668" s="151"/>
      <c r="Q668" s="151"/>
      <c r="R668" s="151"/>
      <c r="S668" s="151"/>
      <c r="T668" s="151"/>
      <c r="U668" s="151"/>
      <c r="V668" s="151"/>
      <c r="W668" s="151"/>
      <c r="X668" s="151"/>
      <c r="Y668" s="151"/>
      <c r="Z668" s="151"/>
    </row>
    <row r="669" ht="12.75" customHeight="1">
      <c r="A669" s="151"/>
      <c r="B669" s="125" t="s">
        <v>1397</v>
      </c>
      <c r="C669" s="126" t="s">
        <v>1398</v>
      </c>
      <c r="D669" s="127" t="s">
        <v>142</v>
      </c>
      <c r="E669" s="151"/>
      <c r="F669" s="163">
        <v>24.33</v>
      </c>
      <c r="G669" s="164"/>
      <c r="H669" s="163">
        <v>25.303199999999997</v>
      </c>
      <c r="I669" s="164"/>
      <c r="J669" s="163">
        <v>26.2764</v>
      </c>
      <c r="K669" s="164"/>
      <c r="L669" s="163">
        <v>25.303199999999997</v>
      </c>
      <c r="M669" s="164"/>
      <c r="N669" s="163">
        <v>25.303199999999997</v>
      </c>
      <c r="O669" s="164"/>
      <c r="P669" s="151"/>
      <c r="Q669" s="151"/>
      <c r="R669" s="151"/>
      <c r="S669" s="151"/>
      <c r="T669" s="151"/>
      <c r="U669" s="151"/>
      <c r="V669" s="151"/>
      <c r="W669" s="151"/>
      <c r="X669" s="151"/>
      <c r="Y669" s="151"/>
      <c r="Z669" s="151"/>
    </row>
    <row r="670" ht="12.75" customHeight="1">
      <c r="A670" s="151"/>
      <c r="B670" s="125" t="s">
        <v>1399</v>
      </c>
      <c r="C670" s="126" t="s">
        <v>1400</v>
      </c>
      <c r="D670" s="127" t="s">
        <v>142</v>
      </c>
      <c r="E670" s="151"/>
      <c r="F670" s="163">
        <v>34.317499999999995</v>
      </c>
      <c r="G670" s="164"/>
      <c r="H670" s="163">
        <v>35.6902</v>
      </c>
      <c r="I670" s="164"/>
      <c r="J670" s="163">
        <v>37.0629</v>
      </c>
      <c r="K670" s="164"/>
      <c r="L670" s="163">
        <v>35.6902</v>
      </c>
      <c r="M670" s="164"/>
      <c r="N670" s="163">
        <v>35.6902</v>
      </c>
      <c r="O670" s="164"/>
      <c r="P670" s="151"/>
      <c r="Q670" s="151"/>
      <c r="R670" s="151"/>
      <c r="S670" s="151"/>
      <c r="T670" s="151"/>
      <c r="U670" s="151"/>
      <c r="V670" s="151"/>
      <c r="W670" s="151"/>
      <c r="X670" s="151"/>
      <c r="Y670" s="151"/>
      <c r="Z670" s="151"/>
    </row>
    <row r="671" ht="12.75" customHeight="1">
      <c r="A671" s="151"/>
      <c r="B671" s="125" t="s">
        <v>1401</v>
      </c>
      <c r="C671" s="126" t="s">
        <v>1402</v>
      </c>
      <c r="D671" s="127" t="s">
        <v>142</v>
      </c>
      <c r="E671" s="151"/>
      <c r="F671" s="163">
        <v>39.153965</v>
      </c>
      <c r="G671" s="164"/>
      <c r="H671" s="163">
        <v>40.7201236</v>
      </c>
      <c r="I671" s="164"/>
      <c r="J671" s="163">
        <v>42.2862822</v>
      </c>
      <c r="K671" s="164"/>
      <c r="L671" s="163">
        <v>40.7201236</v>
      </c>
      <c r="M671" s="164"/>
      <c r="N671" s="163">
        <v>40.7201236</v>
      </c>
      <c r="O671" s="164"/>
      <c r="P671" s="151"/>
      <c r="Q671" s="151"/>
      <c r="R671" s="151"/>
      <c r="S671" s="151"/>
      <c r="T671" s="151"/>
      <c r="U671" s="151"/>
      <c r="V671" s="151"/>
      <c r="W671" s="151"/>
      <c r="X671" s="151"/>
      <c r="Y671" s="151"/>
      <c r="Z671" s="151"/>
    </row>
    <row r="672" ht="12.75" customHeight="1">
      <c r="A672" s="151"/>
      <c r="B672" s="125" t="s">
        <v>1403</v>
      </c>
      <c r="C672" s="126" t="s">
        <v>1404</v>
      </c>
      <c r="D672" s="127" t="s">
        <v>142</v>
      </c>
      <c r="E672" s="151"/>
      <c r="F672" s="163">
        <v>50.154</v>
      </c>
      <c r="G672" s="164"/>
      <c r="H672" s="163">
        <v>52.160160000000005</v>
      </c>
      <c r="I672" s="164"/>
      <c r="J672" s="163">
        <v>54.166320000000006</v>
      </c>
      <c r="K672" s="164"/>
      <c r="L672" s="163">
        <v>52.160160000000005</v>
      </c>
      <c r="M672" s="164"/>
      <c r="N672" s="163">
        <v>52.160160000000005</v>
      </c>
      <c r="O672" s="164"/>
      <c r="P672" s="151"/>
      <c r="Q672" s="151"/>
      <c r="R672" s="151"/>
      <c r="S672" s="151"/>
      <c r="T672" s="151"/>
      <c r="U672" s="151"/>
      <c r="V672" s="151"/>
      <c r="W672" s="151"/>
      <c r="X672" s="151"/>
      <c r="Y672" s="151"/>
      <c r="Z672" s="151"/>
    </row>
    <row r="673" ht="12.75" customHeight="1">
      <c r="A673" s="151"/>
      <c r="B673" s="125" t="s">
        <v>1405</v>
      </c>
      <c r="C673" s="126" t="s">
        <v>1406</v>
      </c>
      <c r="D673" s="127" t="s">
        <v>142</v>
      </c>
      <c r="E673" s="151"/>
      <c r="F673" s="163">
        <v>18.28</v>
      </c>
      <c r="G673" s="164"/>
      <c r="H673" s="163">
        <v>19.011200000000002</v>
      </c>
      <c r="I673" s="164"/>
      <c r="J673" s="163">
        <v>19.742400000000004</v>
      </c>
      <c r="K673" s="164"/>
      <c r="L673" s="163">
        <v>19.011200000000002</v>
      </c>
      <c r="M673" s="164"/>
      <c r="N673" s="163">
        <v>19.011200000000002</v>
      </c>
      <c r="O673" s="164"/>
      <c r="P673" s="151"/>
      <c r="Q673" s="151"/>
      <c r="R673" s="151"/>
      <c r="S673" s="151"/>
      <c r="T673" s="151"/>
      <c r="U673" s="151"/>
      <c r="V673" s="151"/>
      <c r="W673" s="151"/>
      <c r="X673" s="151"/>
      <c r="Y673" s="151"/>
      <c r="Z673" s="151"/>
    </row>
    <row r="674" ht="12.75" customHeight="1">
      <c r="A674" s="151"/>
      <c r="B674" s="125" t="s">
        <v>1407</v>
      </c>
      <c r="C674" s="126" t="s">
        <v>1408</v>
      </c>
      <c r="D674" s="127" t="s">
        <v>142</v>
      </c>
      <c r="E674" s="151"/>
      <c r="F674" s="163">
        <v>13.599521249999999</v>
      </c>
      <c r="G674" s="164"/>
      <c r="H674" s="163">
        <v>14.1435021</v>
      </c>
      <c r="I674" s="164"/>
      <c r="J674" s="163">
        <v>14.68748295</v>
      </c>
      <c r="K674" s="164"/>
      <c r="L674" s="163">
        <v>14.1435021</v>
      </c>
      <c r="M674" s="164"/>
      <c r="N674" s="163">
        <v>14.1435021</v>
      </c>
      <c r="O674" s="164"/>
      <c r="P674" s="151"/>
      <c r="Q674" s="151"/>
      <c r="R674" s="151"/>
      <c r="S674" s="151"/>
      <c r="T674" s="151"/>
      <c r="U674" s="151"/>
      <c r="V674" s="151"/>
      <c r="W674" s="151"/>
      <c r="X674" s="151"/>
      <c r="Y674" s="151"/>
      <c r="Z674" s="151"/>
    </row>
    <row r="675" ht="12.75" customHeight="1">
      <c r="A675" s="151"/>
      <c r="B675" s="125" t="s">
        <v>1409</v>
      </c>
      <c r="C675" s="126" t="s">
        <v>1410</v>
      </c>
      <c r="D675" s="127" t="s">
        <v>142</v>
      </c>
      <c r="E675" s="151"/>
      <c r="F675" s="163">
        <v>47.15247599999999</v>
      </c>
      <c r="G675" s="164"/>
      <c r="H675" s="163">
        <v>49.03857504</v>
      </c>
      <c r="I675" s="164"/>
      <c r="J675" s="163">
        <v>50.924674079999996</v>
      </c>
      <c r="K675" s="164"/>
      <c r="L675" s="163">
        <v>49.03857504</v>
      </c>
      <c r="M675" s="164"/>
      <c r="N675" s="163">
        <v>49.03857504</v>
      </c>
      <c r="O675" s="164"/>
      <c r="P675" s="151"/>
      <c r="Q675" s="151"/>
      <c r="R675" s="151"/>
      <c r="S675" s="151"/>
      <c r="T675" s="151"/>
      <c r="U675" s="151"/>
      <c r="V675" s="151"/>
      <c r="W675" s="151"/>
      <c r="X675" s="151"/>
      <c r="Y675" s="151"/>
      <c r="Z675" s="151"/>
    </row>
    <row r="676" ht="12.75" customHeight="1">
      <c r="A676" s="151"/>
      <c r="B676" s="125" t="s">
        <v>1411</v>
      </c>
      <c r="C676" s="126" t="s">
        <v>1412</v>
      </c>
      <c r="D676" s="127" t="s">
        <v>142</v>
      </c>
      <c r="E676" s="151"/>
      <c r="F676" s="163">
        <v>26.953583999999996</v>
      </c>
      <c r="G676" s="164"/>
      <c r="H676" s="163">
        <v>28.031727359999998</v>
      </c>
      <c r="I676" s="164"/>
      <c r="J676" s="163">
        <v>29.109870719999996</v>
      </c>
      <c r="K676" s="164"/>
      <c r="L676" s="163">
        <v>28.031727359999998</v>
      </c>
      <c r="M676" s="164"/>
      <c r="N676" s="163">
        <v>28.031727359999998</v>
      </c>
      <c r="O676" s="164"/>
      <c r="P676" s="151"/>
      <c r="Q676" s="151"/>
      <c r="R676" s="151"/>
      <c r="S676" s="151"/>
      <c r="T676" s="151"/>
      <c r="U676" s="151"/>
      <c r="V676" s="151"/>
      <c r="W676" s="151"/>
      <c r="X676" s="151"/>
      <c r="Y676" s="151"/>
      <c r="Z676" s="151"/>
    </row>
    <row r="677" ht="12.75" customHeight="1">
      <c r="A677" s="151"/>
      <c r="B677" s="125" t="s">
        <v>1413</v>
      </c>
      <c r="C677" s="126" t="s">
        <v>1414</v>
      </c>
      <c r="D677" s="127" t="s">
        <v>180</v>
      </c>
      <c r="E677" s="151"/>
      <c r="F677" s="163">
        <v>68.75728155339806</v>
      </c>
      <c r="G677" s="164"/>
      <c r="H677" s="163">
        <v>63.61367874959999</v>
      </c>
      <c r="I677" s="164"/>
      <c r="J677" s="163">
        <v>74.25786407766991</v>
      </c>
      <c r="K677" s="164"/>
      <c r="L677" s="163">
        <v>63.61367874959999</v>
      </c>
      <c r="M677" s="164"/>
      <c r="N677" s="163">
        <v>63.61367874959999</v>
      </c>
      <c r="O677" s="164"/>
      <c r="P677" s="151"/>
      <c r="Q677" s="151"/>
      <c r="R677" s="151"/>
      <c r="S677" s="151"/>
      <c r="T677" s="151"/>
      <c r="U677" s="151"/>
      <c r="V677" s="151"/>
      <c r="W677" s="151"/>
      <c r="X677" s="151"/>
      <c r="Y677" s="151"/>
      <c r="Z677" s="151"/>
    </row>
    <row r="678" ht="12.75" customHeight="1">
      <c r="A678" s="151"/>
      <c r="B678" s="125" t="s">
        <v>1415</v>
      </c>
      <c r="C678" s="126" t="s">
        <v>1416</v>
      </c>
      <c r="D678" s="127" t="s">
        <v>142</v>
      </c>
      <c r="E678" s="151"/>
      <c r="F678" s="163">
        <v>35.029</v>
      </c>
      <c r="G678" s="164"/>
      <c r="H678" s="163">
        <v>36.43016</v>
      </c>
      <c r="I678" s="164"/>
      <c r="J678" s="163">
        <v>37.831320000000005</v>
      </c>
      <c r="K678" s="164"/>
      <c r="L678" s="163">
        <v>36.43016</v>
      </c>
      <c r="M678" s="164"/>
      <c r="N678" s="163">
        <v>36.43016</v>
      </c>
      <c r="O678" s="164"/>
      <c r="P678" s="151"/>
      <c r="Q678" s="151"/>
      <c r="R678" s="151"/>
      <c r="S678" s="151"/>
      <c r="T678" s="151"/>
      <c r="U678" s="151"/>
      <c r="V678" s="151"/>
      <c r="W678" s="151"/>
      <c r="X678" s="151"/>
      <c r="Y678" s="151"/>
      <c r="Z678" s="151"/>
    </row>
    <row r="679" ht="12.75" customHeight="1">
      <c r="A679" s="151"/>
      <c r="B679" s="125" t="s">
        <v>1417</v>
      </c>
      <c r="C679" s="126" t="s">
        <v>1418</v>
      </c>
      <c r="D679" s="127" t="s">
        <v>142</v>
      </c>
      <c r="E679" s="151"/>
      <c r="F679" s="163">
        <v>42.506</v>
      </c>
      <c r="G679" s="164"/>
      <c r="H679" s="163">
        <v>44.20624</v>
      </c>
      <c r="I679" s="164"/>
      <c r="J679" s="163">
        <v>45.90648</v>
      </c>
      <c r="K679" s="164"/>
      <c r="L679" s="163">
        <v>44.20624</v>
      </c>
      <c r="M679" s="164"/>
      <c r="N679" s="163">
        <v>44.20624</v>
      </c>
      <c r="O679" s="164"/>
      <c r="P679" s="151"/>
      <c r="Q679" s="151"/>
      <c r="R679" s="151"/>
      <c r="S679" s="151"/>
      <c r="T679" s="151"/>
      <c r="U679" s="151"/>
      <c r="V679" s="151"/>
      <c r="W679" s="151"/>
      <c r="X679" s="151"/>
      <c r="Y679" s="151"/>
      <c r="Z679" s="151"/>
    </row>
    <row r="680" ht="12.75" customHeight="1">
      <c r="A680" s="151"/>
      <c r="B680" s="125" t="s">
        <v>1419</v>
      </c>
      <c r="C680" s="126" t="s">
        <v>1420</v>
      </c>
      <c r="D680" s="127" t="s">
        <v>142</v>
      </c>
      <c r="E680" s="151"/>
      <c r="F680" s="163">
        <v>74.30976000000001</v>
      </c>
      <c r="G680" s="164"/>
      <c r="H680" s="163">
        <v>63.300657593800004</v>
      </c>
      <c r="I680" s="164"/>
      <c r="J680" s="163">
        <v>75.96</v>
      </c>
      <c r="K680" s="164"/>
      <c r="L680" s="163">
        <v>63.300657593800004</v>
      </c>
      <c r="M680" s="164"/>
      <c r="N680" s="163">
        <v>63.300657593800004</v>
      </c>
      <c r="O680" s="164"/>
      <c r="P680" s="151"/>
      <c r="Q680" s="151"/>
      <c r="R680" s="151"/>
      <c r="S680" s="151"/>
      <c r="T680" s="151"/>
      <c r="U680" s="151"/>
      <c r="V680" s="151"/>
      <c r="W680" s="151"/>
      <c r="X680" s="151"/>
      <c r="Y680" s="151"/>
      <c r="Z680" s="151"/>
    </row>
    <row r="681" ht="12.75" customHeight="1">
      <c r="A681" s="151"/>
      <c r="B681" s="125" t="s">
        <v>1421</v>
      </c>
      <c r="C681" s="126" t="s">
        <v>1422</v>
      </c>
      <c r="D681" s="127" t="s">
        <v>142</v>
      </c>
      <c r="E681" s="151"/>
      <c r="F681" s="163">
        <v>28.767841934934417</v>
      </c>
      <c r="G681" s="164"/>
      <c r="H681" s="163">
        <v>29.918555612331794</v>
      </c>
      <c r="I681" s="164"/>
      <c r="J681" s="163">
        <v>31.069269289729174</v>
      </c>
      <c r="K681" s="164"/>
      <c r="L681" s="163">
        <v>29.918555612331794</v>
      </c>
      <c r="M681" s="164"/>
      <c r="N681" s="163">
        <v>29.918555612331794</v>
      </c>
      <c r="O681" s="164"/>
      <c r="P681" s="151"/>
      <c r="Q681" s="151"/>
      <c r="R681" s="151"/>
      <c r="S681" s="151"/>
      <c r="T681" s="151"/>
      <c r="U681" s="151"/>
      <c r="V681" s="151"/>
      <c r="W681" s="151"/>
      <c r="X681" s="151"/>
      <c r="Y681" s="151"/>
      <c r="Z681" s="151"/>
    </row>
    <row r="682" ht="12.75" customHeight="1">
      <c r="A682" s="151"/>
      <c r="B682" s="125" t="s">
        <v>1423</v>
      </c>
      <c r="C682" s="126" t="s">
        <v>1424</v>
      </c>
      <c r="D682" s="127" t="s">
        <v>142</v>
      </c>
      <c r="E682" s="151"/>
      <c r="F682" s="163">
        <v>47.00317620747727</v>
      </c>
      <c r="G682" s="164"/>
      <c r="H682" s="163">
        <v>42.40158810373863</v>
      </c>
      <c r="I682" s="164"/>
      <c r="J682" s="163">
        <v>37.8</v>
      </c>
      <c r="K682" s="164"/>
      <c r="L682" s="163">
        <v>42.40158810373863</v>
      </c>
      <c r="M682" s="164"/>
      <c r="N682" s="163">
        <v>42.40158810373863</v>
      </c>
      <c r="O682" s="164"/>
      <c r="P682" s="151"/>
      <c r="Q682" s="151"/>
      <c r="R682" s="151"/>
      <c r="S682" s="151"/>
      <c r="T682" s="151"/>
      <c r="U682" s="151"/>
      <c r="V682" s="151"/>
      <c r="W682" s="151"/>
      <c r="X682" s="151"/>
      <c r="Y682" s="151"/>
      <c r="Z682" s="151"/>
    </row>
    <row r="683" ht="12.75" customHeight="1">
      <c r="A683" s="151"/>
      <c r="B683" s="113" t="s">
        <v>1425</v>
      </c>
      <c r="C683" s="114" t="s">
        <v>1426</v>
      </c>
      <c r="D683" s="115"/>
      <c r="E683" s="151"/>
      <c r="F683" s="161"/>
      <c r="G683" s="162"/>
      <c r="H683" s="161"/>
      <c r="I683" s="162"/>
      <c r="J683" s="161"/>
      <c r="K683" s="162"/>
      <c r="L683" s="161"/>
      <c r="M683" s="162"/>
      <c r="N683" s="161"/>
      <c r="O683" s="162"/>
      <c r="P683" s="151"/>
      <c r="Q683" s="151"/>
      <c r="R683" s="151"/>
      <c r="S683" s="151"/>
      <c r="T683" s="151"/>
      <c r="U683" s="151"/>
      <c r="V683" s="151"/>
      <c r="W683" s="151"/>
      <c r="X683" s="151"/>
      <c r="Y683" s="151"/>
      <c r="Z683" s="151"/>
    </row>
    <row r="684" ht="12.75" customHeight="1">
      <c r="A684" s="151"/>
      <c r="B684" s="125" t="s">
        <v>1427</v>
      </c>
      <c r="C684" s="126" t="s">
        <v>1428</v>
      </c>
      <c r="D684" s="127" t="s">
        <v>1429</v>
      </c>
      <c r="E684" s="151"/>
      <c r="F684" s="163">
        <v>61.67</v>
      </c>
      <c r="G684" s="164"/>
      <c r="H684" s="163">
        <v>71.06869590937274</v>
      </c>
      <c r="I684" s="164"/>
      <c r="J684" s="163">
        <v>80.46739181874548</v>
      </c>
      <c r="K684" s="164"/>
      <c r="L684" s="163">
        <v>71.06869590937274</v>
      </c>
      <c r="M684" s="164"/>
      <c r="N684" s="163">
        <v>71.06869590937274</v>
      </c>
      <c r="O684" s="164"/>
      <c r="P684" s="151"/>
      <c r="Q684" s="151"/>
      <c r="R684" s="151"/>
      <c r="S684" s="151"/>
      <c r="T684" s="151"/>
      <c r="U684" s="151"/>
      <c r="V684" s="151"/>
      <c r="W684" s="151"/>
      <c r="X684" s="151"/>
      <c r="Y684" s="151"/>
      <c r="Z684" s="151"/>
    </row>
    <row r="685" ht="12.75" customHeight="1">
      <c r="A685" s="151"/>
      <c r="B685" s="125" t="s">
        <v>1430</v>
      </c>
      <c r="C685" s="126" t="s">
        <v>1431</v>
      </c>
      <c r="D685" s="127" t="s">
        <v>180</v>
      </c>
      <c r="E685" s="151"/>
      <c r="F685" s="163">
        <v>36.73</v>
      </c>
      <c r="G685" s="164"/>
      <c r="H685" s="163">
        <v>36.73</v>
      </c>
      <c r="I685" s="164"/>
      <c r="J685" s="163">
        <v>36.73</v>
      </c>
      <c r="K685" s="164"/>
      <c r="L685" s="163">
        <v>36.73</v>
      </c>
      <c r="M685" s="164"/>
      <c r="N685" s="163">
        <v>36.73</v>
      </c>
      <c r="O685" s="164"/>
      <c r="P685" s="151"/>
      <c r="Q685" s="151"/>
      <c r="R685" s="151"/>
      <c r="S685" s="151"/>
      <c r="T685" s="151"/>
      <c r="U685" s="151"/>
      <c r="V685" s="151"/>
      <c r="W685" s="151"/>
      <c r="X685" s="151"/>
      <c r="Y685" s="151"/>
      <c r="Z685" s="151"/>
    </row>
    <row r="686" ht="12.75" customHeight="1">
      <c r="A686" s="151"/>
      <c r="B686" s="125" t="s">
        <v>1432</v>
      </c>
      <c r="C686" s="126" t="s">
        <v>1433</v>
      </c>
      <c r="D686" s="127" t="s">
        <v>180</v>
      </c>
      <c r="E686" s="151"/>
      <c r="F686" s="163">
        <v>73.13578947368421</v>
      </c>
      <c r="G686" s="164"/>
      <c r="H686" s="163">
        <v>73.13578947368421</v>
      </c>
      <c r="I686" s="164"/>
      <c r="J686" s="163">
        <v>73.13578947368421</v>
      </c>
      <c r="K686" s="164"/>
      <c r="L686" s="163">
        <v>73.13578947368421</v>
      </c>
      <c r="M686" s="164"/>
      <c r="N686" s="163">
        <v>73.13578947368421</v>
      </c>
      <c r="O686" s="164"/>
      <c r="P686" s="151"/>
      <c r="Q686" s="151"/>
      <c r="R686" s="151"/>
      <c r="S686" s="151"/>
      <c r="T686" s="151"/>
      <c r="U686" s="151"/>
      <c r="V686" s="151"/>
      <c r="W686" s="151"/>
      <c r="X686" s="151"/>
      <c r="Y686" s="151"/>
      <c r="Z686" s="151"/>
    </row>
    <row r="687" ht="12.75" customHeight="1">
      <c r="A687" s="151"/>
      <c r="B687" s="125" t="s">
        <v>1434</v>
      </c>
      <c r="C687" s="126" t="s">
        <v>1435</v>
      </c>
      <c r="D687" s="127" t="s">
        <v>180</v>
      </c>
      <c r="E687" s="151"/>
      <c r="F687" s="163">
        <v>88.3</v>
      </c>
      <c r="G687" s="164"/>
      <c r="H687" s="163">
        <v>88.3</v>
      </c>
      <c r="I687" s="164"/>
      <c r="J687" s="163">
        <v>88.3</v>
      </c>
      <c r="K687" s="164"/>
      <c r="L687" s="163">
        <v>88.3</v>
      </c>
      <c r="M687" s="164"/>
      <c r="N687" s="163">
        <v>88.3</v>
      </c>
      <c r="O687" s="164"/>
      <c r="P687" s="151"/>
      <c r="Q687" s="151"/>
      <c r="R687" s="151"/>
      <c r="S687" s="151"/>
      <c r="T687" s="151"/>
      <c r="U687" s="151"/>
      <c r="V687" s="151"/>
      <c r="W687" s="151"/>
      <c r="X687" s="151"/>
      <c r="Y687" s="151"/>
      <c r="Z687" s="151"/>
    </row>
    <row r="688" ht="12.75" customHeight="1">
      <c r="A688" s="151"/>
      <c r="B688" s="125" t="s">
        <v>1436</v>
      </c>
      <c r="C688" s="126" t="s">
        <v>1437</v>
      </c>
      <c r="D688" s="127" t="s">
        <v>180</v>
      </c>
      <c r="E688" s="151"/>
      <c r="F688" s="163">
        <v>113.38</v>
      </c>
      <c r="G688" s="164"/>
      <c r="H688" s="163">
        <v>113.38</v>
      </c>
      <c r="I688" s="164"/>
      <c r="J688" s="163">
        <v>113.38</v>
      </c>
      <c r="K688" s="164"/>
      <c r="L688" s="163">
        <v>113.38</v>
      </c>
      <c r="M688" s="164"/>
      <c r="N688" s="163">
        <v>113.38</v>
      </c>
      <c r="O688" s="164"/>
      <c r="P688" s="151"/>
      <c r="Q688" s="151"/>
      <c r="R688" s="151"/>
      <c r="S688" s="151"/>
      <c r="T688" s="151"/>
      <c r="U688" s="151"/>
      <c r="V688" s="151"/>
      <c r="W688" s="151"/>
      <c r="X688" s="151"/>
      <c r="Y688" s="151"/>
      <c r="Z688" s="151"/>
    </row>
    <row r="689" ht="12.75" customHeight="1">
      <c r="A689" s="151"/>
      <c r="B689" s="125" t="s">
        <v>1438</v>
      </c>
      <c r="C689" s="126" t="s">
        <v>1439</v>
      </c>
      <c r="D689" s="127" t="s">
        <v>180</v>
      </c>
      <c r="E689" s="151"/>
      <c r="F689" s="163">
        <v>123.5</v>
      </c>
      <c r="G689" s="164"/>
      <c r="H689" s="163">
        <v>123.5</v>
      </c>
      <c r="I689" s="164"/>
      <c r="J689" s="163">
        <v>123.5</v>
      </c>
      <c r="K689" s="164"/>
      <c r="L689" s="163">
        <v>123.5</v>
      </c>
      <c r="M689" s="164"/>
      <c r="N689" s="163">
        <v>123.5</v>
      </c>
      <c r="O689" s="164"/>
      <c r="P689" s="151"/>
      <c r="Q689" s="151"/>
      <c r="R689" s="151"/>
      <c r="S689" s="151"/>
      <c r="T689" s="151"/>
      <c r="U689" s="151"/>
      <c r="V689" s="151"/>
      <c r="W689" s="151"/>
      <c r="X689" s="151"/>
      <c r="Y689" s="151"/>
      <c r="Z689" s="151"/>
    </row>
    <row r="690" ht="12.75" customHeight="1">
      <c r="A690" s="151"/>
      <c r="B690" s="125" t="s">
        <v>1440</v>
      </c>
      <c r="C690" s="126" t="s">
        <v>1441</v>
      </c>
      <c r="D690" s="127" t="s">
        <v>180</v>
      </c>
      <c r="E690" s="151"/>
      <c r="F690" s="163">
        <v>161.92000000000002</v>
      </c>
      <c r="G690" s="164"/>
      <c r="H690" s="163">
        <v>161.92000000000002</v>
      </c>
      <c r="I690" s="164"/>
      <c r="J690" s="163">
        <v>161.92000000000002</v>
      </c>
      <c r="K690" s="164"/>
      <c r="L690" s="163">
        <v>161.92000000000002</v>
      </c>
      <c r="M690" s="164"/>
      <c r="N690" s="163">
        <v>161.92000000000002</v>
      </c>
      <c r="O690" s="164"/>
      <c r="P690" s="151"/>
      <c r="Q690" s="151"/>
      <c r="R690" s="151"/>
      <c r="S690" s="151"/>
      <c r="T690" s="151"/>
      <c r="U690" s="151"/>
      <c r="V690" s="151"/>
      <c r="W690" s="151"/>
      <c r="X690" s="151"/>
      <c r="Y690" s="151"/>
      <c r="Z690" s="151"/>
    </row>
    <row r="691" ht="12.75" customHeight="1">
      <c r="A691" s="151"/>
      <c r="B691" s="125" t="s">
        <v>1442</v>
      </c>
      <c r="C691" s="126" t="s">
        <v>1443</v>
      </c>
      <c r="D691" s="127" t="s">
        <v>180</v>
      </c>
      <c r="E691" s="151"/>
      <c r="F691" s="163">
        <v>219.7</v>
      </c>
      <c r="G691" s="164"/>
      <c r="H691" s="163">
        <v>219.7</v>
      </c>
      <c r="I691" s="164"/>
      <c r="J691" s="163">
        <v>219.7</v>
      </c>
      <c r="K691" s="164"/>
      <c r="L691" s="163">
        <v>219.7</v>
      </c>
      <c r="M691" s="164"/>
      <c r="N691" s="163">
        <v>219.7</v>
      </c>
      <c r="O691" s="164"/>
      <c r="P691" s="151"/>
      <c r="Q691" s="151"/>
      <c r="R691" s="151"/>
      <c r="S691" s="151"/>
      <c r="T691" s="151"/>
      <c r="U691" s="151"/>
      <c r="V691" s="151"/>
      <c r="W691" s="151"/>
      <c r="X691" s="151"/>
      <c r="Y691" s="151"/>
      <c r="Z691" s="151"/>
    </row>
    <row r="692" ht="12.75" customHeight="1">
      <c r="A692" s="151"/>
      <c r="B692" s="125" t="s">
        <v>1444</v>
      </c>
      <c r="C692" s="126" t="s">
        <v>1445</v>
      </c>
      <c r="D692" s="127" t="s">
        <v>180</v>
      </c>
      <c r="E692" s="151"/>
      <c r="F692" s="163">
        <v>223.10000000000002</v>
      </c>
      <c r="G692" s="164"/>
      <c r="H692" s="163">
        <v>223.10000000000002</v>
      </c>
      <c r="I692" s="164"/>
      <c r="J692" s="163">
        <v>223.10000000000002</v>
      </c>
      <c r="K692" s="164"/>
      <c r="L692" s="163">
        <v>223.10000000000002</v>
      </c>
      <c r="M692" s="164"/>
      <c r="N692" s="163">
        <v>223.10000000000002</v>
      </c>
      <c r="O692" s="164"/>
      <c r="P692" s="151"/>
      <c r="Q692" s="151"/>
      <c r="R692" s="151"/>
      <c r="S692" s="151"/>
      <c r="T692" s="151"/>
      <c r="U692" s="151"/>
      <c r="V692" s="151"/>
      <c r="W692" s="151"/>
      <c r="X692" s="151"/>
      <c r="Y692" s="151"/>
      <c r="Z692" s="151"/>
    </row>
    <row r="693" ht="12.75" customHeight="1">
      <c r="A693" s="151"/>
      <c r="B693" s="125" t="s">
        <v>1446</v>
      </c>
      <c r="C693" s="126" t="s">
        <v>1447</v>
      </c>
      <c r="D693" s="127" t="s">
        <v>180</v>
      </c>
      <c r="E693" s="151"/>
      <c r="F693" s="163">
        <v>279.672669</v>
      </c>
      <c r="G693" s="164"/>
      <c r="H693" s="163">
        <v>279.672669</v>
      </c>
      <c r="I693" s="164"/>
      <c r="J693" s="163">
        <v>279.672669</v>
      </c>
      <c r="K693" s="164"/>
      <c r="L693" s="163">
        <v>279.672669</v>
      </c>
      <c r="M693" s="164"/>
      <c r="N693" s="163">
        <v>279.672669</v>
      </c>
      <c r="O693" s="164"/>
      <c r="P693" s="151"/>
      <c r="Q693" s="151"/>
      <c r="R693" s="151"/>
      <c r="S693" s="151"/>
      <c r="T693" s="151"/>
      <c r="U693" s="151"/>
      <c r="V693" s="151"/>
      <c r="W693" s="151"/>
      <c r="X693" s="151"/>
      <c r="Y693" s="151"/>
      <c r="Z693" s="151"/>
    </row>
    <row r="694" ht="12.75" customHeight="1">
      <c r="A694" s="151"/>
      <c r="B694" s="125" t="s">
        <v>1448</v>
      </c>
      <c r="C694" s="126" t="s">
        <v>1449</v>
      </c>
      <c r="D694" s="127" t="s">
        <v>180</v>
      </c>
      <c r="E694" s="151"/>
      <c r="F694" s="163">
        <v>364.49927099999996</v>
      </c>
      <c r="G694" s="164"/>
      <c r="H694" s="163">
        <v>364.49927099999996</v>
      </c>
      <c r="I694" s="164"/>
      <c r="J694" s="163">
        <v>364.49927099999996</v>
      </c>
      <c r="K694" s="164"/>
      <c r="L694" s="163">
        <v>364.49927099999996</v>
      </c>
      <c r="M694" s="164"/>
      <c r="N694" s="163">
        <v>364.49927099999996</v>
      </c>
      <c r="O694" s="164"/>
      <c r="P694" s="151"/>
      <c r="Q694" s="151"/>
      <c r="R694" s="151"/>
      <c r="S694" s="151"/>
      <c r="T694" s="151"/>
      <c r="U694" s="151"/>
      <c r="V694" s="151"/>
      <c r="W694" s="151"/>
      <c r="X694" s="151"/>
      <c r="Y694" s="151"/>
      <c r="Z694" s="151"/>
    </row>
    <row r="695" ht="12.75" customHeight="1">
      <c r="A695" s="151"/>
      <c r="B695" s="125" t="s">
        <v>1450</v>
      </c>
      <c r="C695" s="126" t="s">
        <v>1451</v>
      </c>
      <c r="D695" s="127" t="s">
        <v>1429</v>
      </c>
      <c r="E695" s="151"/>
      <c r="F695" s="163">
        <v>936.0</v>
      </c>
      <c r="G695" s="164"/>
      <c r="H695" s="163">
        <v>936.0</v>
      </c>
      <c r="I695" s="164"/>
      <c r="J695" s="163">
        <v>936.0</v>
      </c>
      <c r="K695" s="164"/>
      <c r="L695" s="163">
        <v>936.0</v>
      </c>
      <c r="M695" s="164"/>
      <c r="N695" s="163">
        <v>936.0</v>
      </c>
      <c r="O695" s="164"/>
      <c r="P695" s="151"/>
      <c r="Q695" s="151"/>
      <c r="R695" s="151"/>
      <c r="S695" s="151"/>
      <c r="T695" s="151"/>
      <c r="U695" s="151"/>
      <c r="V695" s="151"/>
      <c r="W695" s="151"/>
      <c r="X695" s="151"/>
      <c r="Y695" s="151"/>
      <c r="Z695" s="151"/>
    </row>
    <row r="696" ht="12.75" customHeight="1">
      <c r="A696" s="151"/>
      <c r="B696" s="125" t="s">
        <v>1452</v>
      </c>
      <c r="C696" s="126" t="s">
        <v>1453</v>
      </c>
      <c r="D696" s="127" t="s">
        <v>1429</v>
      </c>
      <c r="E696" s="151"/>
      <c r="F696" s="163">
        <v>371.66999999999996</v>
      </c>
      <c r="G696" s="164"/>
      <c r="H696" s="163">
        <v>371.66999999999996</v>
      </c>
      <c r="I696" s="164"/>
      <c r="J696" s="163">
        <v>371.66999999999996</v>
      </c>
      <c r="K696" s="164"/>
      <c r="L696" s="163">
        <v>371.66999999999996</v>
      </c>
      <c r="M696" s="164"/>
      <c r="N696" s="163">
        <v>371.66999999999996</v>
      </c>
      <c r="O696" s="164"/>
      <c r="P696" s="151"/>
      <c r="Q696" s="151"/>
      <c r="R696" s="151"/>
      <c r="S696" s="151"/>
      <c r="T696" s="151"/>
      <c r="U696" s="151"/>
      <c r="V696" s="151"/>
      <c r="W696" s="151"/>
      <c r="X696" s="151"/>
      <c r="Y696" s="151"/>
      <c r="Z696" s="151"/>
    </row>
    <row r="697" ht="12.75" customHeight="1">
      <c r="A697" s="151"/>
      <c r="B697" s="125" t="s">
        <v>1454</v>
      </c>
      <c r="C697" s="126" t="s">
        <v>1455</v>
      </c>
      <c r="D697" s="127" t="s">
        <v>1456</v>
      </c>
      <c r="E697" s="151"/>
      <c r="F697" s="163">
        <v>2001.490096728192</v>
      </c>
      <c r="G697" s="164"/>
      <c r="H697" s="163">
        <v>2009.495048364096</v>
      </c>
      <c r="I697" s="164"/>
      <c r="J697" s="163">
        <v>2017.5</v>
      </c>
      <c r="K697" s="164"/>
      <c r="L697" s="163">
        <v>2009.495048364096</v>
      </c>
      <c r="M697" s="164"/>
      <c r="N697" s="163">
        <v>2009.495048364096</v>
      </c>
      <c r="O697" s="164"/>
      <c r="P697" s="151"/>
      <c r="Q697" s="151"/>
      <c r="R697" s="151"/>
      <c r="S697" s="151"/>
      <c r="T697" s="151"/>
      <c r="U697" s="151"/>
      <c r="V697" s="151"/>
      <c r="W697" s="151"/>
      <c r="X697" s="151"/>
      <c r="Y697" s="151"/>
      <c r="Z697" s="151"/>
    </row>
    <row r="698" ht="12.75" customHeight="1">
      <c r="A698" s="151"/>
      <c r="B698" s="113" t="s">
        <v>1457</v>
      </c>
      <c r="C698" s="114" t="s">
        <v>1458</v>
      </c>
      <c r="D698" s="115"/>
      <c r="E698" s="151"/>
      <c r="F698" s="161"/>
      <c r="G698" s="162"/>
      <c r="H698" s="161"/>
      <c r="I698" s="162"/>
      <c r="J698" s="161"/>
      <c r="K698" s="162"/>
      <c r="L698" s="161"/>
      <c r="M698" s="162"/>
      <c r="N698" s="161"/>
      <c r="O698" s="162"/>
      <c r="P698" s="151"/>
      <c r="Q698" s="151"/>
      <c r="R698" s="151"/>
      <c r="S698" s="151"/>
      <c r="T698" s="151"/>
      <c r="U698" s="151"/>
      <c r="V698" s="151"/>
      <c r="W698" s="151"/>
      <c r="X698" s="151"/>
      <c r="Y698" s="151"/>
      <c r="Z698" s="151"/>
    </row>
    <row r="699" ht="12.75" customHeight="1">
      <c r="A699" s="151"/>
      <c r="B699" s="125" t="s">
        <v>1459</v>
      </c>
      <c r="C699" s="126" t="s">
        <v>1460</v>
      </c>
      <c r="D699" s="127" t="s">
        <v>64</v>
      </c>
      <c r="E699" s="151"/>
      <c r="F699" s="163">
        <v>1061.0539485</v>
      </c>
      <c r="G699" s="164"/>
      <c r="H699" s="163">
        <v>1061.0539485</v>
      </c>
      <c r="I699" s="164"/>
      <c r="J699" s="163">
        <v>1061.0539485</v>
      </c>
      <c r="K699" s="164"/>
      <c r="L699" s="163">
        <v>1061.0539485</v>
      </c>
      <c r="M699" s="164"/>
      <c r="N699" s="163">
        <v>1061.0539485</v>
      </c>
      <c r="O699" s="164"/>
      <c r="P699" s="151"/>
      <c r="Q699" s="151"/>
      <c r="R699" s="151"/>
      <c r="S699" s="151"/>
      <c r="T699" s="151"/>
      <c r="U699" s="151"/>
      <c r="V699" s="151"/>
      <c r="W699" s="151"/>
      <c r="X699" s="151"/>
      <c r="Y699" s="151"/>
      <c r="Z699" s="151"/>
    </row>
    <row r="700" ht="12.75" customHeight="1">
      <c r="A700" s="151"/>
      <c r="B700" s="125" t="s">
        <v>1461</v>
      </c>
      <c r="C700" s="126" t="s">
        <v>1462</v>
      </c>
      <c r="D700" s="127" t="s">
        <v>64</v>
      </c>
      <c r="E700" s="151"/>
      <c r="F700" s="163">
        <v>1590.0</v>
      </c>
      <c r="G700" s="164"/>
      <c r="H700" s="163">
        <v>1590.0</v>
      </c>
      <c r="I700" s="164"/>
      <c r="J700" s="163">
        <v>1590.0</v>
      </c>
      <c r="K700" s="164"/>
      <c r="L700" s="163">
        <v>1590.0</v>
      </c>
      <c r="M700" s="164"/>
      <c r="N700" s="163">
        <v>1590.0</v>
      </c>
      <c r="O700" s="164"/>
      <c r="P700" s="151"/>
      <c r="Q700" s="151"/>
      <c r="R700" s="151"/>
      <c r="S700" s="151"/>
      <c r="T700" s="151"/>
      <c r="U700" s="151"/>
      <c r="V700" s="151"/>
      <c r="W700" s="151"/>
      <c r="X700" s="151"/>
      <c r="Y700" s="151"/>
      <c r="Z700" s="151"/>
    </row>
    <row r="701" ht="12.75" customHeight="1">
      <c r="A701" s="151"/>
      <c r="B701" s="125" t="s">
        <v>1463</v>
      </c>
      <c r="C701" s="126" t="s">
        <v>1464</v>
      </c>
      <c r="D701" s="127" t="s">
        <v>142</v>
      </c>
      <c r="E701" s="151"/>
      <c r="F701" s="163">
        <v>1681.6264858034547</v>
      </c>
      <c r="G701" s="164"/>
      <c r="H701" s="163">
        <v>1681.6264858034547</v>
      </c>
      <c r="I701" s="164"/>
      <c r="J701" s="163">
        <v>1681.6264858034547</v>
      </c>
      <c r="K701" s="164"/>
      <c r="L701" s="163">
        <v>1681.6264858034547</v>
      </c>
      <c r="M701" s="164"/>
      <c r="N701" s="163">
        <v>1681.6264858034547</v>
      </c>
      <c r="O701" s="164"/>
      <c r="P701" s="151"/>
      <c r="Q701" s="151"/>
      <c r="R701" s="151"/>
      <c r="S701" s="151"/>
      <c r="T701" s="151"/>
      <c r="U701" s="151"/>
      <c r="V701" s="151"/>
      <c r="W701" s="151"/>
      <c r="X701" s="151"/>
      <c r="Y701" s="151"/>
      <c r="Z701" s="151"/>
    </row>
    <row r="702" ht="12.75" customHeight="1">
      <c r="A702" s="151"/>
      <c r="B702" s="125" t="s">
        <v>1465</v>
      </c>
      <c r="C702" s="126" t="s">
        <v>1466</v>
      </c>
      <c r="D702" s="127" t="s">
        <v>142</v>
      </c>
      <c r="E702" s="151"/>
      <c r="F702" s="163">
        <v>525.8000000000001</v>
      </c>
      <c r="G702" s="164"/>
      <c r="H702" s="163">
        <v>525.8000000000001</v>
      </c>
      <c r="I702" s="164"/>
      <c r="J702" s="163">
        <v>525.8000000000001</v>
      </c>
      <c r="K702" s="164"/>
      <c r="L702" s="163">
        <v>525.8000000000001</v>
      </c>
      <c r="M702" s="164"/>
      <c r="N702" s="163">
        <v>525.8000000000001</v>
      </c>
      <c r="O702" s="164"/>
      <c r="P702" s="151"/>
      <c r="Q702" s="151"/>
      <c r="R702" s="151"/>
      <c r="S702" s="151"/>
      <c r="T702" s="151"/>
      <c r="U702" s="151"/>
      <c r="V702" s="151"/>
      <c r="W702" s="151"/>
      <c r="X702" s="151"/>
      <c r="Y702" s="151"/>
      <c r="Z702" s="151"/>
    </row>
    <row r="703" ht="12.75" customHeight="1">
      <c r="A703" s="151"/>
      <c r="B703" s="125" t="s">
        <v>1467</v>
      </c>
      <c r="C703" s="126" t="s">
        <v>1468</v>
      </c>
      <c r="D703" s="127" t="s">
        <v>180</v>
      </c>
      <c r="E703" s="151"/>
      <c r="F703" s="163">
        <v>209.09327009617647</v>
      </c>
      <c r="G703" s="164"/>
      <c r="H703" s="163">
        <v>209.09327009617647</v>
      </c>
      <c r="I703" s="164"/>
      <c r="J703" s="163">
        <v>209.09327009617647</v>
      </c>
      <c r="K703" s="164"/>
      <c r="L703" s="163">
        <v>209.09327009617647</v>
      </c>
      <c r="M703" s="164"/>
      <c r="N703" s="163">
        <v>209.09327009617647</v>
      </c>
      <c r="O703" s="164"/>
      <c r="P703" s="151"/>
      <c r="Q703" s="151"/>
      <c r="R703" s="151"/>
      <c r="S703" s="151"/>
      <c r="T703" s="151"/>
      <c r="U703" s="151"/>
      <c r="V703" s="151"/>
      <c r="W703" s="151"/>
      <c r="X703" s="151"/>
      <c r="Y703" s="151"/>
      <c r="Z703" s="151"/>
    </row>
    <row r="704" ht="12.75" customHeight="1">
      <c r="A704" s="151"/>
      <c r="B704" s="125" t="s">
        <v>1469</v>
      </c>
      <c r="C704" s="126" t="s">
        <v>1470</v>
      </c>
      <c r="D704" s="127" t="s">
        <v>180</v>
      </c>
      <c r="E704" s="151"/>
      <c r="F704" s="163">
        <v>223.7</v>
      </c>
      <c r="G704" s="164"/>
      <c r="H704" s="163">
        <v>223.7</v>
      </c>
      <c r="I704" s="164"/>
      <c r="J704" s="163">
        <v>223.7</v>
      </c>
      <c r="K704" s="164"/>
      <c r="L704" s="163">
        <v>223.7</v>
      </c>
      <c r="M704" s="164"/>
      <c r="N704" s="163">
        <v>223.7</v>
      </c>
      <c r="O704" s="164"/>
      <c r="P704" s="151"/>
      <c r="Q704" s="151"/>
      <c r="R704" s="151"/>
      <c r="S704" s="151"/>
      <c r="T704" s="151"/>
      <c r="U704" s="151"/>
      <c r="V704" s="151"/>
      <c r="W704" s="151"/>
      <c r="X704" s="151"/>
      <c r="Y704" s="151"/>
      <c r="Z704" s="151"/>
    </row>
    <row r="705" ht="12.75" customHeight="1">
      <c r="A705" s="151"/>
      <c r="B705" s="125" t="s">
        <v>1471</v>
      </c>
      <c r="C705" s="126" t="s">
        <v>1472</v>
      </c>
      <c r="D705" s="127" t="s">
        <v>180</v>
      </c>
      <c r="E705" s="151"/>
      <c r="F705" s="163">
        <v>287.3</v>
      </c>
      <c r="G705" s="164"/>
      <c r="H705" s="163">
        <v>287.3</v>
      </c>
      <c r="I705" s="164"/>
      <c r="J705" s="163">
        <v>287.3</v>
      </c>
      <c r="K705" s="164"/>
      <c r="L705" s="163">
        <v>287.3</v>
      </c>
      <c r="M705" s="164"/>
      <c r="N705" s="163">
        <v>287.3</v>
      </c>
      <c r="O705" s="164"/>
      <c r="P705" s="151"/>
      <c r="Q705" s="151"/>
      <c r="R705" s="151"/>
      <c r="S705" s="151"/>
      <c r="T705" s="151"/>
      <c r="U705" s="151"/>
      <c r="V705" s="151"/>
      <c r="W705" s="151"/>
      <c r="X705" s="151"/>
      <c r="Y705" s="151"/>
      <c r="Z705" s="151"/>
    </row>
    <row r="706" ht="12.75" customHeight="1">
      <c r="A706" s="151"/>
      <c r="B706" s="125" t="s">
        <v>1473</v>
      </c>
      <c r="C706" s="126" t="s">
        <v>1474</v>
      </c>
      <c r="D706" s="127" t="s">
        <v>180</v>
      </c>
      <c r="E706" s="151"/>
      <c r="F706" s="163">
        <v>431.0</v>
      </c>
      <c r="G706" s="164"/>
      <c r="H706" s="163">
        <v>431.0</v>
      </c>
      <c r="I706" s="164"/>
      <c r="J706" s="163">
        <v>431.0</v>
      </c>
      <c r="K706" s="164"/>
      <c r="L706" s="163">
        <v>431.0</v>
      </c>
      <c r="M706" s="164"/>
      <c r="N706" s="163">
        <v>431.0</v>
      </c>
      <c r="O706" s="164"/>
      <c r="P706" s="151"/>
      <c r="Q706" s="151"/>
      <c r="R706" s="151"/>
      <c r="S706" s="151"/>
      <c r="T706" s="151"/>
      <c r="U706" s="151"/>
      <c r="V706" s="151"/>
      <c r="W706" s="151"/>
      <c r="X706" s="151"/>
      <c r="Y706" s="151"/>
      <c r="Z706" s="151"/>
    </row>
    <row r="707" ht="12.75" customHeight="1">
      <c r="A707" s="151"/>
      <c r="B707" s="125" t="s">
        <v>1475</v>
      </c>
      <c r="C707" s="126" t="s">
        <v>1476</v>
      </c>
      <c r="D707" s="127" t="s">
        <v>142</v>
      </c>
      <c r="E707" s="151"/>
      <c r="F707" s="163">
        <v>175.01089999999996</v>
      </c>
      <c r="G707" s="164"/>
      <c r="H707" s="163">
        <v>175.7053618</v>
      </c>
      <c r="I707" s="164"/>
      <c r="J707" s="163">
        <v>176.3998236</v>
      </c>
      <c r="K707" s="164"/>
      <c r="L707" s="163">
        <v>175.7053618</v>
      </c>
      <c r="M707" s="164"/>
      <c r="N707" s="163">
        <v>175.7053618</v>
      </c>
      <c r="O707" s="164"/>
      <c r="P707" s="151"/>
      <c r="Q707" s="151"/>
      <c r="R707" s="151"/>
      <c r="S707" s="151"/>
      <c r="T707" s="151"/>
      <c r="U707" s="151"/>
      <c r="V707" s="151"/>
      <c r="W707" s="151"/>
      <c r="X707" s="151"/>
      <c r="Y707" s="151"/>
      <c r="Z707" s="151"/>
    </row>
    <row r="708" ht="12.75" customHeight="1">
      <c r="A708" s="151"/>
      <c r="B708" s="125" t="s">
        <v>1477</v>
      </c>
      <c r="C708" s="126" t="s">
        <v>1478</v>
      </c>
      <c r="D708" s="127" t="s">
        <v>142</v>
      </c>
      <c r="E708" s="151"/>
      <c r="F708" s="163">
        <v>217.3</v>
      </c>
      <c r="G708" s="164"/>
      <c r="H708" s="163">
        <v>218.16989048</v>
      </c>
      <c r="I708" s="164"/>
      <c r="J708" s="163">
        <v>219.03978096</v>
      </c>
      <c r="K708" s="164"/>
      <c r="L708" s="163">
        <v>218.16989048</v>
      </c>
      <c r="M708" s="164"/>
      <c r="N708" s="163">
        <v>218.16989048</v>
      </c>
      <c r="O708" s="164"/>
      <c r="P708" s="151"/>
      <c r="Q708" s="151"/>
      <c r="R708" s="151"/>
      <c r="S708" s="151"/>
      <c r="T708" s="151"/>
      <c r="U708" s="151"/>
      <c r="V708" s="151"/>
      <c r="W708" s="151"/>
      <c r="X708" s="151"/>
      <c r="Y708" s="151"/>
      <c r="Z708" s="151"/>
    </row>
    <row r="709" ht="12.75" customHeight="1">
      <c r="A709" s="151"/>
      <c r="B709" s="125" t="s">
        <v>1479</v>
      </c>
      <c r="C709" s="126" t="s">
        <v>1480</v>
      </c>
      <c r="D709" s="127" t="s">
        <v>142</v>
      </c>
      <c r="E709" s="151"/>
      <c r="F709" s="163">
        <v>217.3</v>
      </c>
      <c r="G709" s="164"/>
      <c r="H709" s="163">
        <v>219.3498893</v>
      </c>
      <c r="I709" s="164"/>
      <c r="J709" s="163">
        <v>221.3997786</v>
      </c>
      <c r="K709" s="164"/>
      <c r="L709" s="163">
        <v>219.3498893</v>
      </c>
      <c r="M709" s="164"/>
      <c r="N709" s="163">
        <v>219.3498893</v>
      </c>
      <c r="O709" s="164"/>
      <c r="P709" s="151"/>
      <c r="Q709" s="151"/>
      <c r="R709" s="151"/>
      <c r="S709" s="151"/>
      <c r="T709" s="151"/>
      <c r="U709" s="151"/>
      <c r="V709" s="151"/>
      <c r="W709" s="151"/>
      <c r="X709" s="151"/>
      <c r="Y709" s="151"/>
      <c r="Z709" s="151"/>
    </row>
    <row r="710" ht="12.75" customHeight="1">
      <c r="A710" s="151"/>
      <c r="B710" s="125" t="s">
        <v>1481</v>
      </c>
      <c r="C710" s="126" t="s">
        <v>1482</v>
      </c>
      <c r="D710" s="127" t="s">
        <v>142</v>
      </c>
      <c r="E710" s="151"/>
      <c r="F710" s="163">
        <v>225.0</v>
      </c>
      <c r="G710" s="164"/>
      <c r="H710" s="163">
        <v>225.8998866</v>
      </c>
      <c r="I710" s="164"/>
      <c r="J710" s="163">
        <v>226.7997732</v>
      </c>
      <c r="K710" s="164"/>
      <c r="L710" s="163">
        <v>225.8998866</v>
      </c>
      <c r="M710" s="164"/>
      <c r="N710" s="163">
        <v>225.8998866</v>
      </c>
      <c r="O710" s="164"/>
      <c r="P710" s="151"/>
      <c r="Q710" s="151"/>
      <c r="R710" s="151"/>
      <c r="S710" s="151"/>
      <c r="T710" s="151"/>
      <c r="U710" s="151"/>
      <c r="V710" s="151"/>
      <c r="W710" s="151"/>
      <c r="X710" s="151"/>
      <c r="Y710" s="151"/>
      <c r="Z710" s="151"/>
    </row>
    <row r="711" ht="12.75" customHeight="1">
      <c r="A711" s="151"/>
      <c r="B711" s="125" t="s">
        <v>1483</v>
      </c>
      <c r="C711" s="126" t="s">
        <v>1484</v>
      </c>
      <c r="D711" s="127" t="s">
        <v>142</v>
      </c>
      <c r="E711" s="151"/>
      <c r="F711" s="163">
        <v>184.5</v>
      </c>
      <c r="G711" s="164"/>
      <c r="H711" s="163">
        <v>185.23490701499998</v>
      </c>
      <c r="I711" s="164"/>
      <c r="J711" s="163">
        <v>185.96981402999998</v>
      </c>
      <c r="K711" s="164"/>
      <c r="L711" s="163">
        <v>185.23490701499998</v>
      </c>
      <c r="M711" s="164"/>
      <c r="N711" s="163">
        <v>185.23490701499998</v>
      </c>
      <c r="O711" s="164"/>
      <c r="P711" s="151"/>
      <c r="Q711" s="151"/>
      <c r="R711" s="151"/>
      <c r="S711" s="151"/>
      <c r="T711" s="151"/>
      <c r="U711" s="151"/>
      <c r="V711" s="151"/>
      <c r="W711" s="151"/>
      <c r="X711" s="151"/>
      <c r="Y711" s="151"/>
      <c r="Z711" s="151"/>
    </row>
    <row r="712" ht="12.75" customHeight="1">
      <c r="A712" s="151"/>
      <c r="B712" s="113" t="s">
        <v>1485</v>
      </c>
      <c r="C712" s="114" t="s">
        <v>1486</v>
      </c>
      <c r="D712" s="115"/>
      <c r="E712" s="151"/>
      <c r="F712" s="161"/>
      <c r="G712" s="162"/>
      <c r="H712" s="161"/>
      <c r="I712" s="162"/>
      <c r="J712" s="161"/>
      <c r="K712" s="162"/>
      <c r="L712" s="161"/>
      <c r="M712" s="162"/>
      <c r="N712" s="161"/>
      <c r="O712" s="162"/>
      <c r="P712" s="151"/>
      <c r="Q712" s="151"/>
      <c r="R712" s="151"/>
      <c r="S712" s="151"/>
      <c r="T712" s="151"/>
      <c r="U712" s="151"/>
      <c r="V712" s="151"/>
      <c r="W712" s="151"/>
      <c r="X712" s="151"/>
      <c r="Y712" s="151"/>
      <c r="Z712" s="151"/>
    </row>
    <row r="713" ht="12.75" customHeight="1">
      <c r="A713" s="151"/>
      <c r="B713" s="125" t="s">
        <v>1487</v>
      </c>
      <c r="C713" s="126" t="s">
        <v>1488</v>
      </c>
      <c r="D713" s="127" t="s">
        <v>142</v>
      </c>
      <c r="E713" s="151"/>
      <c r="F713" s="163">
        <v>61.94174757281553</v>
      </c>
      <c r="G713" s="164"/>
      <c r="H713" s="163">
        <v>62.19084256640777</v>
      </c>
      <c r="I713" s="164"/>
      <c r="J713" s="163">
        <v>62.43993756</v>
      </c>
      <c r="K713" s="164"/>
      <c r="L713" s="163">
        <v>62.19084256640777</v>
      </c>
      <c r="M713" s="164"/>
      <c r="N713" s="163">
        <v>62.19084256640777</v>
      </c>
      <c r="O713" s="164"/>
      <c r="P713" s="151"/>
      <c r="Q713" s="151"/>
      <c r="R713" s="151"/>
      <c r="S713" s="151"/>
      <c r="T713" s="151"/>
      <c r="U713" s="151"/>
      <c r="V713" s="151"/>
      <c r="W713" s="151"/>
      <c r="X713" s="151"/>
      <c r="Y713" s="151"/>
      <c r="Z713" s="151"/>
    </row>
    <row r="714" ht="12.75" customHeight="1">
      <c r="A714" s="151"/>
      <c r="B714" s="125" t="s">
        <v>1489</v>
      </c>
      <c r="C714" s="126" t="s">
        <v>1490</v>
      </c>
      <c r="D714" s="127" t="s">
        <v>142</v>
      </c>
      <c r="E714" s="151"/>
      <c r="F714" s="163">
        <v>3443.718446601941</v>
      </c>
      <c r="G714" s="164"/>
      <c r="H714" s="163">
        <v>3457.4924876659707</v>
      </c>
      <c r="I714" s="164"/>
      <c r="J714" s="163">
        <v>3471.26652873</v>
      </c>
      <c r="K714" s="164"/>
      <c r="L714" s="163">
        <v>3457.4924876659707</v>
      </c>
      <c r="M714" s="164"/>
      <c r="N714" s="163">
        <v>3457.4924876659707</v>
      </c>
      <c r="O714" s="164"/>
      <c r="P714" s="151"/>
      <c r="Q714" s="151"/>
      <c r="R714" s="151"/>
      <c r="S714" s="151"/>
      <c r="T714" s="151"/>
      <c r="U714" s="151"/>
      <c r="V714" s="151"/>
      <c r="W714" s="151"/>
      <c r="X714" s="151"/>
      <c r="Y714" s="151"/>
      <c r="Z714" s="151"/>
    </row>
    <row r="715" ht="12.75" customHeight="1">
      <c r="A715" s="151"/>
      <c r="B715" s="125" t="s">
        <v>1491</v>
      </c>
      <c r="C715" s="126" t="s">
        <v>1492</v>
      </c>
      <c r="D715" s="127" t="s">
        <v>142</v>
      </c>
      <c r="E715" s="151"/>
      <c r="F715" s="163">
        <v>3911.38678</v>
      </c>
      <c r="G715" s="164"/>
      <c r="H715" s="163">
        <v>4050.0912955999997</v>
      </c>
      <c r="I715" s="164"/>
      <c r="J715" s="163">
        <v>4188.7958112</v>
      </c>
      <c r="K715" s="164"/>
      <c r="L715" s="163">
        <v>4050.0912955999997</v>
      </c>
      <c r="M715" s="164"/>
      <c r="N715" s="163">
        <v>4050.0912955999997</v>
      </c>
      <c r="O715" s="164"/>
      <c r="P715" s="151"/>
      <c r="Q715" s="151"/>
      <c r="R715" s="151"/>
      <c r="S715" s="151"/>
      <c r="T715" s="151"/>
      <c r="U715" s="151"/>
      <c r="V715" s="151"/>
      <c r="W715" s="151"/>
      <c r="X715" s="151"/>
      <c r="Y715" s="151"/>
      <c r="Z715" s="151"/>
    </row>
    <row r="716" ht="12.75" customHeight="1">
      <c r="A716" s="151"/>
      <c r="B716" s="125" t="s">
        <v>1493</v>
      </c>
      <c r="C716" s="126" t="s">
        <v>1494</v>
      </c>
      <c r="D716" s="127" t="s">
        <v>142</v>
      </c>
      <c r="E716" s="151"/>
      <c r="F716" s="163">
        <v>4966.0</v>
      </c>
      <c r="G716" s="164"/>
      <c r="H716" s="163">
        <v>4985.85749714</v>
      </c>
      <c r="I716" s="164"/>
      <c r="J716" s="163">
        <v>5005.714994280001</v>
      </c>
      <c r="K716" s="164"/>
      <c r="L716" s="163">
        <v>4985.85749714</v>
      </c>
      <c r="M716" s="164"/>
      <c r="N716" s="163">
        <v>4985.85749714</v>
      </c>
      <c r="O716" s="164"/>
      <c r="P716" s="151"/>
      <c r="Q716" s="151"/>
      <c r="R716" s="151"/>
      <c r="S716" s="151"/>
      <c r="T716" s="151"/>
      <c r="U716" s="151"/>
      <c r="V716" s="151"/>
      <c r="W716" s="151"/>
      <c r="X716" s="151"/>
      <c r="Y716" s="151"/>
      <c r="Z716" s="151"/>
    </row>
    <row r="717" ht="12.75" customHeight="1">
      <c r="A717" s="151"/>
      <c r="B717" s="125" t="s">
        <v>1495</v>
      </c>
      <c r="C717" s="126" t="s">
        <v>1496</v>
      </c>
      <c r="D717" s="127" t="s">
        <v>142</v>
      </c>
      <c r="E717" s="151"/>
      <c r="F717" s="163">
        <v>1119.6</v>
      </c>
      <c r="G717" s="164"/>
      <c r="H717" s="163">
        <v>1123.799436</v>
      </c>
      <c r="I717" s="164"/>
      <c r="J717" s="163">
        <v>1127.9988720000001</v>
      </c>
      <c r="K717" s="164"/>
      <c r="L717" s="163">
        <v>1123.799436</v>
      </c>
      <c r="M717" s="164"/>
      <c r="N717" s="163">
        <v>1123.799436</v>
      </c>
      <c r="O717" s="164"/>
      <c r="P717" s="151"/>
      <c r="Q717" s="151"/>
      <c r="R717" s="151"/>
      <c r="S717" s="151"/>
      <c r="T717" s="151"/>
      <c r="U717" s="151"/>
      <c r="V717" s="151"/>
      <c r="W717" s="151"/>
      <c r="X717" s="151"/>
      <c r="Y717" s="151"/>
      <c r="Z717" s="151"/>
    </row>
    <row r="718" ht="12.75" customHeight="1">
      <c r="A718" s="151"/>
      <c r="B718" s="125" t="s">
        <v>1497</v>
      </c>
      <c r="C718" s="126" t="s">
        <v>1498</v>
      </c>
      <c r="D718" s="127" t="s">
        <v>142</v>
      </c>
      <c r="E718" s="151"/>
      <c r="F718" s="163">
        <v>1975.0</v>
      </c>
      <c r="G718" s="164"/>
      <c r="H718" s="163">
        <v>1975.0</v>
      </c>
      <c r="I718" s="164"/>
      <c r="J718" s="163">
        <v>1975.0</v>
      </c>
      <c r="K718" s="164"/>
      <c r="L718" s="163">
        <v>1975.0</v>
      </c>
      <c r="M718" s="164"/>
      <c r="N718" s="163">
        <v>1975.0</v>
      </c>
      <c r="O718" s="164"/>
      <c r="P718" s="151"/>
      <c r="Q718" s="151"/>
      <c r="R718" s="151"/>
      <c r="S718" s="151"/>
      <c r="T718" s="151"/>
      <c r="U718" s="151"/>
      <c r="V718" s="151"/>
      <c r="W718" s="151"/>
      <c r="X718" s="151"/>
      <c r="Y718" s="151"/>
      <c r="Z718" s="151"/>
    </row>
    <row r="719" ht="12.75" customHeight="1">
      <c r="A719" s="151"/>
      <c r="B719" s="113" t="s">
        <v>1499</v>
      </c>
      <c r="C719" s="114" t="s">
        <v>1500</v>
      </c>
      <c r="D719" s="115"/>
      <c r="E719" s="151"/>
      <c r="F719" s="161"/>
      <c r="G719" s="162"/>
      <c r="H719" s="161"/>
      <c r="I719" s="162"/>
      <c r="J719" s="161"/>
      <c r="K719" s="162"/>
      <c r="L719" s="161"/>
      <c r="M719" s="162"/>
      <c r="N719" s="161"/>
      <c r="O719" s="162"/>
      <c r="P719" s="151"/>
      <c r="Q719" s="151"/>
      <c r="R719" s="151"/>
      <c r="S719" s="151"/>
      <c r="T719" s="151"/>
      <c r="U719" s="151"/>
      <c r="V719" s="151"/>
      <c r="W719" s="151"/>
      <c r="X719" s="151"/>
      <c r="Y719" s="151"/>
      <c r="Z719" s="151"/>
    </row>
    <row r="720" ht="12.75" customHeight="1">
      <c r="A720" s="151"/>
      <c r="B720" s="125" t="s">
        <v>1501</v>
      </c>
      <c r="C720" s="126" t="s">
        <v>1502</v>
      </c>
      <c r="D720" s="127" t="s">
        <v>142</v>
      </c>
      <c r="E720" s="151"/>
      <c r="F720" s="163">
        <v>416.4902</v>
      </c>
      <c r="G720" s="164"/>
      <c r="H720" s="163">
        <v>416.4902</v>
      </c>
      <c r="I720" s="164"/>
      <c r="J720" s="163">
        <v>416.4902</v>
      </c>
      <c r="K720" s="164"/>
      <c r="L720" s="163">
        <v>416.4902</v>
      </c>
      <c r="M720" s="164"/>
      <c r="N720" s="163">
        <v>416.4902</v>
      </c>
      <c r="O720" s="164"/>
      <c r="P720" s="151"/>
      <c r="Q720" s="151"/>
      <c r="R720" s="151"/>
      <c r="S720" s="151"/>
      <c r="T720" s="151"/>
      <c r="U720" s="151"/>
      <c r="V720" s="151"/>
      <c r="W720" s="151"/>
      <c r="X720" s="151"/>
      <c r="Y720" s="151"/>
      <c r="Z720" s="151"/>
    </row>
    <row r="721" ht="12.75" customHeight="1">
      <c r="A721" s="151"/>
      <c r="B721" s="125" t="s">
        <v>1503</v>
      </c>
      <c r="C721" s="126" t="s">
        <v>1504</v>
      </c>
      <c r="D721" s="127" t="s">
        <v>142</v>
      </c>
      <c r="E721" s="151"/>
      <c r="F721" s="163">
        <v>604.75</v>
      </c>
      <c r="G721" s="164"/>
      <c r="H721" s="163">
        <v>604.75</v>
      </c>
      <c r="I721" s="164"/>
      <c r="J721" s="163">
        <v>604.75</v>
      </c>
      <c r="K721" s="164"/>
      <c r="L721" s="163">
        <v>604.75</v>
      </c>
      <c r="M721" s="164"/>
      <c r="N721" s="163">
        <v>604.75</v>
      </c>
      <c r="O721" s="164"/>
      <c r="P721" s="151"/>
      <c r="Q721" s="151"/>
      <c r="R721" s="151"/>
      <c r="S721" s="151"/>
      <c r="T721" s="151"/>
      <c r="U721" s="151"/>
      <c r="V721" s="151"/>
      <c r="W721" s="151"/>
      <c r="X721" s="151"/>
      <c r="Y721" s="151"/>
      <c r="Z721" s="151"/>
    </row>
    <row r="722" ht="12.75" customHeight="1">
      <c r="A722" s="151"/>
      <c r="B722" s="125" t="s">
        <v>1505</v>
      </c>
      <c r="C722" s="126" t="s">
        <v>1506</v>
      </c>
      <c r="D722" s="127" t="s">
        <v>142</v>
      </c>
      <c r="E722" s="151"/>
      <c r="F722" s="163">
        <v>1059.1236286067137</v>
      </c>
      <c r="G722" s="164"/>
      <c r="H722" s="163">
        <v>1032.645537891546</v>
      </c>
      <c r="I722" s="164"/>
      <c r="J722" s="163">
        <v>1006.167447176378</v>
      </c>
      <c r="K722" s="164"/>
      <c r="L722" s="163">
        <v>1032.645537891546</v>
      </c>
      <c r="M722" s="164"/>
      <c r="N722" s="163">
        <v>1032.645537891546</v>
      </c>
      <c r="O722" s="164"/>
      <c r="P722" s="151"/>
      <c r="Q722" s="151"/>
      <c r="R722" s="151"/>
      <c r="S722" s="151"/>
      <c r="T722" s="151"/>
      <c r="U722" s="151"/>
      <c r="V722" s="151"/>
      <c r="W722" s="151"/>
      <c r="X722" s="151"/>
      <c r="Y722" s="151"/>
      <c r="Z722" s="151"/>
    </row>
    <row r="723" ht="12.75" customHeight="1">
      <c r="A723" s="151"/>
      <c r="B723" s="125" t="s">
        <v>1507</v>
      </c>
      <c r="C723" s="126" t="s">
        <v>1508</v>
      </c>
      <c r="D723" s="127" t="s">
        <v>142</v>
      </c>
      <c r="E723" s="151"/>
      <c r="F723" s="163">
        <v>1683.53</v>
      </c>
      <c r="G723" s="164"/>
      <c r="H723" s="163">
        <v>1641.44175</v>
      </c>
      <c r="I723" s="164"/>
      <c r="J723" s="163">
        <v>1599.3535</v>
      </c>
      <c r="K723" s="164"/>
      <c r="L723" s="163">
        <v>1641.44175</v>
      </c>
      <c r="M723" s="164"/>
      <c r="N723" s="163">
        <v>1641.44175</v>
      </c>
      <c r="O723" s="164"/>
      <c r="P723" s="151"/>
      <c r="Q723" s="151"/>
      <c r="R723" s="151"/>
      <c r="S723" s="151"/>
      <c r="T723" s="151"/>
      <c r="U723" s="151"/>
      <c r="V723" s="151"/>
      <c r="W723" s="151"/>
      <c r="X723" s="151"/>
      <c r="Y723" s="151"/>
      <c r="Z723" s="151"/>
    </row>
    <row r="724" ht="12.75" customHeight="1">
      <c r="A724" s="151"/>
      <c r="B724" s="125" t="s">
        <v>1509</v>
      </c>
      <c r="C724" s="126" t="s">
        <v>1510</v>
      </c>
      <c r="D724" s="127" t="s">
        <v>142</v>
      </c>
      <c r="E724" s="151"/>
      <c r="F724" s="163">
        <v>3480.0</v>
      </c>
      <c r="G724" s="164"/>
      <c r="H724" s="163">
        <v>3284.79</v>
      </c>
      <c r="I724" s="164"/>
      <c r="J724" s="163">
        <v>3089.58</v>
      </c>
      <c r="K724" s="164"/>
      <c r="L724" s="163">
        <v>3284.79</v>
      </c>
      <c r="M724" s="164"/>
      <c r="N724" s="163">
        <v>3284.79</v>
      </c>
      <c r="O724" s="164"/>
      <c r="P724" s="151"/>
      <c r="Q724" s="151"/>
      <c r="R724" s="151"/>
      <c r="S724" s="151"/>
      <c r="T724" s="151"/>
      <c r="U724" s="151"/>
      <c r="V724" s="151"/>
      <c r="W724" s="151"/>
      <c r="X724" s="151"/>
      <c r="Y724" s="151"/>
      <c r="Z724" s="151"/>
    </row>
    <row r="725" ht="12.75" customHeight="1">
      <c r="A725" s="151"/>
      <c r="B725" s="125" t="s">
        <v>1511</v>
      </c>
      <c r="C725" s="126" t="s">
        <v>1512</v>
      </c>
      <c r="D725" s="127" t="s">
        <v>142</v>
      </c>
      <c r="E725" s="151"/>
      <c r="F725" s="163">
        <v>44.85</v>
      </c>
      <c r="G725" s="164"/>
      <c r="H725" s="163">
        <v>46.644000000000005</v>
      </c>
      <c r="I725" s="164"/>
      <c r="J725" s="163">
        <v>48.438</v>
      </c>
      <c r="K725" s="164"/>
      <c r="L725" s="163">
        <v>46.644000000000005</v>
      </c>
      <c r="M725" s="164"/>
      <c r="N725" s="163">
        <v>46.644000000000005</v>
      </c>
      <c r="O725" s="164"/>
      <c r="P725" s="151"/>
      <c r="Q725" s="151"/>
      <c r="R725" s="151"/>
      <c r="S725" s="151"/>
      <c r="T725" s="151"/>
      <c r="U725" s="151"/>
      <c r="V725" s="151"/>
      <c r="W725" s="151"/>
      <c r="X725" s="151"/>
      <c r="Y725" s="151"/>
      <c r="Z725" s="151"/>
    </row>
    <row r="726" ht="12.75" customHeight="1">
      <c r="A726" s="151"/>
      <c r="B726" s="125" t="s">
        <v>1513</v>
      </c>
      <c r="C726" s="126" t="s">
        <v>1514</v>
      </c>
      <c r="D726" s="127" t="s">
        <v>142</v>
      </c>
      <c r="E726" s="151"/>
      <c r="F726" s="163">
        <v>70.96600000000001</v>
      </c>
      <c r="G726" s="164"/>
      <c r="H726" s="163">
        <v>73.80464</v>
      </c>
      <c r="I726" s="164"/>
      <c r="J726" s="163">
        <v>76.64328000000002</v>
      </c>
      <c r="K726" s="164"/>
      <c r="L726" s="163">
        <v>73.80464</v>
      </c>
      <c r="M726" s="164"/>
      <c r="N726" s="163">
        <v>73.80464</v>
      </c>
      <c r="O726" s="164"/>
      <c r="P726" s="151"/>
      <c r="Q726" s="151"/>
      <c r="R726" s="151"/>
      <c r="S726" s="151"/>
      <c r="T726" s="151"/>
      <c r="U726" s="151"/>
      <c r="V726" s="151"/>
      <c r="W726" s="151"/>
      <c r="X726" s="151"/>
      <c r="Y726" s="151"/>
      <c r="Z726" s="151"/>
    </row>
    <row r="727" ht="12.75" customHeight="1">
      <c r="A727" s="151"/>
      <c r="B727" s="125" t="s">
        <v>1515</v>
      </c>
      <c r="C727" s="126" t="s">
        <v>1516</v>
      </c>
      <c r="D727" s="127" t="s">
        <v>142</v>
      </c>
      <c r="E727" s="151"/>
      <c r="F727" s="163">
        <v>79.31</v>
      </c>
      <c r="G727" s="164"/>
      <c r="H727" s="163">
        <v>82.48240000000001</v>
      </c>
      <c r="I727" s="164"/>
      <c r="J727" s="163">
        <v>85.65480000000001</v>
      </c>
      <c r="K727" s="164"/>
      <c r="L727" s="163">
        <v>82.48240000000001</v>
      </c>
      <c r="M727" s="164"/>
      <c r="N727" s="163">
        <v>82.48240000000001</v>
      </c>
      <c r="O727" s="164"/>
      <c r="P727" s="151"/>
      <c r="Q727" s="151"/>
      <c r="R727" s="151"/>
      <c r="S727" s="151"/>
      <c r="T727" s="151"/>
      <c r="U727" s="151"/>
      <c r="V727" s="151"/>
      <c r="W727" s="151"/>
      <c r="X727" s="151"/>
      <c r="Y727" s="151"/>
      <c r="Z727" s="151"/>
    </row>
    <row r="728" ht="12.75" customHeight="1">
      <c r="A728" s="151"/>
      <c r="B728" s="125"/>
      <c r="C728" s="126"/>
      <c r="D728" s="127"/>
      <c r="E728" s="151"/>
      <c r="F728" s="163"/>
      <c r="G728" s="164"/>
      <c r="H728" s="163"/>
      <c r="I728" s="164"/>
      <c r="J728" s="163"/>
      <c r="K728" s="164"/>
      <c r="L728" s="163"/>
      <c r="M728" s="164"/>
      <c r="N728" s="163"/>
      <c r="O728" s="164"/>
      <c r="P728" s="151"/>
      <c r="Q728" s="151"/>
      <c r="R728" s="151"/>
      <c r="S728" s="151"/>
      <c r="T728" s="151"/>
      <c r="U728" s="151"/>
      <c r="V728" s="151"/>
      <c r="W728" s="151"/>
      <c r="X728" s="151"/>
      <c r="Y728" s="151"/>
      <c r="Z728" s="151"/>
    </row>
    <row r="729" ht="12.75" customHeight="1">
      <c r="A729" s="151"/>
      <c r="B729" s="101" t="s">
        <v>1517</v>
      </c>
      <c r="C729" s="102" t="s">
        <v>1518</v>
      </c>
      <c r="D729" s="103"/>
      <c r="E729" s="151"/>
      <c r="F729" s="159"/>
      <c r="G729" s="160"/>
      <c r="H729" s="159"/>
      <c r="I729" s="160"/>
      <c r="J729" s="159"/>
      <c r="K729" s="160"/>
      <c r="L729" s="159"/>
      <c r="M729" s="160"/>
      <c r="N729" s="159"/>
      <c r="O729" s="160"/>
      <c r="P729" s="151"/>
      <c r="Q729" s="151"/>
      <c r="R729" s="151"/>
      <c r="S729" s="151"/>
      <c r="T729" s="151"/>
      <c r="U729" s="151"/>
      <c r="V729" s="151"/>
      <c r="W729" s="151"/>
      <c r="X729" s="151"/>
      <c r="Y729" s="151"/>
      <c r="Z729" s="151"/>
    </row>
    <row r="730" ht="12.75" customHeight="1">
      <c r="A730" s="151"/>
      <c r="B730" s="113" t="s">
        <v>1519</v>
      </c>
      <c r="C730" s="114" t="s">
        <v>1520</v>
      </c>
      <c r="D730" s="115"/>
      <c r="E730" s="151"/>
      <c r="F730" s="161"/>
      <c r="G730" s="162"/>
      <c r="H730" s="161"/>
      <c r="I730" s="162"/>
      <c r="J730" s="161"/>
      <c r="K730" s="162"/>
      <c r="L730" s="161"/>
      <c r="M730" s="162"/>
      <c r="N730" s="161"/>
      <c r="O730" s="162"/>
      <c r="P730" s="151"/>
      <c r="Q730" s="151"/>
      <c r="R730" s="151"/>
      <c r="S730" s="151"/>
      <c r="T730" s="151"/>
      <c r="U730" s="151"/>
      <c r="V730" s="151"/>
      <c r="W730" s="151"/>
      <c r="X730" s="151"/>
      <c r="Y730" s="151"/>
      <c r="Z730" s="151"/>
    </row>
    <row r="731" ht="12.75" customHeight="1">
      <c r="A731" s="151"/>
      <c r="B731" s="125" t="s">
        <v>1521</v>
      </c>
      <c r="C731" s="126" t="s">
        <v>1522</v>
      </c>
      <c r="D731" s="127" t="s">
        <v>142</v>
      </c>
      <c r="E731" s="151"/>
      <c r="F731" s="163">
        <v>480.7814215638847</v>
      </c>
      <c r="G731" s="164"/>
      <c r="H731" s="163">
        <v>490.3907107819424</v>
      </c>
      <c r="I731" s="164"/>
      <c r="J731" s="163">
        <v>500.0</v>
      </c>
      <c r="K731" s="164"/>
      <c r="L731" s="163">
        <v>490.3907107819424</v>
      </c>
      <c r="M731" s="164"/>
      <c r="N731" s="163">
        <v>490.3907107819424</v>
      </c>
      <c r="O731" s="164"/>
      <c r="P731" s="151"/>
      <c r="Q731" s="151"/>
      <c r="R731" s="151"/>
      <c r="S731" s="151"/>
      <c r="T731" s="151"/>
      <c r="U731" s="151"/>
      <c r="V731" s="151"/>
      <c r="W731" s="151"/>
      <c r="X731" s="151"/>
      <c r="Y731" s="151"/>
      <c r="Z731" s="151"/>
    </row>
    <row r="732" ht="12.75" customHeight="1">
      <c r="A732" s="151"/>
      <c r="B732" s="125" t="s">
        <v>1523</v>
      </c>
      <c r="C732" s="126" t="s">
        <v>1524</v>
      </c>
      <c r="D732" s="127" t="s">
        <v>142</v>
      </c>
      <c r="E732" s="151"/>
      <c r="F732" s="163">
        <v>1750.0</v>
      </c>
      <c r="G732" s="164"/>
      <c r="H732" s="163">
        <v>2186.48868851</v>
      </c>
      <c r="I732" s="164"/>
      <c r="J732" s="163">
        <v>2622.97737702</v>
      </c>
      <c r="K732" s="164"/>
      <c r="L732" s="163">
        <v>2186.48868851</v>
      </c>
      <c r="M732" s="164"/>
      <c r="N732" s="163">
        <v>2186.48868851</v>
      </c>
      <c r="O732" s="164"/>
      <c r="P732" s="151"/>
      <c r="Q732" s="151"/>
      <c r="R732" s="151"/>
      <c r="S732" s="151"/>
      <c r="T732" s="151"/>
      <c r="U732" s="151"/>
      <c r="V732" s="151"/>
      <c r="W732" s="151"/>
      <c r="X732" s="151"/>
      <c r="Y732" s="151"/>
      <c r="Z732" s="151"/>
    </row>
    <row r="733" ht="12.75" customHeight="1">
      <c r="A733" s="151"/>
      <c r="B733" s="125" t="s">
        <v>1525</v>
      </c>
      <c r="C733" s="126" t="s">
        <v>1526</v>
      </c>
      <c r="D733" s="127" t="s">
        <v>142</v>
      </c>
      <c r="E733" s="151"/>
      <c r="F733" s="163">
        <v>893.29</v>
      </c>
      <c r="G733" s="164"/>
      <c r="H733" s="163">
        <v>911.15453549</v>
      </c>
      <c r="I733" s="164"/>
      <c r="J733" s="163">
        <v>929.01907098</v>
      </c>
      <c r="K733" s="164"/>
      <c r="L733" s="163">
        <v>911.15453549</v>
      </c>
      <c r="M733" s="164"/>
      <c r="N733" s="163">
        <v>911.15453549</v>
      </c>
      <c r="O733" s="164"/>
      <c r="P733" s="151"/>
      <c r="Q733" s="151"/>
      <c r="R733" s="151"/>
      <c r="S733" s="151"/>
      <c r="T733" s="151"/>
      <c r="U733" s="151"/>
      <c r="V733" s="151"/>
      <c r="W733" s="151"/>
      <c r="X733" s="151"/>
      <c r="Y733" s="151"/>
      <c r="Z733" s="151"/>
    </row>
    <row r="734" ht="12.75" customHeight="1">
      <c r="A734" s="151"/>
      <c r="B734" s="125" t="s">
        <v>1527</v>
      </c>
      <c r="C734" s="126" t="s">
        <v>1528</v>
      </c>
      <c r="D734" s="127" t="s">
        <v>142</v>
      </c>
      <c r="E734" s="151"/>
      <c r="F734" s="163">
        <v>1187.5</v>
      </c>
      <c r="G734" s="164"/>
      <c r="H734" s="163">
        <v>1277.36931638</v>
      </c>
      <c r="I734" s="164"/>
      <c r="J734" s="163">
        <v>1367.2386327600002</v>
      </c>
      <c r="K734" s="164"/>
      <c r="L734" s="163">
        <v>1277.36931638</v>
      </c>
      <c r="M734" s="164"/>
      <c r="N734" s="163">
        <v>1277.36931638</v>
      </c>
      <c r="O734" s="164"/>
      <c r="P734" s="151"/>
      <c r="Q734" s="151"/>
      <c r="R734" s="151"/>
      <c r="S734" s="151"/>
      <c r="T734" s="151"/>
      <c r="U734" s="151"/>
      <c r="V734" s="151"/>
      <c r="W734" s="151"/>
      <c r="X734" s="151"/>
      <c r="Y734" s="151"/>
      <c r="Z734" s="151"/>
    </row>
    <row r="735" ht="12.75" customHeight="1">
      <c r="A735" s="151"/>
      <c r="B735" s="125" t="s">
        <v>1529</v>
      </c>
      <c r="C735" s="126" t="s">
        <v>1530</v>
      </c>
      <c r="D735" s="127" t="s">
        <v>142</v>
      </c>
      <c r="E735" s="151"/>
      <c r="F735" s="163">
        <v>1187.5</v>
      </c>
      <c r="G735" s="164"/>
      <c r="H735" s="163">
        <v>1371.6492220999999</v>
      </c>
      <c r="I735" s="164"/>
      <c r="J735" s="163">
        <v>1555.7984442</v>
      </c>
      <c r="K735" s="164"/>
      <c r="L735" s="163">
        <v>1371.6492220999999</v>
      </c>
      <c r="M735" s="164"/>
      <c r="N735" s="163">
        <v>1371.6492220999999</v>
      </c>
      <c r="O735" s="164"/>
      <c r="P735" s="151"/>
      <c r="Q735" s="151"/>
      <c r="R735" s="151"/>
      <c r="S735" s="151"/>
      <c r="T735" s="151"/>
      <c r="U735" s="151"/>
      <c r="V735" s="151"/>
      <c r="W735" s="151"/>
      <c r="X735" s="151"/>
      <c r="Y735" s="151"/>
      <c r="Z735" s="151"/>
    </row>
    <row r="736" ht="12.75" customHeight="1">
      <c r="A736" s="151"/>
      <c r="B736" s="125" t="s">
        <v>1531</v>
      </c>
      <c r="C736" s="126" t="s">
        <v>1532</v>
      </c>
      <c r="D736" s="127" t="s">
        <v>142</v>
      </c>
      <c r="E736" s="151"/>
      <c r="F736" s="163">
        <v>1187.5</v>
      </c>
      <c r="G736" s="164"/>
      <c r="H736" s="163">
        <v>1432.48916126</v>
      </c>
      <c r="I736" s="164"/>
      <c r="J736" s="163">
        <v>1677.4783225200001</v>
      </c>
      <c r="K736" s="164"/>
      <c r="L736" s="163">
        <v>1432.48916126</v>
      </c>
      <c r="M736" s="164"/>
      <c r="N736" s="163">
        <v>1432.48916126</v>
      </c>
      <c r="O736" s="164"/>
      <c r="P736" s="151"/>
      <c r="Q736" s="151"/>
      <c r="R736" s="151"/>
      <c r="S736" s="151"/>
      <c r="T736" s="151"/>
      <c r="U736" s="151"/>
      <c r="V736" s="151"/>
      <c r="W736" s="151"/>
      <c r="X736" s="151"/>
      <c r="Y736" s="151"/>
      <c r="Z736" s="151"/>
    </row>
    <row r="737" ht="12.75" customHeight="1">
      <c r="A737" s="151"/>
      <c r="B737" s="125" t="s">
        <v>1533</v>
      </c>
      <c r="C737" s="126" t="s">
        <v>1534</v>
      </c>
      <c r="D737" s="127" t="s">
        <v>142</v>
      </c>
      <c r="E737" s="151"/>
      <c r="F737" s="163">
        <v>2064.260588235294</v>
      </c>
      <c r="G737" s="164"/>
      <c r="H737" s="163">
        <v>2064.260588235294</v>
      </c>
      <c r="I737" s="164"/>
      <c r="J737" s="163">
        <v>2064.260588235294</v>
      </c>
      <c r="K737" s="164"/>
      <c r="L737" s="163">
        <v>2064.260588235294</v>
      </c>
      <c r="M737" s="164"/>
      <c r="N737" s="163">
        <v>2064.260588235294</v>
      </c>
      <c r="O737" s="164"/>
      <c r="P737" s="151"/>
      <c r="Q737" s="151"/>
      <c r="R737" s="151"/>
      <c r="S737" s="151"/>
      <c r="T737" s="151"/>
      <c r="U737" s="151"/>
      <c r="V737" s="151"/>
      <c r="W737" s="151"/>
      <c r="X737" s="151"/>
      <c r="Y737" s="151"/>
      <c r="Z737" s="151"/>
    </row>
    <row r="738" ht="12.75" customHeight="1">
      <c r="A738" s="151"/>
      <c r="B738" s="113" t="s">
        <v>1535</v>
      </c>
      <c r="C738" s="114" t="s">
        <v>1536</v>
      </c>
      <c r="D738" s="115"/>
      <c r="E738" s="151"/>
      <c r="F738" s="161"/>
      <c r="G738" s="162"/>
      <c r="H738" s="161"/>
      <c r="I738" s="162"/>
      <c r="J738" s="161"/>
      <c r="K738" s="162"/>
      <c r="L738" s="161"/>
      <c r="M738" s="162"/>
      <c r="N738" s="161"/>
      <c r="O738" s="162"/>
      <c r="P738" s="151"/>
      <c r="Q738" s="151"/>
      <c r="R738" s="151"/>
      <c r="S738" s="151"/>
      <c r="T738" s="151"/>
      <c r="U738" s="151"/>
      <c r="V738" s="151"/>
      <c r="W738" s="151"/>
      <c r="X738" s="151"/>
      <c r="Y738" s="151"/>
      <c r="Z738" s="151"/>
    </row>
    <row r="739" ht="12.75" customHeight="1">
      <c r="A739" s="151"/>
      <c r="B739" s="125" t="s">
        <v>1537</v>
      </c>
      <c r="C739" s="126" t="s">
        <v>1538</v>
      </c>
      <c r="D739" s="127" t="s">
        <v>142</v>
      </c>
      <c r="E739" s="151"/>
      <c r="F739" s="163">
        <v>1010.62</v>
      </c>
      <c r="G739" s="164"/>
      <c r="H739" s="163">
        <v>1030.82947448</v>
      </c>
      <c r="I739" s="164"/>
      <c r="J739" s="163">
        <v>1051.03894896</v>
      </c>
      <c r="K739" s="164"/>
      <c r="L739" s="163">
        <v>1030.82947448</v>
      </c>
      <c r="M739" s="164"/>
      <c r="N739" s="163">
        <v>1030.82947448</v>
      </c>
      <c r="O739" s="164"/>
      <c r="P739" s="151"/>
      <c r="Q739" s="151"/>
      <c r="R739" s="151"/>
      <c r="S739" s="151"/>
      <c r="T739" s="151"/>
      <c r="U739" s="151"/>
      <c r="V739" s="151"/>
      <c r="W739" s="151"/>
      <c r="X739" s="151"/>
      <c r="Y739" s="151"/>
      <c r="Z739" s="151"/>
    </row>
    <row r="740" ht="12.75" customHeight="1">
      <c r="A740" s="151"/>
      <c r="B740" s="125" t="s">
        <v>1539</v>
      </c>
      <c r="C740" s="126" t="s">
        <v>1540</v>
      </c>
      <c r="D740" s="127" t="s">
        <v>142</v>
      </c>
      <c r="E740" s="151"/>
      <c r="F740" s="163">
        <v>22955.105362155784</v>
      </c>
      <c r="G740" s="164"/>
      <c r="H740" s="163">
        <v>23414.191866456666</v>
      </c>
      <c r="I740" s="164"/>
      <c r="J740" s="163">
        <v>23873.278370757544</v>
      </c>
      <c r="K740" s="164"/>
      <c r="L740" s="163">
        <v>23414.191866456666</v>
      </c>
      <c r="M740" s="164"/>
      <c r="N740" s="163">
        <v>23414.191866456666</v>
      </c>
      <c r="O740" s="164"/>
      <c r="P740" s="151"/>
      <c r="Q740" s="151"/>
      <c r="R740" s="151"/>
      <c r="S740" s="151"/>
      <c r="T740" s="151"/>
      <c r="U740" s="151"/>
      <c r="V740" s="151"/>
      <c r="W740" s="151"/>
      <c r="X740" s="151"/>
      <c r="Y740" s="151"/>
      <c r="Z740" s="151"/>
    </row>
    <row r="741" ht="12.75" customHeight="1">
      <c r="A741" s="151"/>
      <c r="B741" s="125" t="s">
        <v>1541</v>
      </c>
      <c r="C741" s="126" t="s">
        <v>1542</v>
      </c>
      <c r="D741" s="127" t="s">
        <v>142</v>
      </c>
      <c r="E741" s="151"/>
      <c r="F741" s="163">
        <v>2014.108146951488</v>
      </c>
      <c r="G741" s="164"/>
      <c r="H741" s="163">
        <v>2054.384973475744</v>
      </c>
      <c r="I741" s="164"/>
      <c r="J741" s="163">
        <v>2094.6618000000003</v>
      </c>
      <c r="K741" s="164"/>
      <c r="L741" s="163">
        <v>2054.384973475744</v>
      </c>
      <c r="M741" s="164"/>
      <c r="N741" s="163">
        <v>2054.384973475744</v>
      </c>
      <c r="O741" s="164"/>
      <c r="P741" s="151"/>
      <c r="Q741" s="151"/>
      <c r="R741" s="151"/>
      <c r="S741" s="151"/>
      <c r="T741" s="151"/>
      <c r="U741" s="151"/>
      <c r="V741" s="151"/>
      <c r="W741" s="151"/>
      <c r="X741" s="151"/>
      <c r="Y741" s="151"/>
      <c r="Z741" s="151"/>
    </row>
    <row r="742" ht="12.75" customHeight="1">
      <c r="A742" s="151"/>
      <c r="B742" s="125" t="s">
        <v>1543</v>
      </c>
      <c r="C742" s="126" t="s">
        <v>1544</v>
      </c>
      <c r="D742" s="127" t="s">
        <v>142</v>
      </c>
      <c r="E742" s="151"/>
      <c r="F742" s="163">
        <v>9570.14</v>
      </c>
      <c r="G742" s="164"/>
      <c r="H742" s="163">
        <v>9761.53502353</v>
      </c>
      <c r="I742" s="164"/>
      <c r="J742" s="163">
        <v>9952.930047060001</v>
      </c>
      <c r="K742" s="164"/>
      <c r="L742" s="163">
        <v>9761.53502353</v>
      </c>
      <c r="M742" s="164"/>
      <c r="N742" s="163">
        <v>9761.53502353</v>
      </c>
      <c r="O742" s="164"/>
      <c r="P742" s="151"/>
      <c r="Q742" s="151"/>
      <c r="R742" s="151"/>
      <c r="S742" s="151"/>
      <c r="T742" s="151"/>
      <c r="U742" s="151"/>
      <c r="V742" s="151"/>
      <c r="W742" s="151"/>
      <c r="X742" s="151"/>
      <c r="Y742" s="151"/>
      <c r="Z742" s="151"/>
    </row>
    <row r="743" ht="12.75" customHeight="1">
      <c r="A743" s="151"/>
      <c r="B743" s="125" t="s">
        <v>1545</v>
      </c>
      <c r="C743" s="126" t="s">
        <v>1546</v>
      </c>
      <c r="D743" s="127" t="s">
        <v>142</v>
      </c>
      <c r="E743" s="151"/>
      <c r="F743" s="163">
        <v>10603.0</v>
      </c>
      <c r="G743" s="164"/>
      <c r="H743" s="163">
        <v>10815.05448644</v>
      </c>
      <c r="I743" s="164"/>
      <c r="J743" s="163">
        <v>11027.10897288</v>
      </c>
      <c r="K743" s="164"/>
      <c r="L743" s="163">
        <v>10815.05448644</v>
      </c>
      <c r="M743" s="164"/>
      <c r="N743" s="163">
        <v>10815.05448644</v>
      </c>
      <c r="O743" s="164"/>
      <c r="P743" s="151"/>
      <c r="Q743" s="151"/>
      <c r="R743" s="151"/>
      <c r="S743" s="151"/>
      <c r="T743" s="151"/>
      <c r="U743" s="151"/>
      <c r="V743" s="151"/>
      <c r="W743" s="151"/>
      <c r="X743" s="151"/>
      <c r="Y743" s="151"/>
      <c r="Z743" s="151"/>
    </row>
    <row r="744" ht="12.75" customHeight="1">
      <c r="A744" s="151"/>
      <c r="B744" s="125" t="s">
        <v>1547</v>
      </c>
      <c r="C744" s="126" t="s">
        <v>1548</v>
      </c>
      <c r="D744" s="127" t="s">
        <v>142</v>
      </c>
      <c r="E744" s="151"/>
      <c r="F744" s="163">
        <v>11565.0</v>
      </c>
      <c r="G744" s="164"/>
      <c r="H744" s="163">
        <v>11794.71398778</v>
      </c>
      <c r="I744" s="164"/>
      <c r="J744" s="163">
        <v>12024.42797556</v>
      </c>
      <c r="K744" s="164"/>
      <c r="L744" s="163">
        <v>11794.71398778</v>
      </c>
      <c r="M744" s="164"/>
      <c r="N744" s="163">
        <v>11794.71398778</v>
      </c>
      <c r="O744" s="164"/>
      <c r="P744" s="151"/>
      <c r="Q744" s="151"/>
      <c r="R744" s="151"/>
      <c r="S744" s="151"/>
      <c r="T744" s="151"/>
      <c r="U744" s="151"/>
      <c r="V744" s="151"/>
      <c r="W744" s="151"/>
      <c r="X744" s="151"/>
      <c r="Y744" s="151"/>
      <c r="Z744" s="151"/>
    </row>
    <row r="745" ht="12.75" customHeight="1">
      <c r="A745" s="151"/>
      <c r="B745" s="125" t="s">
        <v>1549</v>
      </c>
      <c r="C745" s="126" t="s">
        <v>1550</v>
      </c>
      <c r="D745" s="127" t="s">
        <v>142</v>
      </c>
      <c r="E745" s="151"/>
      <c r="F745" s="163">
        <v>12313.1</v>
      </c>
      <c r="G745" s="164"/>
      <c r="H745" s="163">
        <v>12559.353597190002</v>
      </c>
      <c r="I745" s="164"/>
      <c r="J745" s="163">
        <v>12805.607194380002</v>
      </c>
      <c r="K745" s="164"/>
      <c r="L745" s="163">
        <v>12559.353597190002</v>
      </c>
      <c r="M745" s="164"/>
      <c r="N745" s="163">
        <v>12559.353597190002</v>
      </c>
      <c r="O745" s="164"/>
      <c r="P745" s="151"/>
      <c r="Q745" s="151"/>
      <c r="R745" s="151"/>
      <c r="S745" s="151"/>
      <c r="T745" s="151"/>
      <c r="U745" s="151"/>
      <c r="V745" s="151"/>
      <c r="W745" s="151"/>
      <c r="X745" s="151"/>
      <c r="Y745" s="151"/>
      <c r="Z745" s="151"/>
    </row>
    <row r="746" ht="12.75" customHeight="1">
      <c r="A746" s="151"/>
      <c r="B746" s="113" t="s">
        <v>1551</v>
      </c>
      <c r="C746" s="114" t="s">
        <v>1552</v>
      </c>
      <c r="D746" s="115"/>
      <c r="E746" s="151"/>
      <c r="F746" s="161"/>
      <c r="G746" s="162"/>
      <c r="H746" s="161"/>
      <c r="I746" s="162"/>
      <c r="J746" s="161"/>
      <c r="K746" s="162"/>
      <c r="L746" s="161"/>
      <c r="M746" s="162"/>
      <c r="N746" s="161"/>
      <c r="O746" s="162"/>
      <c r="P746" s="151"/>
      <c r="Q746" s="151"/>
      <c r="R746" s="151"/>
      <c r="S746" s="151"/>
      <c r="T746" s="151"/>
      <c r="U746" s="151"/>
      <c r="V746" s="151"/>
      <c r="W746" s="151"/>
      <c r="X746" s="151"/>
      <c r="Y746" s="151"/>
      <c r="Z746" s="151"/>
    </row>
    <row r="747" ht="12.75" customHeight="1">
      <c r="A747" s="151"/>
      <c r="B747" s="125" t="s">
        <v>1553</v>
      </c>
      <c r="C747" s="126" t="s">
        <v>1554</v>
      </c>
      <c r="D747" s="127" t="s">
        <v>142</v>
      </c>
      <c r="E747" s="151"/>
      <c r="F747" s="163">
        <v>4933.5</v>
      </c>
      <c r="G747" s="164"/>
      <c r="H747" s="163">
        <v>4864.4310000000005</v>
      </c>
      <c r="I747" s="164"/>
      <c r="J747" s="163">
        <v>4795.362</v>
      </c>
      <c r="K747" s="164"/>
      <c r="L747" s="163">
        <v>4864.4310000000005</v>
      </c>
      <c r="M747" s="164"/>
      <c r="N747" s="163">
        <v>4864.4310000000005</v>
      </c>
      <c r="O747" s="164"/>
      <c r="P747" s="151"/>
      <c r="Q747" s="151"/>
      <c r="R747" s="151"/>
      <c r="S747" s="151"/>
      <c r="T747" s="151"/>
      <c r="U747" s="151"/>
      <c r="V747" s="151"/>
      <c r="W747" s="151"/>
      <c r="X747" s="151"/>
      <c r="Y747" s="151"/>
      <c r="Z747" s="151"/>
    </row>
    <row r="748" ht="12.75" customHeight="1">
      <c r="A748" s="151"/>
      <c r="B748" s="125" t="s">
        <v>1555</v>
      </c>
      <c r="C748" s="126" t="s">
        <v>1556</v>
      </c>
      <c r="D748" s="127" t="s">
        <v>142</v>
      </c>
      <c r="E748" s="151"/>
      <c r="F748" s="163">
        <v>254.66159979423867</v>
      </c>
      <c r="G748" s="164"/>
      <c r="H748" s="163">
        <v>251.09633739711933</v>
      </c>
      <c r="I748" s="164"/>
      <c r="J748" s="163">
        <v>247.531075</v>
      </c>
      <c r="K748" s="164"/>
      <c r="L748" s="163">
        <v>251.09633739711933</v>
      </c>
      <c r="M748" s="164"/>
      <c r="N748" s="163">
        <v>251.09633739711933</v>
      </c>
      <c r="O748" s="164"/>
      <c r="P748" s="151"/>
      <c r="Q748" s="151"/>
      <c r="R748" s="151"/>
      <c r="S748" s="151"/>
      <c r="T748" s="151"/>
      <c r="U748" s="151"/>
      <c r="V748" s="151"/>
      <c r="W748" s="151"/>
      <c r="X748" s="151"/>
      <c r="Y748" s="151"/>
      <c r="Z748" s="151"/>
    </row>
    <row r="749" ht="12.75" customHeight="1">
      <c r="A749" s="151"/>
      <c r="B749" s="125" t="s">
        <v>1557</v>
      </c>
      <c r="C749" s="126" t="s">
        <v>1558</v>
      </c>
      <c r="D749" s="127" t="s">
        <v>142</v>
      </c>
      <c r="E749" s="151"/>
      <c r="F749" s="163">
        <v>248.5</v>
      </c>
      <c r="G749" s="164"/>
      <c r="H749" s="163">
        <v>245.02100000000002</v>
      </c>
      <c r="I749" s="164"/>
      <c r="J749" s="163">
        <v>241.542</v>
      </c>
      <c r="K749" s="164"/>
      <c r="L749" s="163">
        <v>245.02100000000002</v>
      </c>
      <c r="M749" s="164"/>
      <c r="N749" s="163">
        <v>245.02100000000002</v>
      </c>
      <c r="O749" s="164"/>
      <c r="P749" s="151"/>
      <c r="Q749" s="151"/>
      <c r="R749" s="151"/>
      <c r="S749" s="151"/>
      <c r="T749" s="151"/>
      <c r="U749" s="151"/>
      <c r="V749" s="151"/>
      <c r="W749" s="151"/>
      <c r="X749" s="151"/>
      <c r="Y749" s="151"/>
      <c r="Z749" s="151"/>
    </row>
    <row r="750" ht="12.75" customHeight="1">
      <c r="A750" s="151"/>
      <c r="B750" s="125" t="s">
        <v>1559</v>
      </c>
      <c r="C750" s="126" t="s">
        <v>1560</v>
      </c>
      <c r="D750" s="127" t="s">
        <v>135</v>
      </c>
      <c r="E750" s="151"/>
      <c r="F750" s="163">
        <v>77.201025</v>
      </c>
      <c r="G750" s="164"/>
      <c r="H750" s="163">
        <v>77.201025</v>
      </c>
      <c r="I750" s="164"/>
      <c r="J750" s="163">
        <v>77.201025</v>
      </c>
      <c r="K750" s="164"/>
      <c r="L750" s="163">
        <v>77.201025</v>
      </c>
      <c r="M750" s="164"/>
      <c r="N750" s="163">
        <v>77.201025</v>
      </c>
      <c r="O750" s="164"/>
      <c r="P750" s="151"/>
      <c r="Q750" s="151"/>
      <c r="R750" s="151"/>
      <c r="S750" s="151"/>
      <c r="T750" s="151"/>
      <c r="U750" s="151"/>
      <c r="V750" s="151"/>
      <c r="W750" s="151"/>
      <c r="X750" s="151"/>
      <c r="Y750" s="151"/>
      <c r="Z750" s="151"/>
    </row>
    <row r="751" ht="12.75" customHeight="1">
      <c r="A751" s="151"/>
      <c r="B751" s="125" t="s">
        <v>1561</v>
      </c>
      <c r="C751" s="126" t="s">
        <v>1562</v>
      </c>
      <c r="D751" s="127" t="s">
        <v>135</v>
      </c>
      <c r="E751" s="151"/>
      <c r="F751" s="163">
        <v>26.653860082304526</v>
      </c>
      <c r="G751" s="164"/>
      <c r="H751" s="163">
        <v>26.28070604115226</v>
      </c>
      <c r="I751" s="164"/>
      <c r="J751" s="163">
        <v>25.907552000000003</v>
      </c>
      <c r="K751" s="164"/>
      <c r="L751" s="163">
        <v>26.28070604115226</v>
      </c>
      <c r="M751" s="164"/>
      <c r="N751" s="163">
        <v>26.28070604115226</v>
      </c>
      <c r="O751" s="164"/>
      <c r="P751" s="151"/>
      <c r="Q751" s="151"/>
      <c r="R751" s="151"/>
      <c r="S751" s="151"/>
      <c r="T751" s="151"/>
      <c r="U751" s="151"/>
      <c r="V751" s="151"/>
      <c r="W751" s="151"/>
      <c r="X751" s="151"/>
      <c r="Y751" s="151"/>
      <c r="Z751" s="151"/>
    </row>
    <row r="752" ht="12.75" customHeight="1">
      <c r="A752" s="151"/>
      <c r="B752" s="125" t="s">
        <v>1563</v>
      </c>
      <c r="C752" s="126" t="s">
        <v>1564</v>
      </c>
      <c r="D752" s="127" t="s">
        <v>180</v>
      </c>
      <c r="E752" s="151"/>
      <c r="F752" s="163">
        <v>43.0</v>
      </c>
      <c r="G752" s="164"/>
      <c r="H752" s="163">
        <v>42.398</v>
      </c>
      <c r="I752" s="164"/>
      <c r="J752" s="163">
        <v>41.79600000000001</v>
      </c>
      <c r="K752" s="164"/>
      <c r="L752" s="163">
        <v>42.398</v>
      </c>
      <c r="M752" s="164"/>
      <c r="N752" s="163">
        <v>42.398</v>
      </c>
      <c r="O752" s="164"/>
      <c r="P752" s="151"/>
      <c r="Q752" s="151"/>
      <c r="R752" s="151"/>
      <c r="S752" s="151"/>
      <c r="T752" s="151"/>
      <c r="U752" s="151"/>
      <c r="V752" s="151"/>
      <c r="W752" s="151"/>
      <c r="X752" s="151"/>
      <c r="Y752" s="151"/>
      <c r="Z752" s="151"/>
    </row>
    <row r="753" ht="12.75" customHeight="1">
      <c r="A753" s="151"/>
      <c r="B753" s="125" t="s">
        <v>1565</v>
      </c>
      <c r="C753" s="126" t="s">
        <v>1566</v>
      </c>
      <c r="D753" s="127" t="s">
        <v>142</v>
      </c>
      <c r="E753" s="151"/>
      <c r="F753" s="163">
        <v>5669.039999999999</v>
      </c>
      <c r="G753" s="164"/>
      <c r="H753" s="163">
        <v>5496.519471024355</v>
      </c>
      <c r="I753" s="164"/>
      <c r="J753" s="163">
        <v>5510.30688</v>
      </c>
      <c r="K753" s="164"/>
      <c r="L753" s="163">
        <v>5496.519471024355</v>
      </c>
      <c r="M753" s="164"/>
      <c r="N753" s="163">
        <v>5496.519471024355</v>
      </c>
      <c r="O753" s="164"/>
      <c r="P753" s="151"/>
      <c r="Q753" s="151"/>
      <c r="R753" s="151"/>
      <c r="S753" s="151"/>
      <c r="T753" s="151"/>
      <c r="U753" s="151"/>
      <c r="V753" s="151"/>
      <c r="W753" s="151"/>
      <c r="X753" s="151"/>
      <c r="Y753" s="151"/>
      <c r="Z753" s="151"/>
    </row>
    <row r="754" ht="12.75" customHeight="1">
      <c r="A754" s="151"/>
      <c r="B754" s="125" t="s">
        <v>1567</v>
      </c>
      <c r="C754" s="126" t="s">
        <v>1568</v>
      </c>
      <c r="D754" s="127" t="s">
        <v>142</v>
      </c>
      <c r="E754" s="151"/>
      <c r="F754" s="163">
        <v>253.65863522999993</v>
      </c>
      <c r="G754" s="164"/>
      <c r="H754" s="163">
        <v>250.10741433677995</v>
      </c>
      <c r="I754" s="164"/>
      <c r="J754" s="163">
        <v>246.55619344356</v>
      </c>
      <c r="K754" s="164"/>
      <c r="L754" s="163">
        <v>250.10741433677995</v>
      </c>
      <c r="M754" s="164"/>
      <c r="N754" s="163">
        <v>250.10741433677995</v>
      </c>
      <c r="O754" s="164"/>
      <c r="P754" s="151"/>
      <c r="Q754" s="151"/>
      <c r="R754" s="151"/>
      <c r="S754" s="151"/>
      <c r="T754" s="151"/>
      <c r="U754" s="151"/>
      <c r="V754" s="151"/>
      <c r="W754" s="151"/>
      <c r="X754" s="151"/>
      <c r="Y754" s="151"/>
      <c r="Z754" s="151"/>
    </row>
    <row r="755" ht="12.75" customHeight="1">
      <c r="A755" s="151"/>
      <c r="B755" s="125" t="s">
        <v>1569</v>
      </c>
      <c r="C755" s="126" t="s">
        <v>1570</v>
      </c>
      <c r="D755" s="127" t="s">
        <v>142</v>
      </c>
      <c r="E755" s="151"/>
      <c r="F755" s="163">
        <v>220.67901234567898</v>
      </c>
      <c r="G755" s="164"/>
      <c r="H755" s="163">
        <v>217.58950617283952</v>
      </c>
      <c r="I755" s="164"/>
      <c r="J755" s="163">
        <v>214.5</v>
      </c>
      <c r="K755" s="164"/>
      <c r="L755" s="163">
        <v>217.58950617283952</v>
      </c>
      <c r="M755" s="164"/>
      <c r="N755" s="163">
        <v>217.58950617283952</v>
      </c>
      <c r="O755" s="164"/>
      <c r="P755" s="151"/>
      <c r="Q755" s="151"/>
      <c r="R755" s="151"/>
      <c r="S755" s="151"/>
      <c r="T755" s="151"/>
      <c r="U755" s="151"/>
      <c r="V755" s="151"/>
      <c r="W755" s="151"/>
      <c r="X755" s="151"/>
      <c r="Y755" s="151"/>
      <c r="Z755" s="151"/>
    </row>
    <row r="756" ht="12.75" customHeight="1">
      <c r="A756" s="151"/>
      <c r="B756" s="125" t="s">
        <v>1571</v>
      </c>
      <c r="C756" s="126" t="s">
        <v>1572</v>
      </c>
      <c r="D756" s="127" t="s">
        <v>142</v>
      </c>
      <c r="E756" s="151"/>
      <c r="F756" s="163">
        <v>275.4434356674</v>
      </c>
      <c r="G756" s="164"/>
      <c r="H756" s="163">
        <v>271.58722756805645</v>
      </c>
      <c r="I756" s="164"/>
      <c r="J756" s="163">
        <v>267.7310194687128</v>
      </c>
      <c r="K756" s="164"/>
      <c r="L756" s="163">
        <v>271.58722756805645</v>
      </c>
      <c r="M756" s="164"/>
      <c r="N756" s="163">
        <v>271.58722756805645</v>
      </c>
      <c r="O756" s="164"/>
      <c r="P756" s="151"/>
      <c r="Q756" s="151"/>
      <c r="R756" s="151"/>
      <c r="S756" s="151"/>
      <c r="T756" s="151"/>
      <c r="U756" s="151"/>
      <c r="V756" s="151"/>
      <c r="W756" s="151"/>
      <c r="X756" s="151"/>
      <c r="Y756" s="151"/>
      <c r="Z756" s="151"/>
    </row>
    <row r="757" ht="12.75" customHeight="1">
      <c r="A757" s="151"/>
      <c r="B757" s="125" t="s">
        <v>1573</v>
      </c>
      <c r="C757" s="126" t="s">
        <v>1574</v>
      </c>
      <c r="D757" s="127" t="s">
        <v>142</v>
      </c>
      <c r="E757" s="151"/>
      <c r="F757" s="163">
        <v>208.45</v>
      </c>
      <c r="G757" s="164"/>
      <c r="H757" s="163">
        <v>205.5317</v>
      </c>
      <c r="I757" s="164"/>
      <c r="J757" s="163">
        <v>202.6134</v>
      </c>
      <c r="K757" s="164"/>
      <c r="L757" s="163">
        <v>205.5317</v>
      </c>
      <c r="M757" s="164"/>
      <c r="N757" s="163">
        <v>205.5317</v>
      </c>
      <c r="O757" s="164"/>
      <c r="P757" s="151"/>
      <c r="Q757" s="151"/>
      <c r="R757" s="151"/>
      <c r="S757" s="151"/>
      <c r="T757" s="151"/>
      <c r="U757" s="151"/>
      <c r="V757" s="151"/>
      <c r="W757" s="151"/>
      <c r="X757" s="151"/>
      <c r="Y757" s="151"/>
      <c r="Z757" s="151"/>
    </row>
    <row r="758" ht="12.75" customHeight="1">
      <c r="A758" s="151"/>
      <c r="B758" s="125" t="s">
        <v>1575</v>
      </c>
      <c r="C758" s="126" t="s">
        <v>1576</v>
      </c>
      <c r="D758" s="127" t="s">
        <v>142</v>
      </c>
      <c r="E758" s="151"/>
      <c r="F758" s="163">
        <v>335.72466427500007</v>
      </c>
      <c r="G758" s="164"/>
      <c r="H758" s="163">
        <v>331.0245189751501</v>
      </c>
      <c r="I758" s="164"/>
      <c r="J758" s="163">
        <v>326.3243736753001</v>
      </c>
      <c r="K758" s="164"/>
      <c r="L758" s="163">
        <v>331.0245189751501</v>
      </c>
      <c r="M758" s="164"/>
      <c r="N758" s="163">
        <v>331.0245189751501</v>
      </c>
      <c r="O758" s="164"/>
      <c r="P758" s="151"/>
      <c r="Q758" s="151"/>
      <c r="R758" s="151"/>
      <c r="S758" s="151"/>
      <c r="T758" s="151"/>
      <c r="U758" s="151"/>
      <c r="V758" s="151"/>
      <c r="W758" s="151"/>
      <c r="X758" s="151"/>
      <c r="Y758" s="151"/>
      <c r="Z758" s="151"/>
    </row>
    <row r="759" ht="12.75" customHeight="1">
      <c r="A759" s="151"/>
      <c r="B759" s="125" t="s">
        <v>1577</v>
      </c>
      <c r="C759" s="126" t="s">
        <v>1578</v>
      </c>
      <c r="D759" s="127" t="s">
        <v>475</v>
      </c>
      <c r="E759" s="151"/>
      <c r="F759" s="163">
        <v>3500.048636576737</v>
      </c>
      <c r="G759" s="164"/>
      <c r="H759" s="163">
        <v>3548.2725200383684</v>
      </c>
      <c r="I759" s="164"/>
      <c r="J759" s="163">
        <v>3596.4964035</v>
      </c>
      <c r="K759" s="164"/>
      <c r="L759" s="163">
        <v>3548.2725200383684</v>
      </c>
      <c r="M759" s="164"/>
      <c r="N759" s="163">
        <v>3548.2725200383684</v>
      </c>
      <c r="O759" s="164"/>
      <c r="P759" s="151"/>
      <c r="Q759" s="151"/>
      <c r="R759" s="151"/>
      <c r="S759" s="151"/>
      <c r="T759" s="151"/>
      <c r="U759" s="151"/>
      <c r="V759" s="151"/>
      <c r="W759" s="151"/>
      <c r="X759" s="151"/>
      <c r="Y759" s="151"/>
      <c r="Z759" s="151"/>
    </row>
    <row r="760" ht="12.75" customHeight="1">
      <c r="A760" s="151"/>
      <c r="B760" s="125" t="s">
        <v>1579</v>
      </c>
      <c r="C760" s="126" t="s">
        <v>1580</v>
      </c>
      <c r="D760" s="127" t="s">
        <v>475</v>
      </c>
      <c r="E760" s="151"/>
      <c r="F760" s="163">
        <v>2141.392087458315</v>
      </c>
      <c r="G760" s="164"/>
      <c r="H760" s="163">
        <v>2393.9947204291575</v>
      </c>
      <c r="I760" s="164"/>
      <c r="J760" s="163">
        <v>2646.5973534</v>
      </c>
      <c r="K760" s="164"/>
      <c r="L760" s="163">
        <v>2393.9947204291575</v>
      </c>
      <c r="M760" s="164"/>
      <c r="N760" s="163">
        <v>2393.9947204291575</v>
      </c>
      <c r="O760" s="164"/>
      <c r="P760" s="151"/>
      <c r="Q760" s="151"/>
      <c r="R760" s="151"/>
      <c r="S760" s="151"/>
      <c r="T760" s="151"/>
      <c r="U760" s="151"/>
      <c r="V760" s="151"/>
      <c r="W760" s="151"/>
      <c r="X760" s="151"/>
      <c r="Y760" s="151"/>
      <c r="Z760" s="151"/>
    </row>
    <row r="761" ht="12.75" customHeight="1">
      <c r="A761" s="151"/>
      <c r="B761" s="125" t="s">
        <v>1581</v>
      </c>
      <c r="C761" s="126" t="s">
        <v>1582</v>
      </c>
      <c r="D761" s="127" t="s">
        <v>475</v>
      </c>
      <c r="E761" s="151"/>
      <c r="F761" s="163">
        <v>2010.6967957355075</v>
      </c>
      <c r="G761" s="164"/>
      <c r="H761" s="163">
        <v>2075.6673275477538</v>
      </c>
      <c r="I761" s="164"/>
      <c r="J761" s="163">
        <v>2140.63785936</v>
      </c>
      <c r="K761" s="164"/>
      <c r="L761" s="163">
        <v>2075.6673275477538</v>
      </c>
      <c r="M761" s="164"/>
      <c r="N761" s="163">
        <v>2075.6673275477538</v>
      </c>
      <c r="O761" s="164"/>
      <c r="P761" s="151"/>
      <c r="Q761" s="151"/>
      <c r="R761" s="151"/>
      <c r="S761" s="151"/>
      <c r="T761" s="151"/>
      <c r="U761" s="151"/>
      <c r="V761" s="151"/>
      <c r="W761" s="151"/>
      <c r="X761" s="151"/>
      <c r="Y761" s="151"/>
      <c r="Z761" s="151"/>
    </row>
    <row r="762" ht="12.75" customHeight="1">
      <c r="A762" s="151"/>
      <c r="B762" s="125" t="s">
        <v>1583</v>
      </c>
      <c r="C762" s="126" t="s">
        <v>1584</v>
      </c>
      <c r="D762" s="127" t="s">
        <v>475</v>
      </c>
      <c r="E762" s="151"/>
      <c r="F762" s="163">
        <v>1675.8</v>
      </c>
      <c r="G762" s="164"/>
      <c r="H762" s="163">
        <v>1682.4991554</v>
      </c>
      <c r="I762" s="164"/>
      <c r="J762" s="163">
        <v>1689.1983108000002</v>
      </c>
      <c r="K762" s="164"/>
      <c r="L762" s="163">
        <v>1682.4991554</v>
      </c>
      <c r="M762" s="164"/>
      <c r="N762" s="163">
        <v>1682.4991554</v>
      </c>
      <c r="O762" s="164"/>
      <c r="P762" s="151"/>
      <c r="Q762" s="151"/>
      <c r="R762" s="151"/>
      <c r="S762" s="151"/>
      <c r="T762" s="151"/>
      <c r="U762" s="151"/>
      <c r="V762" s="151"/>
      <c r="W762" s="151"/>
      <c r="X762" s="151"/>
      <c r="Y762" s="151"/>
      <c r="Z762" s="151"/>
    </row>
    <row r="763" ht="12.75" customHeight="1">
      <c r="A763" s="151"/>
      <c r="B763" s="125" t="s">
        <v>1585</v>
      </c>
      <c r="C763" s="126" t="s">
        <v>1586</v>
      </c>
      <c r="D763" s="127" t="s">
        <v>475</v>
      </c>
      <c r="E763" s="151"/>
      <c r="F763" s="163">
        <v>985.6</v>
      </c>
      <c r="G763" s="164"/>
      <c r="H763" s="163">
        <v>989.53950326</v>
      </c>
      <c r="I763" s="164"/>
      <c r="J763" s="163">
        <v>993.47900652</v>
      </c>
      <c r="K763" s="164"/>
      <c r="L763" s="163">
        <v>989.53950326</v>
      </c>
      <c r="M763" s="164"/>
      <c r="N763" s="163">
        <v>989.53950326</v>
      </c>
      <c r="O763" s="164"/>
      <c r="P763" s="151"/>
      <c r="Q763" s="151"/>
      <c r="R763" s="151"/>
      <c r="S763" s="151"/>
      <c r="T763" s="151"/>
      <c r="U763" s="151"/>
      <c r="V763" s="151"/>
      <c r="W763" s="151"/>
      <c r="X763" s="151"/>
      <c r="Y763" s="151"/>
      <c r="Z763" s="151"/>
    </row>
    <row r="764" ht="12.75" customHeight="1">
      <c r="A764" s="151"/>
      <c r="B764" s="113" t="s">
        <v>1587</v>
      </c>
      <c r="C764" s="114" t="s">
        <v>1588</v>
      </c>
      <c r="D764" s="115"/>
      <c r="E764" s="151"/>
      <c r="F764" s="161"/>
      <c r="G764" s="162"/>
      <c r="H764" s="161"/>
      <c r="I764" s="162"/>
      <c r="J764" s="161"/>
      <c r="K764" s="162"/>
      <c r="L764" s="161"/>
      <c r="M764" s="162"/>
      <c r="N764" s="161"/>
      <c r="O764" s="162"/>
      <c r="P764" s="151"/>
      <c r="Q764" s="151"/>
      <c r="R764" s="151"/>
      <c r="S764" s="151"/>
      <c r="T764" s="151"/>
      <c r="U764" s="151"/>
      <c r="V764" s="151"/>
      <c r="W764" s="151"/>
      <c r="X764" s="151"/>
      <c r="Y764" s="151"/>
      <c r="Z764" s="151"/>
    </row>
    <row r="765" ht="12.75" customHeight="1">
      <c r="A765" s="151"/>
      <c r="B765" s="125" t="s">
        <v>1589</v>
      </c>
      <c r="C765" s="126" t="s">
        <v>1590</v>
      </c>
      <c r="D765" s="127" t="s">
        <v>180</v>
      </c>
      <c r="E765" s="151"/>
      <c r="F765" s="163">
        <v>39.900000000000006</v>
      </c>
      <c r="G765" s="164"/>
      <c r="H765" s="163">
        <v>40.69497925500001</v>
      </c>
      <c r="I765" s="164"/>
      <c r="J765" s="163">
        <v>41.48995851</v>
      </c>
      <c r="K765" s="164"/>
      <c r="L765" s="163">
        <v>40.69497925500001</v>
      </c>
      <c r="M765" s="164"/>
      <c r="N765" s="163">
        <v>40.69497925500001</v>
      </c>
      <c r="O765" s="164"/>
      <c r="P765" s="151"/>
      <c r="Q765" s="151"/>
      <c r="R765" s="151"/>
      <c r="S765" s="151"/>
      <c r="T765" s="151"/>
      <c r="U765" s="151"/>
      <c r="V765" s="151"/>
      <c r="W765" s="151"/>
      <c r="X765" s="151"/>
      <c r="Y765" s="151"/>
      <c r="Z765" s="151"/>
    </row>
    <row r="766" ht="12.75" customHeight="1">
      <c r="A766" s="151"/>
      <c r="B766" s="125" t="s">
        <v>1591</v>
      </c>
      <c r="C766" s="126" t="s">
        <v>1592</v>
      </c>
      <c r="D766" s="127" t="s">
        <v>180</v>
      </c>
      <c r="E766" s="151"/>
      <c r="F766" s="163">
        <v>52.273508715816405</v>
      </c>
      <c r="G766" s="164"/>
      <c r="H766" s="163">
        <v>53.318951707908205</v>
      </c>
      <c r="I766" s="164"/>
      <c r="J766" s="163">
        <v>54.3643947</v>
      </c>
      <c r="K766" s="164"/>
      <c r="L766" s="163">
        <v>53.318951707908205</v>
      </c>
      <c r="M766" s="164"/>
      <c r="N766" s="163">
        <v>53.318951707908205</v>
      </c>
      <c r="O766" s="164"/>
      <c r="P766" s="151"/>
      <c r="Q766" s="151"/>
      <c r="R766" s="151"/>
      <c r="S766" s="151"/>
      <c r="T766" s="151"/>
      <c r="U766" s="151"/>
      <c r="V766" s="151"/>
      <c r="W766" s="151"/>
      <c r="X766" s="151"/>
      <c r="Y766" s="151"/>
      <c r="Z766" s="151"/>
    </row>
    <row r="767" ht="12.75" customHeight="1">
      <c r="A767" s="151"/>
      <c r="B767" s="125" t="s">
        <v>1593</v>
      </c>
      <c r="C767" s="126" t="s">
        <v>1594</v>
      </c>
      <c r="D767" s="127" t="s">
        <v>180</v>
      </c>
      <c r="E767" s="151"/>
      <c r="F767" s="163">
        <v>107.61047260951108</v>
      </c>
      <c r="G767" s="164"/>
      <c r="H767" s="163">
        <v>109.76262610425555</v>
      </c>
      <c r="I767" s="164"/>
      <c r="J767" s="163">
        <v>111.914779599</v>
      </c>
      <c r="K767" s="164"/>
      <c r="L767" s="163">
        <v>109.76262610425555</v>
      </c>
      <c r="M767" s="164"/>
      <c r="N767" s="163">
        <v>109.76262610425555</v>
      </c>
      <c r="O767" s="164"/>
      <c r="P767" s="151"/>
      <c r="Q767" s="151"/>
      <c r="R767" s="151"/>
      <c r="S767" s="151"/>
      <c r="T767" s="151"/>
      <c r="U767" s="151"/>
      <c r="V767" s="151"/>
      <c r="W767" s="151"/>
      <c r="X767" s="151"/>
      <c r="Y767" s="151"/>
      <c r="Z767" s="151"/>
    </row>
    <row r="768" ht="12.75" customHeight="1">
      <c r="A768" s="151"/>
      <c r="B768" s="125" t="s">
        <v>1595</v>
      </c>
      <c r="C768" s="126" t="s">
        <v>1596</v>
      </c>
      <c r="D768" s="127" t="s">
        <v>180</v>
      </c>
      <c r="E768" s="151"/>
      <c r="F768" s="163">
        <v>112.18957448594647</v>
      </c>
      <c r="G768" s="164"/>
      <c r="H768" s="163">
        <v>114.42919813297326</v>
      </c>
      <c r="I768" s="164"/>
      <c r="J768" s="163">
        <v>116.66882178</v>
      </c>
      <c r="K768" s="164"/>
      <c r="L768" s="163">
        <v>114.42919813297326</v>
      </c>
      <c r="M768" s="164"/>
      <c r="N768" s="163">
        <v>114.42919813297326</v>
      </c>
      <c r="O768" s="164"/>
      <c r="P768" s="151"/>
      <c r="Q768" s="151"/>
      <c r="R768" s="151"/>
      <c r="S768" s="151"/>
      <c r="T768" s="151"/>
      <c r="U768" s="151"/>
      <c r="V768" s="151"/>
      <c r="W768" s="151"/>
      <c r="X768" s="151"/>
      <c r="Y768" s="151"/>
      <c r="Z768" s="151"/>
    </row>
    <row r="769" ht="12.75" customHeight="1">
      <c r="A769" s="151"/>
      <c r="B769" s="125" t="s">
        <v>1597</v>
      </c>
      <c r="C769" s="126" t="s">
        <v>1598</v>
      </c>
      <c r="D769" s="127" t="s">
        <v>180</v>
      </c>
      <c r="E769" s="151"/>
      <c r="F769" s="163">
        <v>24.366573151619782</v>
      </c>
      <c r="G769" s="164"/>
      <c r="H769" s="163">
        <v>26.76598918580989</v>
      </c>
      <c r="I769" s="164"/>
      <c r="J769" s="163">
        <v>29.165405219999997</v>
      </c>
      <c r="K769" s="164"/>
      <c r="L769" s="163">
        <v>26.76598918580989</v>
      </c>
      <c r="M769" s="164"/>
      <c r="N769" s="163">
        <v>26.76598918580989</v>
      </c>
      <c r="O769" s="164"/>
      <c r="P769" s="151"/>
      <c r="Q769" s="151"/>
      <c r="R769" s="151"/>
      <c r="S769" s="151"/>
      <c r="T769" s="151"/>
      <c r="U769" s="151"/>
      <c r="V769" s="151"/>
      <c r="W769" s="151"/>
      <c r="X769" s="151"/>
      <c r="Y769" s="151"/>
      <c r="Z769" s="151"/>
    </row>
    <row r="770" ht="12.75" customHeight="1">
      <c r="A770" s="151"/>
      <c r="B770" s="125" t="s">
        <v>1599</v>
      </c>
      <c r="C770" s="126" t="s">
        <v>1600</v>
      </c>
      <c r="D770" s="127" t="s">
        <v>180</v>
      </c>
      <c r="E770" s="151"/>
      <c r="F770" s="163">
        <v>116.025</v>
      </c>
      <c r="G770" s="164"/>
      <c r="H770" s="163">
        <v>116.48744152500001</v>
      </c>
      <c r="I770" s="164"/>
      <c r="J770" s="163">
        <v>116.94988305</v>
      </c>
      <c r="K770" s="164"/>
      <c r="L770" s="163">
        <v>116.48744152500001</v>
      </c>
      <c r="M770" s="164"/>
      <c r="N770" s="163">
        <v>116.48744152500001</v>
      </c>
      <c r="O770" s="164"/>
      <c r="P770" s="151"/>
      <c r="Q770" s="151"/>
      <c r="R770" s="151"/>
      <c r="S770" s="151"/>
      <c r="T770" s="151"/>
      <c r="U770" s="151"/>
      <c r="V770" s="151"/>
      <c r="W770" s="151"/>
      <c r="X770" s="151"/>
      <c r="Y770" s="151"/>
      <c r="Z770" s="151"/>
    </row>
    <row r="771" ht="12.75" customHeight="1">
      <c r="A771" s="151"/>
      <c r="B771" s="125" t="s">
        <v>1601</v>
      </c>
      <c r="C771" s="126" t="s">
        <v>1602</v>
      </c>
      <c r="D771" s="127" t="s">
        <v>142</v>
      </c>
      <c r="E771" s="151"/>
      <c r="F771" s="163">
        <v>650.8371892987278</v>
      </c>
      <c r="G771" s="164"/>
      <c r="H771" s="163">
        <v>663.8535946493638</v>
      </c>
      <c r="I771" s="164"/>
      <c r="J771" s="163">
        <v>676.87</v>
      </c>
      <c r="K771" s="164"/>
      <c r="L771" s="163">
        <v>663.8535946493638</v>
      </c>
      <c r="M771" s="164"/>
      <c r="N771" s="163">
        <v>663.8535946493638</v>
      </c>
      <c r="O771" s="164"/>
      <c r="P771" s="151"/>
      <c r="Q771" s="151"/>
      <c r="R771" s="151"/>
      <c r="S771" s="151"/>
      <c r="T771" s="151"/>
      <c r="U771" s="151"/>
      <c r="V771" s="151"/>
      <c r="W771" s="151"/>
      <c r="X771" s="151"/>
      <c r="Y771" s="151"/>
      <c r="Z771" s="151"/>
    </row>
    <row r="772" ht="12.75" customHeight="1">
      <c r="A772" s="151"/>
      <c r="B772" s="125"/>
      <c r="C772" s="126"/>
      <c r="D772" s="127"/>
      <c r="E772" s="151"/>
      <c r="F772" s="163"/>
      <c r="G772" s="164"/>
      <c r="H772" s="163"/>
      <c r="I772" s="164"/>
      <c r="J772" s="163"/>
      <c r="K772" s="164"/>
      <c r="L772" s="163"/>
      <c r="M772" s="164"/>
      <c r="N772" s="163"/>
      <c r="O772" s="164"/>
      <c r="P772" s="151"/>
      <c r="Q772" s="151"/>
      <c r="R772" s="151"/>
      <c r="S772" s="151"/>
      <c r="T772" s="151"/>
      <c r="U772" s="151"/>
      <c r="V772" s="151"/>
      <c r="W772" s="151"/>
      <c r="X772" s="151"/>
      <c r="Y772" s="151"/>
      <c r="Z772" s="151"/>
    </row>
    <row r="773" ht="12.75" customHeight="1">
      <c r="A773" s="151"/>
      <c r="B773" s="101" t="s">
        <v>1603</v>
      </c>
      <c r="C773" s="102" t="s">
        <v>1604</v>
      </c>
      <c r="D773" s="103"/>
      <c r="E773" s="151"/>
      <c r="F773" s="159"/>
      <c r="G773" s="160"/>
      <c r="H773" s="159"/>
      <c r="I773" s="160"/>
      <c r="J773" s="159"/>
      <c r="K773" s="160"/>
      <c r="L773" s="159"/>
      <c r="M773" s="160"/>
      <c r="N773" s="159"/>
      <c r="O773" s="160"/>
      <c r="P773" s="151"/>
      <c r="Q773" s="151"/>
      <c r="R773" s="151"/>
      <c r="S773" s="151"/>
      <c r="T773" s="151"/>
      <c r="U773" s="151"/>
      <c r="V773" s="151"/>
      <c r="W773" s="151"/>
      <c r="X773" s="151"/>
      <c r="Y773" s="151"/>
      <c r="Z773" s="151"/>
    </row>
    <row r="774" ht="12.75" customHeight="1">
      <c r="A774" s="151"/>
      <c r="B774" s="125" t="s">
        <v>1605</v>
      </c>
      <c r="C774" s="126" t="s">
        <v>1606</v>
      </c>
      <c r="D774" s="127" t="s">
        <v>475</v>
      </c>
      <c r="E774" s="151"/>
      <c r="F774" s="163">
        <v>420.0</v>
      </c>
      <c r="G774" s="164"/>
      <c r="H774" s="163">
        <v>392.3998176</v>
      </c>
      <c r="I774" s="164"/>
      <c r="J774" s="163">
        <v>364.7996352</v>
      </c>
      <c r="K774" s="164"/>
      <c r="L774" s="163">
        <v>392.3998176</v>
      </c>
      <c r="M774" s="164"/>
      <c r="N774" s="163">
        <v>392.3998176</v>
      </c>
      <c r="O774" s="164"/>
      <c r="P774" s="151"/>
      <c r="Q774" s="151"/>
      <c r="R774" s="151"/>
      <c r="S774" s="151"/>
      <c r="T774" s="151"/>
      <c r="U774" s="151"/>
      <c r="V774" s="151"/>
      <c r="W774" s="151"/>
      <c r="X774" s="151"/>
      <c r="Y774" s="151"/>
      <c r="Z774" s="151"/>
    </row>
    <row r="775" ht="12.75" customHeight="1">
      <c r="A775" s="151"/>
      <c r="B775" s="125" t="s">
        <v>1607</v>
      </c>
      <c r="C775" s="126" t="s">
        <v>1608</v>
      </c>
      <c r="D775" s="127" t="s">
        <v>475</v>
      </c>
      <c r="E775" s="151"/>
      <c r="F775" s="163">
        <v>293.84950000000003</v>
      </c>
      <c r="G775" s="164"/>
      <c r="H775" s="163">
        <v>244.57475000000002</v>
      </c>
      <c r="I775" s="164"/>
      <c r="J775" s="163">
        <v>195.3</v>
      </c>
      <c r="K775" s="164"/>
      <c r="L775" s="163">
        <v>244.57475000000002</v>
      </c>
      <c r="M775" s="164"/>
      <c r="N775" s="163">
        <v>244.57475000000002</v>
      </c>
      <c r="O775" s="164"/>
      <c r="P775" s="151"/>
      <c r="Q775" s="151"/>
      <c r="R775" s="151"/>
      <c r="S775" s="151"/>
      <c r="T775" s="151"/>
      <c r="U775" s="151"/>
      <c r="V775" s="151"/>
      <c r="W775" s="151"/>
      <c r="X775" s="151"/>
      <c r="Y775" s="151"/>
      <c r="Z775" s="151"/>
    </row>
    <row r="776" ht="12.75" customHeight="1">
      <c r="A776" s="151"/>
      <c r="B776" s="125" t="s">
        <v>1609</v>
      </c>
      <c r="C776" s="126" t="s">
        <v>1610</v>
      </c>
      <c r="D776" s="127" t="s">
        <v>475</v>
      </c>
      <c r="E776" s="151"/>
      <c r="F776" s="163">
        <v>1347.48</v>
      </c>
      <c r="G776" s="164"/>
      <c r="H776" s="163">
        <v>1347.48</v>
      </c>
      <c r="I776" s="164"/>
      <c r="J776" s="163">
        <v>1347.48</v>
      </c>
      <c r="K776" s="164"/>
      <c r="L776" s="163">
        <v>1347.48</v>
      </c>
      <c r="M776" s="164"/>
      <c r="N776" s="163">
        <v>1347.48</v>
      </c>
      <c r="O776" s="164"/>
      <c r="P776" s="151"/>
      <c r="Q776" s="151"/>
      <c r="R776" s="151"/>
      <c r="S776" s="151"/>
      <c r="T776" s="151"/>
      <c r="U776" s="151"/>
      <c r="V776" s="151"/>
      <c r="W776" s="151"/>
      <c r="X776" s="151"/>
      <c r="Y776" s="151"/>
      <c r="Z776" s="151"/>
    </row>
    <row r="777" ht="12.75" customHeight="1">
      <c r="A777" s="151"/>
      <c r="B777" s="125" t="s">
        <v>1611</v>
      </c>
      <c r="C777" s="126" t="s">
        <v>1612</v>
      </c>
      <c r="D777" s="127" t="s">
        <v>475</v>
      </c>
      <c r="E777" s="151"/>
      <c r="F777" s="163">
        <v>1800.0</v>
      </c>
      <c r="G777" s="164"/>
      <c r="H777" s="163">
        <v>1575.4404</v>
      </c>
      <c r="I777" s="164"/>
      <c r="J777" s="163">
        <v>1350.8808</v>
      </c>
      <c r="K777" s="164"/>
      <c r="L777" s="163">
        <v>1575.4404</v>
      </c>
      <c r="M777" s="164"/>
      <c r="N777" s="163">
        <v>1575.4404</v>
      </c>
      <c r="O777" s="164"/>
      <c r="P777" s="151"/>
      <c r="Q777" s="151"/>
      <c r="R777" s="151"/>
      <c r="S777" s="151"/>
      <c r="T777" s="151"/>
      <c r="U777" s="151"/>
      <c r="V777" s="151"/>
      <c r="W777" s="151"/>
      <c r="X777" s="151"/>
      <c r="Y777" s="151"/>
      <c r="Z777" s="151"/>
    </row>
    <row r="778" ht="12.75" customHeight="1">
      <c r="A778" s="151"/>
      <c r="B778" s="125" t="s">
        <v>1613</v>
      </c>
      <c r="C778" s="126" t="s">
        <v>1614</v>
      </c>
      <c r="D778" s="127" t="s">
        <v>475</v>
      </c>
      <c r="E778" s="151"/>
      <c r="F778" s="163">
        <v>2400.0</v>
      </c>
      <c r="G778" s="164"/>
      <c r="H778" s="163">
        <v>2290.0</v>
      </c>
      <c r="I778" s="164"/>
      <c r="J778" s="163">
        <v>2180.0</v>
      </c>
      <c r="K778" s="164"/>
      <c r="L778" s="163">
        <v>2290.0</v>
      </c>
      <c r="M778" s="164"/>
      <c r="N778" s="163">
        <v>2290.0</v>
      </c>
      <c r="O778" s="164"/>
      <c r="P778" s="151"/>
      <c r="Q778" s="151"/>
      <c r="R778" s="151"/>
      <c r="S778" s="151"/>
      <c r="T778" s="151"/>
      <c r="U778" s="151"/>
      <c r="V778" s="151"/>
      <c r="W778" s="151"/>
      <c r="X778" s="151"/>
      <c r="Y778" s="151"/>
      <c r="Z778" s="151"/>
    </row>
    <row r="779" ht="12.75" customHeight="1">
      <c r="A779" s="151"/>
      <c r="B779" s="125" t="s">
        <v>1615</v>
      </c>
      <c r="C779" s="126" t="s">
        <v>1616</v>
      </c>
      <c r="D779" s="127" t="s">
        <v>475</v>
      </c>
      <c r="E779" s="151"/>
      <c r="F779" s="163">
        <v>2900.0</v>
      </c>
      <c r="G779" s="164"/>
      <c r="H779" s="163">
        <v>2563.1988868</v>
      </c>
      <c r="I779" s="164"/>
      <c r="J779" s="163">
        <v>2226.3977736</v>
      </c>
      <c r="K779" s="164"/>
      <c r="L779" s="163">
        <v>2563.1988868</v>
      </c>
      <c r="M779" s="164"/>
      <c r="N779" s="163">
        <v>2563.1988868</v>
      </c>
      <c r="O779" s="164"/>
      <c r="P779" s="151"/>
      <c r="Q779" s="151"/>
      <c r="R779" s="151"/>
      <c r="S779" s="151"/>
      <c r="T779" s="151"/>
      <c r="U779" s="151"/>
      <c r="V779" s="151"/>
      <c r="W779" s="151"/>
      <c r="X779" s="151"/>
      <c r="Y779" s="151"/>
      <c r="Z779" s="151"/>
    </row>
    <row r="780" ht="12.75" customHeight="1">
      <c r="A780" s="151"/>
      <c r="B780" s="125" t="s">
        <v>1617</v>
      </c>
      <c r="C780" s="126" t="s">
        <v>1618</v>
      </c>
      <c r="D780" s="127" t="s">
        <v>475</v>
      </c>
      <c r="E780" s="151"/>
      <c r="F780" s="163">
        <v>2650.0</v>
      </c>
      <c r="G780" s="164"/>
      <c r="H780" s="163">
        <v>2367.7989572</v>
      </c>
      <c r="I780" s="164"/>
      <c r="J780" s="163">
        <v>2085.5979144000003</v>
      </c>
      <c r="K780" s="164"/>
      <c r="L780" s="163">
        <v>2367.7989572</v>
      </c>
      <c r="M780" s="164"/>
      <c r="N780" s="163">
        <v>2367.7989572</v>
      </c>
      <c r="O780" s="164"/>
      <c r="P780" s="151"/>
      <c r="Q780" s="151"/>
      <c r="R780" s="151"/>
      <c r="S780" s="151"/>
      <c r="T780" s="151"/>
      <c r="U780" s="151"/>
      <c r="V780" s="151"/>
      <c r="W780" s="151"/>
      <c r="X780" s="151"/>
      <c r="Y780" s="151"/>
      <c r="Z780" s="151"/>
    </row>
    <row r="781" ht="12.75" customHeight="1">
      <c r="A781" s="151"/>
      <c r="B781" s="125" t="s">
        <v>1619</v>
      </c>
      <c r="C781" s="126" t="s">
        <v>1620</v>
      </c>
      <c r="D781" s="127" t="s">
        <v>475</v>
      </c>
      <c r="E781" s="151"/>
      <c r="F781" s="163">
        <v>3250.0</v>
      </c>
      <c r="G781" s="164"/>
      <c r="H781" s="163">
        <v>2694.5</v>
      </c>
      <c r="I781" s="164"/>
      <c r="J781" s="163">
        <v>2139.0</v>
      </c>
      <c r="K781" s="164"/>
      <c r="L781" s="163">
        <v>2694.5</v>
      </c>
      <c r="M781" s="164"/>
      <c r="N781" s="163">
        <v>2694.5</v>
      </c>
      <c r="O781" s="164"/>
      <c r="P781" s="151"/>
      <c r="Q781" s="151"/>
      <c r="R781" s="151"/>
      <c r="S781" s="151"/>
      <c r="T781" s="151"/>
      <c r="U781" s="151"/>
      <c r="V781" s="151"/>
      <c r="W781" s="151"/>
      <c r="X781" s="151"/>
      <c r="Y781" s="151"/>
      <c r="Z781" s="151"/>
    </row>
    <row r="782" ht="12.75" customHeight="1">
      <c r="A782" s="151"/>
      <c r="B782" s="125" t="s">
        <v>1621</v>
      </c>
      <c r="C782" s="126" t="s">
        <v>1622</v>
      </c>
      <c r="D782" s="127" t="s">
        <v>475</v>
      </c>
      <c r="E782" s="151"/>
      <c r="F782" s="163">
        <v>4850.0</v>
      </c>
      <c r="G782" s="164"/>
      <c r="H782" s="163">
        <v>4070.0</v>
      </c>
      <c r="I782" s="164"/>
      <c r="J782" s="163">
        <v>3290.0</v>
      </c>
      <c r="K782" s="164"/>
      <c r="L782" s="163">
        <v>4070.0</v>
      </c>
      <c r="M782" s="164"/>
      <c r="N782" s="163">
        <v>4070.0</v>
      </c>
      <c r="O782" s="164"/>
      <c r="P782" s="151"/>
      <c r="Q782" s="151"/>
      <c r="R782" s="151"/>
      <c r="S782" s="151"/>
      <c r="T782" s="151"/>
      <c r="U782" s="151"/>
      <c r="V782" s="151"/>
      <c r="W782" s="151"/>
      <c r="X782" s="151"/>
      <c r="Y782" s="151"/>
      <c r="Z782" s="151"/>
    </row>
    <row r="783" ht="12.75" customHeight="1">
      <c r="A783" s="151"/>
      <c r="B783" s="125" t="s">
        <v>1623</v>
      </c>
      <c r="C783" s="126" t="s">
        <v>1624</v>
      </c>
      <c r="D783" s="127" t="s">
        <v>475</v>
      </c>
      <c r="E783" s="151"/>
      <c r="F783" s="163">
        <v>1190.0</v>
      </c>
      <c r="G783" s="164"/>
      <c r="H783" s="163">
        <v>1185.625</v>
      </c>
      <c r="I783" s="164"/>
      <c r="J783" s="163">
        <v>1181.25</v>
      </c>
      <c r="K783" s="164"/>
      <c r="L783" s="163">
        <v>1185.625</v>
      </c>
      <c r="M783" s="164"/>
      <c r="N783" s="163">
        <v>1185.625</v>
      </c>
      <c r="O783" s="164"/>
      <c r="P783" s="151"/>
      <c r="Q783" s="151"/>
      <c r="R783" s="151"/>
      <c r="S783" s="151"/>
      <c r="T783" s="151"/>
      <c r="U783" s="151"/>
      <c r="V783" s="151"/>
      <c r="W783" s="151"/>
      <c r="X783" s="151"/>
      <c r="Y783" s="151"/>
      <c r="Z783" s="151"/>
    </row>
    <row r="784" ht="12.75" customHeight="1">
      <c r="A784" s="151"/>
      <c r="B784" s="125" t="s">
        <v>1625</v>
      </c>
      <c r="C784" s="126" t="s">
        <v>1626</v>
      </c>
      <c r="D784" s="127" t="s">
        <v>475</v>
      </c>
      <c r="E784" s="151"/>
      <c r="F784" s="163">
        <v>1300.0</v>
      </c>
      <c r="G784" s="164"/>
      <c r="H784" s="163">
        <v>1305.9993439999998</v>
      </c>
      <c r="I784" s="164"/>
      <c r="J784" s="163">
        <v>1311.998688</v>
      </c>
      <c r="K784" s="164"/>
      <c r="L784" s="163">
        <v>1305.9993439999998</v>
      </c>
      <c r="M784" s="164"/>
      <c r="N784" s="163">
        <v>1305.9993439999998</v>
      </c>
      <c r="O784" s="164"/>
      <c r="P784" s="151"/>
      <c r="Q784" s="151"/>
      <c r="R784" s="151"/>
      <c r="S784" s="151"/>
      <c r="T784" s="151"/>
      <c r="U784" s="151"/>
      <c r="V784" s="151"/>
      <c r="W784" s="151"/>
      <c r="X784" s="151"/>
      <c r="Y784" s="151"/>
      <c r="Z784" s="151"/>
    </row>
    <row r="785" ht="12.75" customHeight="1">
      <c r="A785" s="151"/>
      <c r="B785" s="125"/>
      <c r="C785" s="126"/>
      <c r="D785" s="127"/>
      <c r="E785" s="151"/>
      <c r="F785" s="163"/>
      <c r="G785" s="164"/>
      <c r="H785" s="163"/>
      <c r="I785" s="164"/>
      <c r="J785" s="163"/>
      <c r="K785" s="164"/>
      <c r="L785" s="163"/>
      <c r="M785" s="164"/>
      <c r="N785" s="163"/>
      <c r="O785" s="164"/>
      <c r="P785" s="151"/>
      <c r="Q785" s="151"/>
      <c r="R785" s="151"/>
      <c r="S785" s="151"/>
      <c r="T785" s="151"/>
      <c r="U785" s="151"/>
      <c r="V785" s="151"/>
      <c r="W785" s="151"/>
      <c r="X785" s="151"/>
      <c r="Y785" s="151"/>
      <c r="Z785" s="151"/>
    </row>
    <row r="786" ht="12.75" customHeight="1">
      <c r="A786" s="151"/>
      <c r="B786" s="151"/>
      <c r="C786" s="151"/>
      <c r="D786" s="151"/>
      <c r="E786" s="151"/>
      <c r="F786" s="151"/>
      <c r="G786" s="151"/>
      <c r="H786" s="151"/>
      <c r="I786" s="151"/>
      <c r="J786" s="151"/>
      <c r="K786" s="151"/>
      <c r="L786" s="151"/>
      <c r="M786" s="151"/>
      <c r="N786" s="151"/>
      <c r="O786" s="151"/>
      <c r="P786" s="151"/>
      <c r="Q786" s="151"/>
      <c r="R786" s="151"/>
      <c r="S786" s="151"/>
      <c r="T786" s="151"/>
      <c r="U786" s="151"/>
      <c r="V786" s="151"/>
      <c r="W786" s="151"/>
      <c r="X786" s="151"/>
      <c r="Y786" s="151"/>
      <c r="Z786" s="151"/>
    </row>
    <row r="787" ht="12.75" customHeight="1">
      <c r="A787" s="151"/>
      <c r="B787" s="151"/>
      <c r="C787" s="151"/>
      <c r="D787" s="151"/>
      <c r="E787" s="151"/>
      <c r="F787" s="151"/>
      <c r="G787" s="151"/>
      <c r="H787" s="151"/>
      <c r="I787" s="151"/>
      <c r="J787" s="151"/>
      <c r="K787" s="151"/>
      <c r="L787" s="151"/>
      <c r="M787" s="151"/>
      <c r="N787" s="151"/>
      <c r="O787" s="151"/>
      <c r="P787" s="151"/>
      <c r="Q787" s="151"/>
      <c r="R787" s="151"/>
      <c r="S787" s="151"/>
      <c r="T787" s="151"/>
      <c r="U787" s="151"/>
      <c r="V787" s="151"/>
      <c r="W787" s="151"/>
      <c r="X787" s="151"/>
      <c r="Y787" s="151"/>
      <c r="Z787" s="151"/>
    </row>
    <row r="788" ht="12.75" customHeight="1">
      <c r="A788" s="151"/>
      <c r="B788" s="151"/>
      <c r="C788" s="151"/>
      <c r="D788" s="151"/>
      <c r="E788" s="151"/>
      <c r="F788" s="151"/>
      <c r="G788" s="151"/>
      <c r="H788" s="151"/>
      <c r="I788" s="151"/>
      <c r="J788" s="151"/>
      <c r="K788" s="151"/>
      <c r="L788" s="151"/>
      <c r="M788" s="151"/>
      <c r="N788" s="151"/>
      <c r="O788" s="151"/>
      <c r="P788" s="151"/>
      <c r="Q788" s="151"/>
      <c r="R788" s="151"/>
      <c r="S788" s="151"/>
      <c r="T788" s="151"/>
      <c r="U788" s="151"/>
      <c r="V788" s="151"/>
      <c r="W788" s="151"/>
      <c r="X788" s="151"/>
      <c r="Y788" s="151"/>
      <c r="Z788" s="151"/>
    </row>
    <row r="789" ht="12.75" customHeight="1">
      <c r="A789" s="151"/>
      <c r="B789" s="151"/>
      <c r="C789" s="151"/>
      <c r="D789" s="151"/>
      <c r="E789" s="151"/>
      <c r="F789" s="151"/>
      <c r="G789" s="151"/>
      <c r="H789" s="151"/>
      <c r="I789" s="151"/>
      <c r="J789" s="151"/>
      <c r="K789" s="151"/>
      <c r="L789" s="151"/>
      <c r="M789" s="151"/>
      <c r="N789" s="151"/>
      <c r="O789" s="151"/>
      <c r="P789" s="151"/>
      <c r="Q789" s="151"/>
      <c r="R789" s="151"/>
      <c r="S789" s="151"/>
      <c r="T789" s="151"/>
      <c r="U789" s="151"/>
      <c r="V789" s="151"/>
      <c r="W789" s="151"/>
      <c r="X789" s="151"/>
      <c r="Y789" s="151"/>
      <c r="Z789" s="151"/>
    </row>
    <row r="790" ht="12.75" customHeight="1">
      <c r="A790" s="151"/>
      <c r="B790" s="151"/>
      <c r="C790" s="151"/>
      <c r="D790" s="151"/>
      <c r="E790" s="151"/>
      <c r="F790" s="151"/>
      <c r="G790" s="151"/>
      <c r="H790" s="151"/>
      <c r="I790" s="151"/>
      <c r="J790" s="151"/>
      <c r="K790" s="151"/>
      <c r="L790" s="151"/>
      <c r="M790" s="151"/>
      <c r="N790" s="151"/>
      <c r="O790" s="151"/>
      <c r="P790" s="151"/>
      <c r="Q790" s="151"/>
      <c r="R790" s="151"/>
      <c r="S790" s="151"/>
      <c r="T790" s="151"/>
      <c r="U790" s="151"/>
      <c r="V790" s="151"/>
      <c r="W790" s="151"/>
      <c r="X790" s="151"/>
      <c r="Y790" s="151"/>
      <c r="Z790" s="151"/>
    </row>
    <row r="791" ht="12.75" customHeight="1">
      <c r="A791" s="151"/>
      <c r="B791" s="151"/>
      <c r="C791" s="151"/>
      <c r="D791" s="151"/>
      <c r="E791" s="151"/>
      <c r="F791" s="151"/>
      <c r="G791" s="151"/>
      <c r="H791" s="151"/>
      <c r="I791" s="151"/>
      <c r="J791" s="151"/>
      <c r="K791" s="151"/>
      <c r="L791" s="151"/>
      <c r="M791" s="151"/>
      <c r="N791" s="151"/>
      <c r="O791" s="151"/>
      <c r="P791" s="151"/>
      <c r="Q791" s="151"/>
      <c r="R791" s="151"/>
      <c r="S791" s="151"/>
      <c r="T791" s="151"/>
      <c r="U791" s="151"/>
      <c r="V791" s="151"/>
      <c r="W791" s="151"/>
      <c r="X791" s="151"/>
      <c r="Y791" s="151"/>
      <c r="Z791" s="151"/>
    </row>
    <row r="792" ht="12.75" customHeight="1">
      <c r="A792" s="151"/>
      <c r="B792" s="151"/>
      <c r="C792" s="151"/>
      <c r="D792" s="151"/>
      <c r="E792" s="151"/>
      <c r="F792" s="151"/>
      <c r="G792" s="151"/>
      <c r="H792" s="151"/>
      <c r="I792" s="151"/>
      <c r="J792" s="151"/>
      <c r="K792" s="151"/>
      <c r="L792" s="151"/>
      <c r="M792" s="151"/>
      <c r="N792" s="151"/>
      <c r="O792" s="151"/>
      <c r="P792" s="151"/>
      <c r="Q792" s="151"/>
      <c r="R792" s="151"/>
      <c r="S792" s="151"/>
      <c r="T792" s="151"/>
      <c r="U792" s="151"/>
      <c r="V792" s="151"/>
      <c r="W792" s="151"/>
      <c r="X792" s="151"/>
      <c r="Y792" s="151"/>
      <c r="Z792" s="151"/>
    </row>
    <row r="793" ht="12.75" customHeight="1">
      <c r="A793" s="151"/>
      <c r="B793" s="151"/>
      <c r="C793" s="151"/>
      <c r="D793" s="151"/>
      <c r="E793" s="151"/>
      <c r="F793" s="151"/>
      <c r="G793" s="151"/>
      <c r="H793" s="151"/>
      <c r="I793" s="151"/>
      <c r="J793" s="151"/>
      <c r="K793" s="151"/>
      <c r="L793" s="151"/>
      <c r="M793" s="151"/>
      <c r="N793" s="151"/>
      <c r="O793" s="151"/>
      <c r="P793" s="151"/>
      <c r="Q793" s="151"/>
      <c r="R793" s="151"/>
      <c r="S793" s="151"/>
      <c r="T793" s="151"/>
      <c r="U793" s="151"/>
      <c r="V793" s="151"/>
      <c r="W793" s="151"/>
      <c r="X793" s="151"/>
      <c r="Y793" s="151"/>
      <c r="Z793" s="151"/>
    </row>
    <row r="794" ht="12.75" customHeight="1">
      <c r="A794" s="151"/>
      <c r="B794" s="151"/>
      <c r="C794" s="151"/>
      <c r="D794" s="151"/>
      <c r="E794" s="151"/>
      <c r="F794" s="151"/>
      <c r="G794" s="151"/>
      <c r="H794" s="151"/>
      <c r="I794" s="151"/>
      <c r="J794" s="151"/>
      <c r="K794" s="151"/>
      <c r="L794" s="151"/>
      <c r="M794" s="151"/>
      <c r="N794" s="151"/>
      <c r="O794" s="151"/>
      <c r="P794" s="151"/>
      <c r="Q794" s="151"/>
      <c r="R794" s="151"/>
      <c r="S794" s="151"/>
      <c r="T794" s="151"/>
      <c r="U794" s="151"/>
      <c r="V794" s="151"/>
      <c r="W794" s="151"/>
      <c r="X794" s="151"/>
      <c r="Y794" s="151"/>
      <c r="Z794" s="151"/>
    </row>
    <row r="795" ht="12.75" customHeight="1">
      <c r="A795" s="151"/>
      <c r="B795" s="151"/>
      <c r="C795" s="151"/>
      <c r="D795" s="151"/>
      <c r="E795" s="151"/>
      <c r="F795" s="151"/>
      <c r="G795" s="151"/>
      <c r="H795" s="151"/>
      <c r="I795" s="151"/>
      <c r="J795" s="151"/>
      <c r="K795" s="151"/>
      <c r="L795" s="151"/>
      <c r="M795" s="151"/>
      <c r="N795" s="151"/>
      <c r="O795" s="151"/>
      <c r="P795" s="151"/>
      <c r="Q795" s="151"/>
      <c r="R795" s="151"/>
      <c r="S795" s="151"/>
      <c r="T795" s="151"/>
      <c r="U795" s="151"/>
      <c r="V795" s="151"/>
      <c r="W795" s="151"/>
      <c r="X795" s="151"/>
      <c r="Y795" s="151"/>
      <c r="Z795" s="151"/>
    </row>
    <row r="796" ht="12.75" customHeight="1">
      <c r="A796" s="151"/>
      <c r="B796" s="151"/>
      <c r="C796" s="151"/>
      <c r="D796" s="151"/>
      <c r="E796" s="151"/>
      <c r="F796" s="151"/>
      <c r="G796" s="151"/>
      <c r="H796" s="151"/>
      <c r="I796" s="151"/>
      <c r="J796" s="151"/>
      <c r="K796" s="151"/>
      <c r="L796" s="151"/>
      <c r="M796" s="151"/>
      <c r="N796" s="151"/>
      <c r="O796" s="151"/>
      <c r="P796" s="151"/>
      <c r="Q796" s="151"/>
      <c r="R796" s="151"/>
      <c r="S796" s="151"/>
      <c r="T796" s="151"/>
      <c r="U796" s="151"/>
      <c r="V796" s="151"/>
      <c r="W796" s="151"/>
      <c r="X796" s="151"/>
      <c r="Y796" s="151"/>
      <c r="Z796" s="151"/>
    </row>
    <row r="797" ht="12.75" customHeight="1">
      <c r="A797" s="151"/>
      <c r="B797" s="151"/>
      <c r="C797" s="151"/>
      <c r="D797" s="151"/>
      <c r="E797" s="151"/>
      <c r="F797" s="151"/>
      <c r="G797" s="151"/>
      <c r="H797" s="151"/>
      <c r="I797" s="151"/>
      <c r="J797" s="151"/>
      <c r="K797" s="151"/>
      <c r="L797" s="151"/>
      <c r="M797" s="151"/>
      <c r="N797" s="151"/>
      <c r="O797" s="151"/>
      <c r="P797" s="151"/>
      <c r="Q797" s="151"/>
      <c r="R797" s="151"/>
      <c r="S797" s="151"/>
      <c r="T797" s="151"/>
      <c r="U797" s="151"/>
      <c r="V797" s="151"/>
      <c r="W797" s="151"/>
      <c r="X797" s="151"/>
      <c r="Y797" s="151"/>
      <c r="Z797" s="151"/>
    </row>
    <row r="798" ht="12.75" customHeight="1">
      <c r="A798" s="151"/>
      <c r="B798" s="151"/>
      <c r="C798" s="151"/>
      <c r="D798" s="151"/>
      <c r="E798" s="151"/>
      <c r="F798" s="151"/>
      <c r="G798" s="151"/>
      <c r="H798" s="151"/>
      <c r="I798" s="151"/>
      <c r="J798" s="151"/>
      <c r="K798" s="151"/>
      <c r="L798" s="151"/>
      <c r="M798" s="151"/>
      <c r="N798" s="151"/>
      <c r="O798" s="151"/>
      <c r="P798" s="151"/>
      <c r="Q798" s="151"/>
      <c r="R798" s="151"/>
      <c r="S798" s="151"/>
      <c r="T798" s="151"/>
      <c r="U798" s="151"/>
      <c r="V798" s="151"/>
      <c r="W798" s="151"/>
      <c r="X798" s="151"/>
      <c r="Y798" s="151"/>
      <c r="Z798" s="151"/>
    </row>
    <row r="799" ht="12.75" customHeight="1">
      <c r="A799" s="151"/>
      <c r="B799" s="151"/>
      <c r="C799" s="151"/>
      <c r="D799" s="151"/>
      <c r="E799" s="151"/>
      <c r="F799" s="151"/>
      <c r="G799" s="151"/>
      <c r="H799" s="151"/>
      <c r="I799" s="151"/>
      <c r="J799" s="151"/>
      <c r="K799" s="151"/>
      <c r="L799" s="151"/>
      <c r="M799" s="151"/>
      <c r="N799" s="151"/>
      <c r="O799" s="151"/>
      <c r="P799" s="151"/>
      <c r="Q799" s="151"/>
      <c r="R799" s="151"/>
      <c r="S799" s="151"/>
      <c r="T799" s="151"/>
      <c r="U799" s="151"/>
      <c r="V799" s="151"/>
      <c r="W799" s="151"/>
      <c r="X799" s="151"/>
      <c r="Y799" s="151"/>
      <c r="Z799" s="151"/>
    </row>
    <row r="800" ht="12.75" customHeight="1">
      <c r="A800" s="151"/>
      <c r="B800" s="151"/>
      <c r="C800" s="151"/>
      <c r="D800" s="151"/>
      <c r="E800" s="151"/>
      <c r="F800" s="151"/>
      <c r="G800" s="151"/>
      <c r="H800" s="151"/>
      <c r="I800" s="151"/>
      <c r="J800" s="151"/>
      <c r="K800" s="151"/>
      <c r="L800" s="151"/>
      <c r="M800" s="151"/>
      <c r="N800" s="151"/>
      <c r="O800" s="151"/>
      <c r="P800" s="151"/>
      <c r="Q800" s="151"/>
      <c r="R800" s="151"/>
      <c r="S800" s="151"/>
      <c r="T800" s="151"/>
      <c r="U800" s="151"/>
      <c r="V800" s="151"/>
      <c r="W800" s="151"/>
      <c r="X800" s="151"/>
      <c r="Y800" s="151"/>
      <c r="Z800" s="151"/>
    </row>
    <row r="801" ht="12.75" customHeight="1">
      <c r="A801" s="151"/>
      <c r="B801" s="151"/>
      <c r="C801" s="151"/>
      <c r="D801" s="151"/>
      <c r="E801" s="151"/>
      <c r="F801" s="151"/>
      <c r="G801" s="151"/>
      <c r="H801" s="151"/>
      <c r="I801" s="151"/>
      <c r="J801" s="151"/>
      <c r="K801" s="151"/>
      <c r="L801" s="151"/>
      <c r="M801" s="151"/>
      <c r="N801" s="151"/>
      <c r="O801" s="151"/>
      <c r="P801" s="151"/>
      <c r="Q801" s="151"/>
      <c r="R801" s="151"/>
      <c r="S801" s="151"/>
      <c r="T801" s="151"/>
      <c r="U801" s="151"/>
      <c r="V801" s="151"/>
      <c r="W801" s="151"/>
      <c r="X801" s="151"/>
      <c r="Y801" s="151"/>
      <c r="Z801" s="151"/>
    </row>
    <row r="802" ht="12.75" customHeight="1">
      <c r="A802" s="151"/>
      <c r="B802" s="151"/>
      <c r="C802" s="151"/>
      <c r="D802" s="151"/>
      <c r="E802" s="151"/>
      <c r="F802" s="151"/>
      <c r="G802" s="151"/>
      <c r="H802" s="151"/>
      <c r="I802" s="151"/>
      <c r="J802" s="151"/>
      <c r="K802" s="151"/>
      <c r="L802" s="151"/>
      <c r="M802" s="151"/>
      <c r="N802" s="151"/>
      <c r="O802" s="151"/>
      <c r="P802" s="151"/>
      <c r="Q802" s="151"/>
      <c r="R802" s="151"/>
      <c r="S802" s="151"/>
      <c r="T802" s="151"/>
      <c r="U802" s="151"/>
      <c r="V802" s="151"/>
      <c r="W802" s="151"/>
      <c r="X802" s="151"/>
      <c r="Y802" s="151"/>
      <c r="Z802" s="151"/>
    </row>
    <row r="803" ht="12.75" customHeight="1">
      <c r="A803" s="151"/>
      <c r="B803" s="151"/>
      <c r="C803" s="151"/>
      <c r="D803" s="151"/>
      <c r="E803" s="151"/>
      <c r="F803" s="151"/>
      <c r="G803" s="151"/>
      <c r="H803" s="151"/>
      <c r="I803" s="151"/>
      <c r="J803" s="151"/>
      <c r="K803" s="151"/>
      <c r="L803" s="151"/>
      <c r="M803" s="151"/>
      <c r="N803" s="151"/>
      <c r="O803" s="151"/>
      <c r="P803" s="151"/>
      <c r="Q803" s="151"/>
      <c r="R803" s="151"/>
      <c r="S803" s="151"/>
      <c r="T803" s="151"/>
      <c r="U803" s="151"/>
      <c r="V803" s="151"/>
      <c r="W803" s="151"/>
      <c r="X803" s="151"/>
      <c r="Y803" s="151"/>
      <c r="Z803" s="151"/>
    </row>
    <row r="804" ht="12.75" customHeight="1">
      <c r="A804" s="151"/>
      <c r="B804" s="151"/>
      <c r="C804" s="151"/>
      <c r="D804" s="151"/>
      <c r="E804" s="151"/>
      <c r="F804" s="151"/>
      <c r="G804" s="151"/>
      <c r="H804" s="151"/>
      <c r="I804" s="151"/>
      <c r="J804" s="151"/>
      <c r="K804" s="151"/>
      <c r="L804" s="151"/>
      <c r="M804" s="151"/>
      <c r="N804" s="151"/>
      <c r="O804" s="151"/>
      <c r="P804" s="151"/>
      <c r="Q804" s="151"/>
      <c r="R804" s="151"/>
      <c r="S804" s="151"/>
      <c r="T804" s="151"/>
      <c r="U804" s="151"/>
      <c r="V804" s="151"/>
      <c r="W804" s="151"/>
      <c r="X804" s="151"/>
      <c r="Y804" s="151"/>
      <c r="Z804" s="151"/>
    </row>
    <row r="805" ht="12.75" customHeight="1">
      <c r="A805" s="151"/>
      <c r="B805" s="151"/>
      <c r="C805" s="151"/>
      <c r="D805" s="151"/>
      <c r="E805" s="151"/>
      <c r="F805" s="151"/>
      <c r="G805" s="151"/>
      <c r="H805" s="151"/>
      <c r="I805" s="151"/>
      <c r="J805" s="151"/>
      <c r="K805" s="151"/>
      <c r="L805" s="151"/>
      <c r="M805" s="151"/>
      <c r="N805" s="151"/>
      <c r="O805" s="151"/>
      <c r="P805" s="151"/>
      <c r="Q805" s="151"/>
      <c r="R805" s="151"/>
      <c r="S805" s="151"/>
      <c r="T805" s="151"/>
      <c r="U805" s="151"/>
      <c r="V805" s="151"/>
      <c r="W805" s="151"/>
      <c r="X805" s="151"/>
      <c r="Y805" s="151"/>
      <c r="Z805" s="151"/>
    </row>
    <row r="806" ht="12.75" customHeight="1">
      <c r="A806" s="151"/>
      <c r="B806" s="151"/>
      <c r="C806" s="151"/>
      <c r="D806" s="151"/>
      <c r="E806" s="151"/>
      <c r="F806" s="151"/>
      <c r="G806" s="151"/>
      <c r="H806" s="151"/>
      <c r="I806" s="151"/>
      <c r="J806" s="151"/>
      <c r="K806" s="151"/>
      <c r="L806" s="151"/>
      <c r="M806" s="151"/>
      <c r="N806" s="151"/>
      <c r="O806" s="151"/>
      <c r="P806" s="151"/>
      <c r="Q806" s="151"/>
      <c r="R806" s="151"/>
      <c r="S806" s="151"/>
      <c r="T806" s="151"/>
      <c r="U806" s="151"/>
      <c r="V806" s="151"/>
      <c r="W806" s="151"/>
      <c r="X806" s="151"/>
      <c r="Y806" s="151"/>
      <c r="Z806" s="151"/>
    </row>
    <row r="807" ht="12.75" customHeight="1">
      <c r="A807" s="151"/>
      <c r="B807" s="151"/>
      <c r="C807" s="151"/>
      <c r="D807" s="151"/>
      <c r="E807" s="151"/>
      <c r="F807" s="151"/>
      <c r="G807" s="151"/>
      <c r="H807" s="151"/>
      <c r="I807" s="151"/>
      <c r="J807" s="151"/>
      <c r="K807" s="151"/>
      <c r="L807" s="151"/>
      <c r="M807" s="151"/>
      <c r="N807" s="151"/>
      <c r="O807" s="151"/>
      <c r="P807" s="151"/>
      <c r="Q807" s="151"/>
      <c r="R807" s="151"/>
      <c r="S807" s="151"/>
      <c r="T807" s="151"/>
      <c r="U807" s="151"/>
      <c r="V807" s="151"/>
      <c r="W807" s="151"/>
      <c r="X807" s="151"/>
      <c r="Y807" s="151"/>
      <c r="Z807" s="151"/>
    </row>
    <row r="808" ht="12.75" customHeight="1">
      <c r="A808" s="151"/>
      <c r="B808" s="151"/>
      <c r="C808" s="151"/>
      <c r="D808" s="151"/>
      <c r="E808" s="151"/>
      <c r="F808" s="151"/>
      <c r="G808" s="151"/>
      <c r="H808" s="151"/>
      <c r="I808" s="151"/>
      <c r="J808" s="151"/>
      <c r="K808" s="151"/>
      <c r="L808" s="151"/>
      <c r="M808" s="151"/>
      <c r="N808" s="151"/>
      <c r="O808" s="151"/>
      <c r="P808" s="151"/>
      <c r="Q808" s="151"/>
      <c r="R808" s="151"/>
      <c r="S808" s="151"/>
      <c r="T808" s="151"/>
      <c r="U808" s="151"/>
      <c r="V808" s="151"/>
      <c r="W808" s="151"/>
      <c r="X808" s="151"/>
      <c r="Y808" s="151"/>
      <c r="Z808" s="151"/>
    </row>
    <row r="809" ht="12.75" customHeight="1">
      <c r="A809" s="151"/>
      <c r="B809" s="151"/>
      <c r="C809" s="151"/>
      <c r="D809" s="151"/>
      <c r="E809" s="151"/>
      <c r="F809" s="151"/>
      <c r="G809" s="151"/>
      <c r="H809" s="151"/>
      <c r="I809" s="151"/>
      <c r="J809" s="151"/>
      <c r="K809" s="151"/>
      <c r="L809" s="151"/>
      <c r="M809" s="151"/>
      <c r="N809" s="151"/>
      <c r="O809" s="151"/>
      <c r="P809" s="151"/>
      <c r="Q809" s="151"/>
      <c r="R809" s="151"/>
      <c r="S809" s="151"/>
      <c r="T809" s="151"/>
      <c r="U809" s="151"/>
      <c r="V809" s="151"/>
      <c r="W809" s="151"/>
      <c r="X809" s="151"/>
      <c r="Y809" s="151"/>
      <c r="Z809" s="151"/>
    </row>
    <row r="810" ht="12.75" customHeight="1">
      <c r="A810" s="151"/>
      <c r="B810" s="151"/>
      <c r="C810" s="151"/>
      <c r="D810" s="151"/>
      <c r="E810" s="151"/>
      <c r="F810" s="151"/>
      <c r="G810" s="151"/>
      <c r="H810" s="151"/>
      <c r="I810" s="151"/>
      <c r="J810" s="151"/>
      <c r="K810" s="151"/>
      <c r="L810" s="151"/>
      <c r="M810" s="151"/>
      <c r="N810" s="151"/>
      <c r="O810" s="151"/>
      <c r="P810" s="151"/>
      <c r="Q810" s="151"/>
      <c r="R810" s="151"/>
      <c r="S810" s="151"/>
      <c r="T810" s="151"/>
      <c r="U810" s="151"/>
      <c r="V810" s="151"/>
      <c r="W810" s="151"/>
      <c r="X810" s="151"/>
      <c r="Y810" s="151"/>
      <c r="Z810" s="151"/>
    </row>
    <row r="811" ht="12.75" customHeight="1">
      <c r="A811" s="151"/>
      <c r="B811" s="151"/>
      <c r="C811" s="151"/>
      <c r="D811" s="151"/>
      <c r="E811" s="151"/>
      <c r="F811" s="151"/>
      <c r="G811" s="151"/>
      <c r="H811" s="151"/>
      <c r="I811" s="151"/>
      <c r="J811" s="151"/>
      <c r="K811" s="151"/>
      <c r="L811" s="151"/>
      <c r="M811" s="151"/>
      <c r="N811" s="151"/>
      <c r="O811" s="151"/>
      <c r="P811" s="151"/>
      <c r="Q811" s="151"/>
      <c r="R811" s="151"/>
      <c r="S811" s="151"/>
      <c r="T811" s="151"/>
      <c r="U811" s="151"/>
      <c r="V811" s="151"/>
      <c r="W811" s="151"/>
      <c r="X811" s="151"/>
      <c r="Y811" s="151"/>
      <c r="Z811" s="151"/>
    </row>
    <row r="812" ht="12.75" customHeight="1">
      <c r="A812" s="151"/>
      <c r="B812" s="151"/>
      <c r="C812" s="151"/>
      <c r="D812" s="151"/>
      <c r="E812" s="151"/>
      <c r="F812" s="151"/>
      <c r="G812" s="151"/>
      <c r="H812" s="151"/>
      <c r="I812" s="151"/>
      <c r="J812" s="151"/>
      <c r="K812" s="151"/>
      <c r="L812" s="151"/>
      <c r="M812" s="151"/>
      <c r="N812" s="151"/>
      <c r="O812" s="151"/>
      <c r="P812" s="151"/>
      <c r="Q812" s="151"/>
      <c r="R812" s="151"/>
      <c r="S812" s="151"/>
      <c r="T812" s="151"/>
      <c r="U812" s="151"/>
      <c r="V812" s="151"/>
      <c r="W812" s="151"/>
      <c r="X812" s="151"/>
      <c r="Y812" s="151"/>
      <c r="Z812" s="151"/>
    </row>
    <row r="813" ht="12.75" customHeight="1">
      <c r="A813" s="151"/>
      <c r="B813" s="151"/>
      <c r="C813" s="151"/>
      <c r="D813" s="151"/>
      <c r="E813" s="151"/>
      <c r="F813" s="151"/>
      <c r="G813" s="151"/>
      <c r="H813" s="151"/>
      <c r="I813" s="151"/>
      <c r="J813" s="151"/>
      <c r="K813" s="151"/>
      <c r="L813" s="151"/>
      <c r="M813" s="151"/>
      <c r="N813" s="151"/>
      <c r="O813" s="151"/>
      <c r="P813" s="151"/>
      <c r="Q813" s="151"/>
      <c r="R813" s="151"/>
      <c r="S813" s="151"/>
      <c r="T813" s="151"/>
      <c r="U813" s="151"/>
      <c r="V813" s="151"/>
      <c r="W813" s="151"/>
      <c r="X813" s="151"/>
      <c r="Y813" s="151"/>
      <c r="Z813" s="151"/>
    </row>
    <row r="814" ht="12.75" customHeight="1">
      <c r="A814" s="151"/>
      <c r="B814" s="151"/>
      <c r="C814" s="151"/>
      <c r="D814" s="151"/>
      <c r="E814" s="151"/>
      <c r="F814" s="151"/>
      <c r="G814" s="151"/>
      <c r="H814" s="151"/>
      <c r="I814" s="151"/>
      <c r="J814" s="151"/>
      <c r="K814" s="151"/>
      <c r="L814" s="151"/>
      <c r="M814" s="151"/>
      <c r="N814" s="151"/>
      <c r="O814" s="151"/>
      <c r="P814" s="151"/>
      <c r="Q814" s="151"/>
      <c r="R814" s="151"/>
      <c r="S814" s="151"/>
      <c r="T814" s="151"/>
      <c r="U814" s="151"/>
      <c r="V814" s="151"/>
      <c r="W814" s="151"/>
      <c r="X814" s="151"/>
      <c r="Y814" s="151"/>
      <c r="Z814" s="151"/>
    </row>
    <row r="815" ht="12.75" customHeight="1">
      <c r="A815" s="151"/>
      <c r="B815" s="151"/>
      <c r="C815" s="151"/>
      <c r="D815" s="151"/>
      <c r="E815" s="151"/>
      <c r="F815" s="151"/>
      <c r="G815" s="151"/>
      <c r="H815" s="151"/>
      <c r="I815" s="151"/>
      <c r="J815" s="151"/>
      <c r="K815" s="151"/>
      <c r="L815" s="151"/>
      <c r="M815" s="151"/>
      <c r="N815" s="151"/>
      <c r="O815" s="151"/>
      <c r="P815" s="151"/>
      <c r="Q815" s="151"/>
      <c r="R815" s="151"/>
      <c r="S815" s="151"/>
      <c r="T815" s="151"/>
      <c r="U815" s="151"/>
      <c r="V815" s="151"/>
      <c r="W815" s="151"/>
      <c r="X815" s="151"/>
      <c r="Y815" s="151"/>
      <c r="Z815" s="151"/>
    </row>
    <row r="816" ht="12.75" customHeight="1">
      <c r="A816" s="151"/>
      <c r="B816" s="151"/>
      <c r="C816" s="151"/>
      <c r="D816" s="151"/>
      <c r="E816" s="151"/>
      <c r="F816" s="151"/>
      <c r="G816" s="151"/>
      <c r="H816" s="151"/>
      <c r="I816" s="151"/>
      <c r="J816" s="151"/>
      <c r="K816" s="151"/>
      <c r="L816" s="151"/>
      <c r="M816" s="151"/>
      <c r="N816" s="151"/>
      <c r="O816" s="151"/>
      <c r="P816" s="151"/>
      <c r="Q816" s="151"/>
      <c r="R816" s="151"/>
      <c r="S816" s="151"/>
      <c r="T816" s="151"/>
      <c r="U816" s="151"/>
      <c r="V816" s="151"/>
      <c r="W816" s="151"/>
      <c r="X816" s="151"/>
      <c r="Y816" s="151"/>
      <c r="Z816" s="151"/>
    </row>
    <row r="817" ht="12.75" customHeight="1">
      <c r="A817" s="151"/>
      <c r="B817" s="151"/>
      <c r="C817" s="151"/>
      <c r="D817" s="151"/>
      <c r="E817" s="151"/>
      <c r="F817" s="151"/>
      <c r="G817" s="151"/>
      <c r="H817" s="151"/>
      <c r="I817" s="151"/>
      <c r="J817" s="151"/>
      <c r="K817" s="151"/>
      <c r="L817" s="151"/>
      <c r="M817" s="151"/>
      <c r="N817" s="151"/>
      <c r="O817" s="151"/>
      <c r="P817" s="151"/>
      <c r="Q817" s="151"/>
      <c r="R817" s="151"/>
      <c r="S817" s="151"/>
      <c r="T817" s="151"/>
      <c r="U817" s="151"/>
      <c r="V817" s="151"/>
      <c r="W817" s="151"/>
      <c r="X817" s="151"/>
      <c r="Y817" s="151"/>
      <c r="Z817" s="151"/>
    </row>
    <row r="818" ht="12.75" customHeight="1">
      <c r="A818" s="151"/>
      <c r="B818" s="151"/>
      <c r="C818" s="151"/>
      <c r="D818" s="151"/>
      <c r="E818" s="151"/>
      <c r="F818" s="151"/>
      <c r="G818" s="151"/>
      <c r="H818" s="151"/>
      <c r="I818" s="151"/>
      <c r="J818" s="151"/>
      <c r="K818" s="151"/>
      <c r="L818" s="151"/>
      <c r="M818" s="151"/>
      <c r="N818" s="151"/>
      <c r="O818" s="151"/>
      <c r="P818" s="151"/>
      <c r="Q818" s="151"/>
      <c r="R818" s="151"/>
      <c r="S818" s="151"/>
      <c r="T818" s="151"/>
      <c r="U818" s="151"/>
      <c r="V818" s="151"/>
      <c r="W818" s="151"/>
      <c r="X818" s="151"/>
      <c r="Y818" s="151"/>
      <c r="Z818" s="151"/>
    </row>
    <row r="819" ht="12.75" customHeight="1">
      <c r="A819" s="151"/>
      <c r="B819" s="151"/>
      <c r="C819" s="151"/>
      <c r="D819" s="151"/>
      <c r="E819" s="151"/>
      <c r="F819" s="151"/>
      <c r="G819" s="151"/>
      <c r="H819" s="151"/>
      <c r="I819" s="151"/>
      <c r="J819" s="151"/>
      <c r="K819" s="151"/>
      <c r="L819" s="151"/>
      <c r="M819" s="151"/>
      <c r="N819" s="151"/>
      <c r="O819" s="151"/>
      <c r="P819" s="151"/>
      <c r="Q819" s="151"/>
      <c r="R819" s="151"/>
      <c r="S819" s="151"/>
      <c r="T819" s="151"/>
      <c r="U819" s="151"/>
      <c r="V819" s="151"/>
      <c r="W819" s="151"/>
      <c r="X819" s="151"/>
      <c r="Y819" s="151"/>
      <c r="Z819" s="151"/>
    </row>
    <row r="820" ht="12.75" customHeight="1">
      <c r="A820" s="151"/>
      <c r="B820" s="151"/>
      <c r="C820" s="151"/>
      <c r="D820" s="151"/>
      <c r="E820" s="151"/>
      <c r="F820" s="151"/>
      <c r="G820" s="151"/>
      <c r="H820" s="151"/>
      <c r="I820" s="151"/>
      <c r="J820" s="151"/>
      <c r="K820" s="151"/>
      <c r="L820" s="151"/>
      <c r="M820" s="151"/>
      <c r="N820" s="151"/>
      <c r="O820" s="151"/>
      <c r="P820" s="151"/>
      <c r="Q820" s="151"/>
      <c r="R820" s="151"/>
      <c r="S820" s="151"/>
      <c r="T820" s="151"/>
      <c r="U820" s="151"/>
      <c r="V820" s="151"/>
      <c r="W820" s="151"/>
      <c r="X820" s="151"/>
      <c r="Y820" s="151"/>
      <c r="Z820" s="151"/>
    </row>
    <row r="821" ht="12.75" customHeight="1">
      <c r="A821" s="151"/>
      <c r="B821" s="151"/>
      <c r="C821" s="151"/>
      <c r="D821" s="151"/>
      <c r="E821" s="151"/>
      <c r="F821" s="151"/>
      <c r="G821" s="151"/>
      <c r="H821" s="151"/>
      <c r="I821" s="151"/>
      <c r="J821" s="151"/>
      <c r="K821" s="151"/>
      <c r="L821" s="151"/>
      <c r="M821" s="151"/>
      <c r="N821" s="151"/>
      <c r="O821" s="151"/>
      <c r="P821" s="151"/>
      <c r="Q821" s="151"/>
      <c r="R821" s="151"/>
      <c r="S821" s="151"/>
      <c r="T821" s="151"/>
      <c r="U821" s="151"/>
      <c r="V821" s="151"/>
      <c r="W821" s="151"/>
      <c r="X821" s="151"/>
      <c r="Y821" s="151"/>
      <c r="Z821" s="151"/>
    </row>
    <row r="822" ht="12.75" customHeight="1">
      <c r="A822" s="151"/>
      <c r="B822" s="151"/>
      <c r="C822" s="151"/>
      <c r="D822" s="151"/>
      <c r="E822" s="151"/>
      <c r="F822" s="151"/>
      <c r="G822" s="151"/>
      <c r="H822" s="151"/>
      <c r="I822" s="151"/>
      <c r="J822" s="151"/>
      <c r="K822" s="151"/>
      <c r="L822" s="151"/>
      <c r="M822" s="151"/>
      <c r="N822" s="151"/>
      <c r="O822" s="151"/>
      <c r="P822" s="151"/>
      <c r="Q822" s="151"/>
      <c r="R822" s="151"/>
      <c r="S822" s="151"/>
      <c r="T822" s="151"/>
      <c r="U822" s="151"/>
      <c r="V822" s="151"/>
      <c r="W822" s="151"/>
      <c r="X822" s="151"/>
      <c r="Y822" s="151"/>
      <c r="Z822" s="151"/>
    </row>
    <row r="823" ht="12.75" customHeight="1">
      <c r="A823" s="151"/>
      <c r="B823" s="151"/>
      <c r="C823" s="151"/>
      <c r="D823" s="151"/>
      <c r="E823" s="151"/>
      <c r="F823" s="151"/>
      <c r="G823" s="151"/>
      <c r="H823" s="151"/>
      <c r="I823" s="151"/>
      <c r="J823" s="151"/>
      <c r="K823" s="151"/>
      <c r="L823" s="151"/>
      <c r="M823" s="151"/>
      <c r="N823" s="151"/>
      <c r="O823" s="151"/>
      <c r="P823" s="151"/>
      <c r="Q823" s="151"/>
      <c r="R823" s="151"/>
      <c r="S823" s="151"/>
      <c r="T823" s="151"/>
      <c r="U823" s="151"/>
      <c r="V823" s="151"/>
      <c r="W823" s="151"/>
      <c r="X823" s="151"/>
      <c r="Y823" s="151"/>
      <c r="Z823" s="151"/>
    </row>
    <row r="824" ht="12.75" customHeight="1">
      <c r="A824" s="151"/>
      <c r="B824" s="151"/>
      <c r="C824" s="151"/>
      <c r="D824" s="151"/>
      <c r="E824" s="151"/>
      <c r="F824" s="151"/>
      <c r="G824" s="151"/>
      <c r="H824" s="151"/>
      <c r="I824" s="151"/>
      <c r="J824" s="151"/>
      <c r="K824" s="151"/>
      <c r="L824" s="151"/>
      <c r="M824" s="151"/>
      <c r="N824" s="151"/>
      <c r="O824" s="151"/>
      <c r="P824" s="151"/>
      <c r="Q824" s="151"/>
      <c r="R824" s="151"/>
      <c r="S824" s="151"/>
      <c r="T824" s="151"/>
      <c r="U824" s="151"/>
      <c r="V824" s="151"/>
      <c r="W824" s="151"/>
      <c r="X824" s="151"/>
      <c r="Y824" s="151"/>
      <c r="Z824" s="151"/>
    </row>
    <row r="825" ht="12.75" customHeight="1">
      <c r="A825" s="151"/>
      <c r="B825" s="151"/>
      <c r="C825" s="151"/>
      <c r="D825" s="151"/>
      <c r="E825" s="151"/>
      <c r="F825" s="151"/>
      <c r="G825" s="151"/>
      <c r="H825" s="151"/>
      <c r="I825" s="151"/>
      <c r="J825" s="151"/>
      <c r="K825" s="151"/>
      <c r="L825" s="151"/>
      <c r="M825" s="151"/>
      <c r="N825" s="151"/>
      <c r="O825" s="151"/>
      <c r="P825" s="151"/>
      <c r="Q825" s="151"/>
      <c r="R825" s="151"/>
      <c r="S825" s="151"/>
      <c r="T825" s="151"/>
      <c r="U825" s="151"/>
      <c r="V825" s="151"/>
      <c r="W825" s="151"/>
      <c r="X825" s="151"/>
      <c r="Y825" s="151"/>
      <c r="Z825" s="151"/>
    </row>
    <row r="826" ht="12.75" customHeight="1">
      <c r="A826" s="151"/>
      <c r="B826" s="151"/>
      <c r="C826" s="151"/>
      <c r="D826" s="151"/>
      <c r="E826" s="151"/>
      <c r="F826" s="151"/>
      <c r="G826" s="151"/>
      <c r="H826" s="151"/>
      <c r="I826" s="151"/>
      <c r="J826" s="151"/>
      <c r="K826" s="151"/>
      <c r="L826" s="151"/>
      <c r="M826" s="151"/>
      <c r="N826" s="151"/>
      <c r="O826" s="151"/>
      <c r="P826" s="151"/>
      <c r="Q826" s="151"/>
      <c r="R826" s="151"/>
      <c r="S826" s="151"/>
      <c r="T826" s="151"/>
      <c r="U826" s="151"/>
      <c r="V826" s="151"/>
      <c r="W826" s="151"/>
      <c r="X826" s="151"/>
      <c r="Y826" s="151"/>
      <c r="Z826" s="151"/>
    </row>
    <row r="827" ht="12.75" customHeight="1">
      <c r="A827" s="151"/>
      <c r="B827" s="151"/>
      <c r="C827" s="151"/>
      <c r="D827" s="151"/>
      <c r="E827" s="151"/>
      <c r="F827" s="151"/>
      <c r="G827" s="151"/>
      <c r="H827" s="151"/>
      <c r="I827" s="151"/>
      <c r="J827" s="151"/>
      <c r="K827" s="151"/>
      <c r="L827" s="151"/>
      <c r="M827" s="151"/>
      <c r="N827" s="151"/>
      <c r="O827" s="151"/>
      <c r="P827" s="151"/>
      <c r="Q827" s="151"/>
      <c r="R827" s="151"/>
      <c r="S827" s="151"/>
      <c r="T827" s="151"/>
      <c r="U827" s="151"/>
      <c r="V827" s="151"/>
      <c r="W827" s="151"/>
      <c r="X827" s="151"/>
      <c r="Y827" s="151"/>
      <c r="Z827" s="151"/>
    </row>
    <row r="828" ht="12.75" customHeight="1">
      <c r="A828" s="151"/>
      <c r="B828" s="151"/>
      <c r="C828" s="151"/>
      <c r="D828" s="151"/>
      <c r="E828" s="151"/>
      <c r="F828" s="151"/>
      <c r="G828" s="151"/>
      <c r="H828" s="151"/>
      <c r="I828" s="151"/>
      <c r="J828" s="151"/>
      <c r="K828" s="151"/>
      <c r="L828" s="151"/>
      <c r="M828" s="151"/>
      <c r="N828" s="151"/>
      <c r="O828" s="151"/>
      <c r="P828" s="151"/>
      <c r="Q828" s="151"/>
      <c r="R828" s="151"/>
      <c r="S828" s="151"/>
      <c r="T828" s="151"/>
      <c r="U828" s="151"/>
      <c r="V828" s="151"/>
      <c r="W828" s="151"/>
      <c r="X828" s="151"/>
      <c r="Y828" s="151"/>
      <c r="Z828" s="151"/>
    </row>
    <row r="829" ht="12.75" customHeight="1">
      <c r="A829" s="151"/>
      <c r="B829" s="151"/>
      <c r="C829" s="151"/>
      <c r="D829" s="151"/>
      <c r="E829" s="151"/>
      <c r="F829" s="151"/>
      <c r="G829" s="151"/>
      <c r="H829" s="151"/>
      <c r="I829" s="151"/>
      <c r="J829" s="151"/>
      <c r="K829" s="151"/>
      <c r="L829" s="151"/>
      <c r="M829" s="151"/>
      <c r="N829" s="151"/>
      <c r="O829" s="151"/>
      <c r="P829" s="151"/>
      <c r="Q829" s="151"/>
      <c r="R829" s="151"/>
      <c r="S829" s="151"/>
      <c r="T829" s="151"/>
      <c r="U829" s="151"/>
      <c r="V829" s="151"/>
      <c r="W829" s="151"/>
      <c r="X829" s="151"/>
      <c r="Y829" s="151"/>
      <c r="Z829" s="151"/>
    </row>
    <row r="830" ht="12.75" customHeight="1">
      <c r="A830" s="151"/>
      <c r="B830" s="151"/>
      <c r="C830" s="151"/>
      <c r="D830" s="151"/>
      <c r="E830" s="151"/>
      <c r="F830" s="151"/>
      <c r="G830" s="151"/>
      <c r="H830" s="151"/>
      <c r="I830" s="151"/>
      <c r="J830" s="151"/>
      <c r="K830" s="151"/>
      <c r="L830" s="151"/>
      <c r="M830" s="151"/>
      <c r="N830" s="151"/>
      <c r="O830" s="151"/>
      <c r="P830" s="151"/>
      <c r="Q830" s="151"/>
      <c r="R830" s="151"/>
      <c r="S830" s="151"/>
      <c r="T830" s="151"/>
      <c r="U830" s="151"/>
      <c r="V830" s="151"/>
      <c r="W830" s="151"/>
      <c r="X830" s="151"/>
      <c r="Y830" s="151"/>
      <c r="Z830" s="151"/>
    </row>
    <row r="831" ht="12.75" customHeight="1">
      <c r="A831" s="151"/>
      <c r="B831" s="151"/>
      <c r="C831" s="151"/>
      <c r="D831" s="151"/>
      <c r="E831" s="151"/>
      <c r="F831" s="151"/>
      <c r="G831" s="151"/>
      <c r="H831" s="151"/>
      <c r="I831" s="151"/>
      <c r="J831" s="151"/>
      <c r="K831" s="151"/>
      <c r="L831" s="151"/>
      <c r="M831" s="151"/>
      <c r="N831" s="151"/>
      <c r="O831" s="151"/>
      <c r="P831" s="151"/>
      <c r="Q831" s="151"/>
      <c r="R831" s="151"/>
      <c r="S831" s="151"/>
      <c r="T831" s="151"/>
      <c r="U831" s="151"/>
      <c r="V831" s="151"/>
      <c r="W831" s="151"/>
      <c r="X831" s="151"/>
      <c r="Y831" s="151"/>
      <c r="Z831" s="151"/>
    </row>
    <row r="832" ht="12.75" customHeight="1">
      <c r="A832" s="151"/>
      <c r="B832" s="151"/>
      <c r="C832" s="151"/>
      <c r="D832" s="151"/>
      <c r="E832" s="151"/>
      <c r="F832" s="151"/>
      <c r="G832" s="151"/>
      <c r="H832" s="151"/>
      <c r="I832" s="151"/>
      <c r="J832" s="151"/>
      <c r="K832" s="151"/>
      <c r="L832" s="151"/>
      <c r="M832" s="151"/>
      <c r="N832" s="151"/>
      <c r="O832" s="151"/>
      <c r="P832" s="151"/>
      <c r="Q832" s="151"/>
      <c r="R832" s="151"/>
      <c r="S832" s="151"/>
      <c r="T832" s="151"/>
      <c r="U832" s="151"/>
      <c r="V832" s="151"/>
      <c r="W832" s="151"/>
      <c r="X832" s="151"/>
      <c r="Y832" s="151"/>
      <c r="Z832" s="151"/>
    </row>
    <row r="833" ht="12.75" customHeight="1">
      <c r="A833" s="151"/>
      <c r="B833" s="151"/>
      <c r="C833" s="151"/>
      <c r="D833" s="151"/>
      <c r="E833" s="151"/>
      <c r="F833" s="151"/>
      <c r="G833" s="151"/>
      <c r="H833" s="151"/>
      <c r="I833" s="151"/>
      <c r="J833" s="151"/>
      <c r="K833" s="151"/>
      <c r="L833" s="151"/>
      <c r="M833" s="151"/>
      <c r="N833" s="151"/>
      <c r="O833" s="151"/>
      <c r="P833" s="151"/>
      <c r="Q833" s="151"/>
      <c r="R833" s="151"/>
      <c r="S833" s="151"/>
      <c r="T833" s="151"/>
      <c r="U833" s="151"/>
      <c r="V833" s="151"/>
      <c r="W833" s="151"/>
      <c r="X833" s="151"/>
      <c r="Y833" s="151"/>
      <c r="Z833" s="151"/>
    </row>
    <row r="834" ht="12.75" customHeight="1">
      <c r="A834" s="151"/>
      <c r="B834" s="151"/>
      <c r="C834" s="151"/>
      <c r="D834" s="151"/>
      <c r="E834" s="151"/>
      <c r="F834" s="151"/>
      <c r="G834" s="151"/>
      <c r="H834" s="151"/>
      <c r="I834" s="151"/>
      <c r="J834" s="151"/>
      <c r="K834" s="151"/>
      <c r="L834" s="151"/>
      <c r="M834" s="151"/>
      <c r="N834" s="151"/>
      <c r="O834" s="151"/>
      <c r="P834" s="151"/>
      <c r="Q834" s="151"/>
      <c r="R834" s="151"/>
      <c r="S834" s="151"/>
      <c r="T834" s="151"/>
      <c r="U834" s="151"/>
      <c r="V834" s="151"/>
      <c r="W834" s="151"/>
      <c r="X834" s="151"/>
      <c r="Y834" s="151"/>
      <c r="Z834" s="151"/>
    </row>
    <row r="835" ht="12.75" customHeight="1">
      <c r="A835" s="151"/>
      <c r="B835" s="151"/>
      <c r="C835" s="151"/>
      <c r="D835" s="151"/>
      <c r="E835" s="151"/>
      <c r="F835" s="151"/>
      <c r="G835" s="151"/>
      <c r="H835" s="151"/>
      <c r="I835" s="151"/>
      <c r="J835" s="151"/>
      <c r="K835" s="151"/>
      <c r="L835" s="151"/>
      <c r="M835" s="151"/>
      <c r="N835" s="151"/>
      <c r="O835" s="151"/>
      <c r="P835" s="151"/>
      <c r="Q835" s="151"/>
      <c r="R835" s="151"/>
      <c r="S835" s="151"/>
      <c r="T835" s="151"/>
      <c r="U835" s="151"/>
      <c r="V835" s="151"/>
      <c r="W835" s="151"/>
      <c r="X835" s="151"/>
      <c r="Y835" s="151"/>
      <c r="Z835" s="151"/>
    </row>
    <row r="836" ht="12.75" customHeight="1">
      <c r="A836" s="151"/>
      <c r="B836" s="151"/>
      <c r="C836" s="151"/>
      <c r="D836" s="151"/>
      <c r="E836" s="151"/>
      <c r="F836" s="151"/>
      <c r="G836" s="151"/>
      <c r="H836" s="151"/>
      <c r="I836" s="151"/>
      <c r="J836" s="151"/>
      <c r="K836" s="151"/>
      <c r="L836" s="151"/>
      <c r="M836" s="151"/>
      <c r="N836" s="151"/>
      <c r="O836" s="151"/>
      <c r="P836" s="151"/>
      <c r="Q836" s="151"/>
      <c r="R836" s="151"/>
      <c r="S836" s="151"/>
      <c r="T836" s="151"/>
      <c r="U836" s="151"/>
      <c r="V836" s="151"/>
      <c r="W836" s="151"/>
      <c r="X836" s="151"/>
      <c r="Y836" s="151"/>
      <c r="Z836" s="151"/>
    </row>
    <row r="837" ht="12.75" customHeight="1">
      <c r="A837" s="151"/>
      <c r="B837" s="151"/>
      <c r="C837" s="151"/>
      <c r="D837" s="151"/>
      <c r="E837" s="151"/>
      <c r="F837" s="151"/>
      <c r="G837" s="151"/>
      <c r="H837" s="151"/>
      <c r="I837" s="151"/>
      <c r="J837" s="151"/>
      <c r="K837" s="151"/>
      <c r="L837" s="151"/>
      <c r="M837" s="151"/>
      <c r="N837" s="151"/>
      <c r="O837" s="151"/>
      <c r="P837" s="151"/>
      <c r="Q837" s="151"/>
      <c r="R837" s="151"/>
      <c r="S837" s="151"/>
      <c r="T837" s="151"/>
      <c r="U837" s="151"/>
      <c r="V837" s="151"/>
      <c r="W837" s="151"/>
      <c r="X837" s="151"/>
      <c r="Y837" s="151"/>
      <c r="Z837" s="151"/>
    </row>
    <row r="838" ht="12.75" customHeight="1">
      <c r="A838" s="151"/>
      <c r="B838" s="151"/>
      <c r="C838" s="151"/>
      <c r="D838" s="151"/>
      <c r="E838" s="151"/>
      <c r="F838" s="151"/>
      <c r="G838" s="151"/>
      <c r="H838" s="151"/>
      <c r="I838" s="151"/>
      <c r="J838" s="151"/>
      <c r="K838" s="151"/>
      <c r="L838" s="151"/>
      <c r="M838" s="151"/>
      <c r="N838" s="151"/>
      <c r="O838" s="151"/>
      <c r="P838" s="151"/>
      <c r="Q838" s="151"/>
      <c r="R838" s="151"/>
      <c r="S838" s="151"/>
      <c r="T838" s="151"/>
      <c r="U838" s="151"/>
      <c r="V838" s="151"/>
      <c r="W838" s="151"/>
      <c r="X838" s="151"/>
      <c r="Y838" s="151"/>
      <c r="Z838" s="151"/>
    </row>
    <row r="839" ht="12.75" customHeight="1">
      <c r="A839" s="151"/>
      <c r="B839" s="151"/>
      <c r="C839" s="151"/>
      <c r="D839" s="151"/>
      <c r="E839" s="151"/>
      <c r="F839" s="151"/>
      <c r="G839" s="151"/>
      <c r="H839" s="151"/>
      <c r="I839" s="151"/>
      <c r="J839" s="151"/>
      <c r="K839" s="151"/>
      <c r="L839" s="151"/>
      <c r="M839" s="151"/>
      <c r="N839" s="151"/>
      <c r="O839" s="151"/>
      <c r="P839" s="151"/>
      <c r="Q839" s="151"/>
      <c r="R839" s="151"/>
      <c r="S839" s="151"/>
      <c r="T839" s="151"/>
      <c r="U839" s="151"/>
      <c r="V839" s="151"/>
      <c r="W839" s="151"/>
      <c r="X839" s="151"/>
      <c r="Y839" s="151"/>
      <c r="Z839" s="151"/>
    </row>
    <row r="840" ht="12.75" customHeight="1">
      <c r="A840" s="151"/>
      <c r="B840" s="151"/>
      <c r="C840" s="151"/>
      <c r="D840" s="151"/>
      <c r="E840" s="151"/>
      <c r="F840" s="151"/>
      <c r="G840" s="151"/>
      <c r="H840" s="151"/>
      <c r="I840" s="151"/>
      <c r="J840" s="151"/>
      <c r="K840" s="151"/>
      <c r="L840" s="151"/>
      <c r="M840" s="151"/>
      <c r="N840" s="151"/>
      <c r="O840" s="151"/>
      <c r="P840" s="151"/>
      <c r="Q840" s="151"/>
      <c r="R840" s="151"/>
      <c r="S840" s="151"/>
      <c r="T840" s="151"/>
      <c r="U840" s="151"/>
      <c r="V840" s="151"/>
      <c r="W840" s="151"/>
      <c r="X840" s="151"/>
      <c r="Y840" s="151"/>
      <c r="Z840" s="151"/>
    </row>
    <row r="841" ht="12.75" customHeight="1">
      <c r="A841" s="151"/>
      <c r="B841" s="151"/>
      <c r="C841" s="151"/>
      <c r="D841" s="151"/>
      <c r="E841" s="151"/>
      <c r="F841" s="151"/>
      <c r="G841" s="151"/>
      <c r="H841" s="151"/>
      <c r="I841" s="151"/>
      <c r="J841" s="151"/>
      <c r="K841" s="151"/>
      <c r="L841" s="151"/>
      <c r="M841" s="151"/>
      <c r="N841" s="151"/>
      <c r="O841" s="151"/>
      <c r="P841" s="151"/>
      <c r="Q841" s="151"/>
      <c r="R841" s="151"/>
      <c r="S841" s="151"/>
      <c r="T841" s="151"/>
      <c r="U841" s="151"/>
      <c r="V841" s="151"/>
      <c r="W841" s="151"/>
      <c r="X841" s="151"/>
      <c r="Y841" s="151"/>
      <c r="Z841" s="151"/>
    </row>
    <row r="842" ht="12.75" customHeight="1">
      <c r="A842" s="151"/>
      <c r="B842" s="151"/>
      <c r="C842" s="151"/>
      <c r="D842" s="151"/>
      <c r="E842" s="151"/>
      <c r="F842" s="151"/>
      <c r="G842" s="151"/>
      <c r="H842" s="151"/>
      <c r="I842" s="151"/>
      <c r="J842" s="151"/>
      <c r="K842" s="151"/>
      <c r="L842" s="151"/>
      <c r="M842" s="151"/>
      <c r="N842" s="151"/>
      <c r="O842" s="151"/>
      <c r="P842" s="151"/>
      <c r="Q842" s="151"/>
      <c r="R842" s="151"/>
      <c r="S842" s="151"/>
      <c r="T842" s="151"/>
      <c r="U842" s="151"/>
      <c r="V842" s="151"/>
      <c r="W842" s="151"/>
      <c r="X842" s="151"/>
      <c r="Y842" s="151"/>
      <c r="Z842" s="151"/>
    </row>
    <row r="843" ht="12.75" customHeight="1">
      <c r="A843" s="151"/>
      <c r="B843" s="151"/>
      <c r="C843" s="151"/>
      <c r="D843" s="151"/>
      <c r="E843" s="151"/>
      <c r="F843" s="151"/>
      <c r="G843" s="151"/>
      <c r="H843" s="151"/>
      <c r="I843" s="151"/>
      <c r="J843" s="151"/>
      <c r="K843" s="151"/>
      <c r="L843" s="151"/>
      <c r="M843" s="151"/>
      <c r="N843" s="151"/>
      <c r="O843" s="151"/>
      <c r="P843" s="151"/>
      <c r="Q843" s="151"/>
      <c r="R843" s="151"/>
      <c r="S843" s="151"/>
      <c r="T843" s="151"/>
      <c r="U843" s="151"/>
      <c r="V843" s="151"/>
      <c r="W843" s="151"/>
      <c r="X843" s="151"/>
      <c r="Y843" s="151"/>
      <c r="Z843" s="151"/>
    </row>
    <row r="844" ht="12.75" customHeight="1">
      <c r="A844" s="151"/>
      <c r="B844" s="151"/>
      <c r="C844" s="151"/>
      <c r="D844" s="151"/>
      <c r="E844" s="151"/>
      <c r="F844" s="151"/>
      <c r="G844" s="151"/>
      <c r="H844" s="151"/>
      <c r="I844" s="151"/>
      <c r="J844" s="151"/>
      <c r="K844" s="151"/>
      <c r="L844" s="151"/>
      <c r="M844" s="151"/>
      <c r="N844" s="151"/>
      <c r="O844" s="151"/>
      <c r="P844" s="151"/>
      <c r="Q844" s="151"/>
      <c r="R844" s="151"/>
      <c r="S844" s="151"/>
      <c r="T844" s="151"/>
      <c r="U844" s="151"/>
      <c r="V844" s="151"/>
      <c r="W844" s="151"/>
      <c r="X844" s="151"/>
      <c r="Y844" s="151"/>
      <c r="Z844" s="151"/>
    </row>
    <row r="845" ht="12.75" customHeight="1">
      <c r="A845" s="151"/>
      <c r="B845" s="151"/>
      <c r="C845" s="151"/>
      <c r="D845" s="151"/>
      <c r="E845" s="151"/>
      <c r="F845" s="151"/>
      <c r="G845" s="151"/>
      <c r="H845" s="151"/>
      <c r="I845" s="151"/>
      <c r="J845" s="151"/>
      <c r="K845" s="151"/>
      <c r="L845" s="151"/>
      <c r="M845" s="151"/>
      <c r="N845" s="151"/>
      <c r="O845" s="151"/>
      <c r="P845" s="151"/>
      <c r="Q845" s="151"/>
      <c r="R845" s="151"/>
      <c r="S845" s="151"/>
      <c r="T845" s="151"/>
      <c r="U845" s="151"/>
      <c r="V845" s="151"/>
      <c r="W845" s="151"/>
      <c r="X845" s="151"/>
      <c r="Y845" s="151"/>
      <c r="Z845" s="151"/>
    </row>
    <row r="846" ht="12.75" customHeight="1">
      <c r="A846" s="151"/>
      <c r="B846" s="151"/>
      <c r="C846" s="151"/>
      <c r="D846" s="151"/>
      <c r="E846" s="151"/>
      <c r="F846" s="151"/>
      <c r="G846" s="151"/>
      <c r="H846" s="151"/>
      <c r="I846" s="151"/>
      <c r="J846" s="151"/>
      <c r="K846" s="151"/>
      <c r="L846" s="151"/>
      <c r="M846" s="151"/>
      <c r="N846" s="151"/>
      <c r="O846" s="151"/>
      <c r="P846" s="151"/>
      <c r="Q846" s="151"/>
      <c r="R846" s="151"/>
      <c r="S846" s="151"/>
      <c r="T846" s="151"/>
      <c r="U846" s="151"/>
      <c r="V846" s="151"/>
      <c r="W846" s="151"/>
      <c r="X846" s="151"/>
      <c r="Y846" s="151"/>
      <c r="Z846" s="151"/>
    </row>
    <row r="847" ht="12.75" customHeight="1">
      <c r="A847" s="151"/>
      <c r="B847" s="151"/>
      <c r="C847" s="151"/>
      <c r="D847" s="151"/>
      <c r="E847" s="151"/>
      <c r="F847" s="151"/>
      <c r="G847" s="151"/>
      <c r="H847" s="151"/>
      <c r="I847" s="151"/>
      <c r="J847" s="151"/>
      <c r="K847" s="151"/>
      <c r="L847" s="151"/>
      <c r="M847" s="151"/>
      <c r="N847" s="151"/>
      <c r="O847" s="151"/>
      <c r="P847" s="151"/>
      <c r="Q847" s="151"/>
      <c r="R847" s="151"/>
      <c r="S847" s="151"/>
      <c r="T847" s="151"/>
      <c r="U847" s="151"/>
      <c r="V847" s="151"/>
      <c r="W847" s="151"/>
      <c r="X847" s="151"/>
      <c r="Y847" s="151"/>
      <c r="Z847" s="151"/>
    </row>
    <row r="848" ht="12.75" customHeight="1">
      <c r="A848" s="151"/>
      <c r="B848" s="151"/>
      <c r="C848" s="151"/>
      <c r="D848" s="151"/>
      <c r="E848" s="151"/>
      <c r="F848" s="151"/>
      <c r="G848" s="151"/>
      <c r="H848" s="151"/>
      <c r="I848" s="151"/>
      <c r="J848" s="151"/>
      <c r="K848" s="151"/>
      <c r="L848" s="151"/>
      <c r="M848" s="151"/>
      <c r="N848" s="151"/>
      <c r="O848" s="151"/>
      <c r="P848" s="151"/>
      <c r="Q848" s="151"/>
      <c r="R848" s="151"/>
      <c r="S848" s="151"/>
      <c r="T848" s="151"/>
      <c r="U848" s="151"/>
      <c r="V848" s="151"/>
      <c r="W848" s="151"/>
      <c r="X848" s="151"/>
      <c r="Y848" s="151"/>
      <c r="Z848" s="151"/>
    </row>
    <row r="849" ht="12.75" customHeight="1">
      <c r="A849" s="151"/>
      <c r="B849" s="151"/>
      <c r="C849" s="151"/>
      <c r="D849" s="151"/>
      <c r="E849" s="151"/>
      <c r="F849" s="151"/>
      <c r="G849" s="151"/>
      <c r="H849" s="151"/>
      <c r="I849" s="151"/>
      <c r="J849" s="151"/>
      <c r="K849" s="151"/>
      <c r="L849" s="151"/>
      <c r="M849" s="151"/>
      <c r="N849" s="151"/>
      <c r="O849" s="151"/>
      <c r="P849" s="151"/>
      <c r="Q849" s="151"/>
      <c r="R849" s="151"/>
      <c r="S849" s="151"/>
      <c r="T849" s="151"/>
      <c r="U849" s="151"/>
      <c r="V849" s="151"/>
      <c r="W849" s="151"/>
      <c r="X849" s="151"/>
      <c r="Y849" s="151"/>
      <c r="Z849" s="151"/>
    </row>
    <row r="850" ht="12.75" customHeight="1">
      <c r="A850" s="151"/>
      <c r="B850" s="151"/>
      <c r="C850" s="151"/>
      <c r="D850" s="151"/>
      <c r="E850" s="151"/>
      <c r="F850" s="151"/>
      <c r="G850" s="151"/>
      <c r="H850" s="151"/>
      <c r="I850" s="151"/>
      <c r="J850" s="151"/>
      <c r="K850" s="151"/>
      <c r="L850" s="151"/>
      <c r="M850" s="151"/>
      <c r="N850" s="151"/>
      <c r="O850" s="151"/>
      <c r="P850" s="151"/>
      <c r="Q850" s="151"/>
      <c r="R850" s="151"/>
      <c r="S850" s="151"/>
      <c r="T850" s="151"/>
      <c r="U850" s="151"/>
      <c r="V850" s="151"/>
      <c r="W850" s="151"/>
      <c r="X850" s="151"/>
      <c r="Y850" s="151"/>
      <c r="Z850" s="151"/>
    </row>
    <row r="851" ht="12.75" customHeight="1">
      <c r="A851" s="151"/>
      <c r="B851" s="151"/>
      <c r="C851" s="151"/>
      <c r="D851" s="151"/>
      <c r="E851" s="151"/>
      <c r="F851" s="151"/>
      <c r="G851" s="151"/>
      <c r="H851" s="151"/>
      <c r="I851" s="151"/>
      <c r="J851" s="151"/>
      <c r="K851" s="151"/>
      <c r="L851" s="151"/>
      <c r="M851" s="151"/>
      <c r="N851" s="151"/>
      <c r="O851" s="151"/>
      <c r="P851" s="151"/>
      <c r="Q851" s="151"/>
      <c r="R851" s="151"/>
      <c r="S851" s="151"/>
      <c r="T851" s="151"/>
      <c r="U851" s="151"/>
      <c r="V851" s="151"/>
      <c r="W851" s="151"/>
      <c r="X851" s="151"/>
      <c r="Y851" s="151"/>
      <c r="Z851" s="151"/>
    </row>
    <row r="852" ht="12.75" customHeight="1">
      <c r="A852" s="151"/>
      <c r="B852" s="151"/>
      <c r="C852" s="151"/>
      <c r="D852" s="151"/>
      <c r="E852" s="151"/>
      <c r="F852" s="151"/>
      <c r="G852" s="151"/>
      <c r="H852" s="151"/>
      <c r="I852" s="151"/>
      <c r="J852" s="151"/>
      <c r="K852" s="151"/>
      <c r="L852" s="151"/>
      <c r="M852" s="151"/>
      <c r="N852" s="151"/>
      <c r="O852" s="151"/>
      <c r="P852" s="151"/>
      <c r="Q852" s="151"/>
      <c r="R852" s="151"/>
      <c r="S852" s="151"/>
      <c r="T852" s="151"/>
      <c r="U852" s="151"/>
      <c r="V852" s="151"/>
      <c r="W852" s="151"/>
      <c r="X852" s="151"/>
      <c r="Y852" s="151"/>
      <c r="Z852" s="151"/>
    </row>
    <row r="853" ht="12.75" customHeight="1">
      <c r="A853" s="151"/>
      <c r="B853" s="151"/>
      <c r="C853" s="151"/>
      <c r="D853" s="151"/>
      <c r="E853" s="151"/>
      <c r="F853" s="151"/>
      <c r="G853" s="151"/>
      <c r="H853" s="151"/>
      <c r="I853" s="151"/>
      <c r="J853" s="151"/>
      <c r="K853" s="151"/>
      <c r="L853" s="151"/>
      <c r="M853" s="151"/>
      <c r="N853" s="151"/>
      <c r="O853" s="151"/>
      <c r="P853" s="151"/>
      <c r="Q853" s="151"/>
      <c r="R853" s="151"/>
      <c r="S853" s="151"/>
      <c r="T853" s="151"/>
      <c r="U853" s="151"/>
      <c r="V853" s="151"/>
      <c r="W853" s="151"/>
      <c r="X853" s="151"/>
      <c r="Y853" s="151"/>
      <c r="Z853" s="151"/>
    </row>
    <row r="854" ht="12.75" customHeight="1">
      <c r="A854" s="151"/>
      <c r="B854" s="151"/>
      <c r="C854" s="151"/>
      <c r="D854" s="151"/>
      <c r="E854" s="151"/>
      <c r="F854" s="151"/>
      <c r="G854" s="151"/>
      <c r="H854" s="151"/>
      <c r="I854" s="151"/>
      <c r="J854" s="151"/>
      <c r="K854" s="151"/>
      <c r="L854" s="151"/>
      <c r="M854" s="151"/>
      <c r="N854" s="151"/>
      <c r="O854" s="151"/>
      <c r="P854" s="151"/>
      <c r="Q854" s="151"/>
      <c r="R854" s="151"/>
      <c r="S854" s="151"/>
      <c r="T854" s="151"/>
      <c r="U854" s="151"/>
      <c r="V854" s="151"/>
      <c r="W854" s="151"/>
      <c r="X854" s="151"/>
      <c r="Y854" s="151"/>
      <c r="Z854" s="151"/>
    </row>
    <row r="855" ht="12.75" customHeight="1">
      <c r="A855" s="151"/>
      <c r="B855" s="151"/>
      <c r="C855" s="151"/>
      <c r="D855" s="151"/>
      <c r="E855" s="151"/>
      <c r="F855" s="151"/>
      <c r="G855" s="151"/>
      <c r="H855" s="151"/>
      <c r="I855" s="151"/>
      <c r="J855" s="151"/>
      <c r="K855" s="151"/>
      <c r="L855" s="151"/>
      <c r="M855" s="151"/>
      <c r="N855" s="151"/>
      <c r="O855" s="151"/>
      <c r="P855" s="151"/>
      <c r="Q855" s="151"/>
      <c r="R855" s="151"/>
      <c r="S855" s="151"/>
      <c r="T855" s="151"/>
      <c r="U855" s="151"/>
      <c r="V855" s="151"/>
      <c r="W855" s="151"/>
      <c r="X855" s="151"/>
      <c r="Y855" s="151"/>
      <c r="Z855" s="151"/>
    </row>
    <row r="856" ht="12.75" customHeight="1">
      <c r="A856" s="151"/>
      <c r="B856" s="151"/>
      <c r="C856" s="151"/>
      <c r="D856" s="151"/>
      <c r="E856" s="151"/>
      <c r="F856" s="151"/>
      <c r="G856" s="151"/>
      <c r="H856" s="151"/>
      <c r="I856" s="151"/>
      <c r="J856" s="151"/>
      <c r="K856" s="151"/>
      <c r="L856" s="151"/>
      <c r="M856" s="151"/>
      <c r="N856" s="151"/>
      <c r="O856" s="151"/>
      <c r="P856" s="151"/>
      <c r="Q856" s="151"/>
      <c r="R856" s="151"/>
      <c r="S856" s="151"/>
      <c r="T856" s="151"/>
      <c r="U856" s="151"/>
      <c r="V856" s="151"/>
      <c r="W856" s="151"/>
      <c r="X856" s="151"/>
      <c r="Y856" s="151"/>
      <c r="Z856" s="151"/>
    </row>
    <row r="857" ht="12.75" customHeight="1">
      <c r="A857" s="151"/>
      <c r="B857" s="151"/>
      <c r="C857" s="151"/>
      <c r="D857" s="151"/>
      <c r="E857" s="151"/>
      <c r="F857" s="151"/>
      <c r="G857" s="151"/>
      <c r="H857" s="151"/>
      <c r="I857" s="151"/>
      <c r="J857" s="151"/>
      <c r="K857" s="151"/>
      <c r="L857" s="151"/>
      <c r="M857" s="151"/>
      <c r="N857" s="151"/>
      <c r="O857" s="151"/>
      <c r="P857" s="151"/>
      <c r="Q857" s="151"/>
      <c r="R857" s="151"/>
      <c r="S857" s="151"/>
      <c r="T857" s="151"/>
      <c r="U857" s="151"/>
      <c r="V857" s="151"/>
      <c r="W857" s="151"/>
      <c r="X857" s="151"/>
      <c r="Y857" s="151"/>
      <c r="Z857" s="151"/>
    </row>
    <row r="858" ht="12.75" customHeight="1">
      <c r="A858" s="151"/>
      <c r="B858" s="151"/>
      <c r="C858" s="151"/>
      <c r="D858" s="151"/>
      <c r="E858" s="151"/>
      <c r="F858" s="151"/>
      <c r="G858" s="151"/>
      <c r="H858" s="151"/>
      <c r="I858" s="151"/>
      <c r="J858" s="151"/>
      <c r="K858" s="151"/>
      <c r="L858" s="151"/>
      <c r="M858" s="151"/>
      <c r="N858" s="151"/>
      <c r="O858" s="151"/>
      <c r="P858" s="151"/>
      <c r="Q858" s="151"/>
      <c r="R858" s="151"/>
      <c r="S858" s="151"/>
      <c r="T858" s="151"/>
      <c r="U858" s="151"/>
      <c r="V858" s="151"/>
      <c r="W858" s="151"/>
      <c r="X858" s="151"/>
      <c r="Y858" s="151"/>
      <c r="Z858" s="151"/>
    </row>
    <row r="859" ht="12.75" customHeight="1">
      <c r="A859" s="151"/>
      <c r="B859" s="151"/>
      <c r="C859" s="151"/>
      <c r="D859" s="151"/>
      <c r="E859" s="151"/>
      <c r="F859" s="151"/>
      <c r="G859" s="151"/>
      <c r="H859" s="151"/>
      <c r="I859" s="151"/>
      <c r="J859" s="151"/>
      <c r="K859" s="151"/>
      <c r="L859" s="151"/>
      <c r="M859" s="151"/>
      <c r="N859" s="151"/>
      <c r="O859" s="151"/>
      <c r="P859" s="151"/>
      <c r="Q859" s="151"/>
      <c r="R859" s="151"/>
      <c r="S859" s="151"/>
      <c r="T859" s="151"/>
      <c r="U859" s="151"/>
      <c r="V859" s="151"/>
      <c r="W859" s="151"/>
      <c r="X859" s="151"/>
      <c r="Y859" s="151"/>
      <c r="Z859" s="151"/>
    </row>
    <row r="860" ht="12.75" customHeight="1">
      <c r="A860" s="151"/>
      <c r="B860" s="151"/>
      <c r="C860" s="151"/>
      <c r="D860" s="151"/>
      <c r="E860" s="151"/>
      <c r="F860" s="151"/>
      <c r="G860" s="151"/>
      <c r="H860" s="151"/>
      <c r="I860" s="151"/>
      <c r="J860" s="151"/>
      <c r="K860" s="151"/>
      <c r="L860" s="151"/>
      <c r="M860" s="151"/>
      <c r="N860" s="151"/>
      <c r="O860" s="151"/>
      <c r="P860" s="151"/>
      <c r="Q860" s="151"/>
      <c r="R860" s="151"/>
      <c r="S860" s="151"/>
      <c r="T860" s="151"/>
      <c r="U860" s="151"/>
      <c r="V860" s="151"/>
      <c r="W860" s="151"/>
      <c r="X860" s="151"/>
      <c r="Y860" s="151"/>
      <c r="Z860" s="151"/>
    </row>
    <row r="861" ht="12.75" customHeight="1">
      <c r="A861" s="151"/>
      <c r="B861" s="151"/>
      <c r="C861" s="151"/>
      <c r="D861" s="151"/>
      <c r="E861" s="151"/>
      <c r="F861" s="151"/>
      <c r="G861" s="151"/>
      <c r="H861" s="151"/>
      <c r="I861" s="151"/>
      <c r="J861" s="151"/>
      <c r="K861" s="151"/>
      <c r="L861" s="151"/>
      <c r="M861" s="151"/>
      <c r="N861" s="151"/>
      <c r="O861" s="151"/>
      <c r="P861" s="151"/>
      <c r="Q861" s="151"/>
      <c r="R861" s="151"/>
      <c r="S861" s="151"/>
      <c r="T861" s="151"/>
      <c r="U861" s="151"/>
      <c r="V861" s="151"/>
      <c r="W861" s="151"/>
      <c r="X861" s="151"/>
      <c r="Y861" s="151"/>
      <c r="Z861" s="151"/>
    </row>
    <row r="862" ht="12.75" customHeight="1">
      <c r="A862" s="151"/>
      <c r="B862" s="151"/>
      <c r="C862" s="151"/>
      <c r="D862" s="151"/>
      <c r="E862" s="151"/>
      <c r="F862" s="151"/>
      <c r="G862" s="151"/>
      <c r="H862" s="151"/>
      <c r="I862" s="151"/>
      <c r="J862" s="151"/>
      <c r="K862" s="151"/>
      <c r="L862" s="151"/>
      <c r="M862" s="151"/>
      <c r="N862" s="151"/>
      <c r="O862" s="151"/>
      <c r="P862" s="151"/>
      <c r="Q862" s="151"/>
      <c r="R862" s="151"/>
      <c r="S862" s="151"/>
      <c r="T862" s="151"/>
      <c r="U862" s="151"/>
      <c r="V862" s="151"/>
      <c r="W862" s="151"/>
      <c r="X862" s="151"/>
      <c r="Y862" s="151"/>
      <c r="Z862" s="151"/>
    </row>
    <row r="863" ht="12.75" customHeight="1">
      <c r="A863" s="151"/>
      <c r="B863" s="151"/>
      <c r="C863" s="151"/>
      <c r="D863" s="151"/>
      <c r="E863" s="151"/>
      <c r="F863" s="151"/>
      <c r="G863" s="151"/>
      <c r="H863" s="151"/>
      <c r="I863" s="151"/>
      <c r="J863" s="151"/>
      <c r="K863" s="151"/>
      <c r="L863" s="151"/>
      <c r="M863" s="151"/>
      <c r="N863" s="151"/>
      <c r="O863" s="151"/>
      <c r="P863" s="151"/>
      <c r="Q863" s="151"/>
      <c r="R863" s="151"/>
      <c r="S863" s="151"/>
      <c r="T863" s="151"/>
      <c r="U863" s="151"/>
      <c r="V863" s="151"/>
      <c r="W863" s="151"/>
      <c r="X863" s="151"/>
      <c r="Y863" s="151"/>
      <c r="Z863" s="151"/>
    </row>
    <row r="864" ht="12.75" customHeight="1">
      <c r="A864" s="151"/>
      <c r="B864" s="151"/>
      <c r="C864" s="151"/>
      <c r="D864" s="151"/>
      <c r="E864" s="151"/>
      <c r="F864" s="151"/>
      <c r="G864" s="151"/>
      <c r="H864" s="151"/>
      <c r="I864" s="151"/>
      <c r="J864" s="151"/>
      <c r="K864" s="151"/>
      <c r="L864" s="151"/>
      <c r="M864" s="151"/>
      <c r="N864" s="151"/>
      <c r="O864" s="151"/>
      <c r="P864" s="151"/>
      <c r="Q864" s="151"/>
      <c r="R864" s="151"/>
      <c r="S864" s="151"/>
      <c r="T864" s="151"/>
      <c r="U864" s="151"/>
      <c r="V864" s="151"/>
      <c r="W864" s="151"/>
      <c r="X864" s="151"/>
      <c r="Y864" s="151"/>
      <c r="Z864" s="151"/>
    </row>
    <row r="865" ht="12.75" customHeight="1">
      <c r="A865" s="151"/>
      <c r="B865" s="151"/>
      <c r="C865" s="151"/>
      <c r="D865" s="151"/>
      <c r="E865" s="151"/>
      <c r="F865" s="151"/>
      <c r="G865" s="151"/>
      <c r="H865" s="151"/>
      <c r="I865" s="151"/>
      <c r="J865" s="151"/>
      <c r="K865" s="151"/>
      <c r="L865" s="151"/>
      <c r="M865" s="151"/>
      <c r="N865" s="151"/>
      <c r="O865" s="151"/>
      <c r="P865" s="151"/>
      <c r="Q865" s="151"/>
      <c r="R865" s="151"/>
      <c r="S865" s="151"/>
      <c r="T865" s="151"/>
      <c r="U865" s="151"/>
      <c r="V865" s="151"/>
      <c r="W865" s="151"/>
      <c r="X865" s="151"/>
      <c r="Y865" s="151"/>
      <c r="Z865" s="151"/>
    </row>
    <row r="866" ht="12.75" customHeight="1">
      <c r="A866" s="151"/>
      <c r="B866" s="151"/>
      <c r="C866" s="151"/>
      <c r="D866" s="151"/>
      <c r="E866" s="151"/>
      <c r="F866" s="151"/>
      <c r="G866" s="151"/>
      <c r="H866" s="151"/>
      <c r="I866" s="151"/>
      <c r="J866" s="151"/>
      <c r="K866" s="151"/>
      <c r="L866" s="151"/>
      <c r="M866" s="151"/>
      <c r="N866" s="151"/>
      <c r="O866" s="151"/>
      <c r="P866" s="151"/>
      <c r="Q866" s="151"/>
      <c r="R866" s="151"/>
      <c r="S866" s="151"/>
      <c r="T866" s="151"/>
      <c r="U866" s="151"/>
      <c r="V866" s="151"/>
      <c r="W866" s="151"/>
      <c r="X866" s="151"/>
      <c r="Y866" s="151"/>
      <c r="Z866" s="151"/>
    </row>
    <row r="867" ht="12.75" customHeight="1">
      <c r="A867" s="151"/>
      <c r="B867" s="151"/>
      <c r="C867" s="151"/>
      <c r="D867" s="151"/>
      <c r="E867" s="151"/>
      <c r="F867" s="151"/>
      <c r="G867" s="151"/>
      <c r="H867" s="151"/>
      <c r="I867" s="151"/>
      <c r="J867" s="151"/>
      <c r="K867" s="151"/>
      <c r="L867" s="151"/>
      <c r="M867" s="151"/>
      <c r="N867" s="151"/>
      <c r="O867" s="151"/>
      <c r="P867" s="151"/>
      <c r="Q867" s="151"/>
      <c r="R867" s="151"/>
      <c r="S867" s="151"/>
      <c r="T867" s="151"/>
      <c r="U867" s="151"/>
      <c r="V867" s="151"/>
      <c r="W867" s="151"/>
      <c r="X867" s="151"/>
      <c r="Y867" s="151"/>
      <c r="Z867" s="151"/>
    </row>
    <row r="868" ht="12.75" customHeight="1">
      <c r="A868" s="151"/>
      <c r="B868" s="151"/>
      <c r="C868" s="151"/>
      <c r="D868" s="151"/>
      <c r="E868" s="151"/>
      <c r="F868" s="151"/>
      <c r="G868" s="151"/>
      <c r="H868" s="151"/>
      <c r="I868" s="151"/>
      <c r="J868" s="151"/>
      <c r="K868" s="151"/>
      <c r="L868" s="151"/>
      <c r="M868" s="151"/>
      <c r="N868" s="151"/>
      <c r="O868" s="151"/>
      <c r="P868" s="151"/>
      <c r="Q868" s="151"/>
      <c r="R868" s="151"/>
      <c r="S868" s="151"/>
      <c r="T868" s="151"/>
      <c r="U868" s="151"/>
      <c r="V868" s="151"/>
      <c r="W868" s="151"/>
      <c r="X868" s="151"/>
      <c r="Y868" s="151"/>
      <c r="Z868" s="151"/>
    </row>
    <row r="869" ht="12.75" customHeight="1">
      <c r="A869" s="151"/>
      <c r="B869" s="151"/>
      <c r="C869" s="151"/>
      <c r="D869" s="151"/>
      <c r="E869" s="151"/>
      <c r="F869" s="151"/>
      <c r="G869" s="151"/>
      <c r="H869" s="151"/>
      <c r="I869" s="151"/>
      <c r="J869" s="151"/>
      <c r="K869" s="151"/>
      <c r="L869" s="151"/>
      <c r="M869" s="151"/>
      <c r="N869" s="151"/>
      <c r="O869" s="151"/>
      <c r="P869" s="151"/>
      <c r="Q869" s="151"/>
      <c r="R869" s="151"/>
      <c r="S869" s="151"/>
      <c r="T869" s="151"/>
      <c r="U869" s="151"/>
      <c r="V869" s="151"/>
      <c r="W869" s="151"/>
      <c r="X869" s="151"/>
      <c r="Y869" s="151"/>
      <c r="Z869" s="151"/>
    </row>
    <row r="870" ht="12.75" customHeight="1">
      <c r="A870" s="151"/>
      <c r="B870" s="151"/>
      <c r="C870" s="151"/>
      <c r="D870" s="151"/>
      <c r="E870" s="151"/>
      <c r="F870" s="151"/>
      <c r="G870" s="151"/>
      <c r="H870" s="151"/>
      <c r="I870" s="151"/>
      <c r="J870" s="151"/>
      <c r="K870" s="151"/>
      <c r="L870" s="151"/>
      <c r="M870" s="151"/>
      <c r="N870" s="151"/>
      <c r="O870" s="151"/>
      <c r="P870" s="151"/>
      <c r="Q870" s="151"/>
      <c r="R870" s="151"/>
      <c r="S870" s="151"/>
      <c r="T870" s="151"/>
      <c r="U870" s="151"/>
      <c r="V870" s="151"/>
      <c r="W870" s="151"/>
      <c r="X870" s="151"/>
      <c r="Y870" s="151"/>
      <c r="Z870" s="151"/>
    </row>
    <row r="871" ht="12.75" customHeight="1">
      <c r="A871" s="151"/>
      <c r="B871" s="151"/>
      <c r="C871" s="151"/>
      <c r="D871" s="151"/>
      <c r="E871" s="151"/>
      <c r="F871" s="151"/>
      <c r="G871" s="151"/>
      <c r="H871" s="151"/>
      <c r="I871" s="151"/>
      <c r="J871" s="151"/>
      <c r="K871" s="151"/>
      <c r="L871" s="151"/>
      <c r="M871" s="151"/>
      <c r="N871" s="151"/>
      <c r="O871" s="151"/>
      <c r="P871" s="151"/>
      <c r="Q871" s="151"/>
      <c r="R871" s="151"/>
      <c r="S871" s="151"/>
      <c r="T871" s="151"/>
      <c r="U871" s="151"/>
      <c r="V871" s="151"/>
      <c r="W871" s="151"/>
      <c r="X871" s="151"/>
      <c r="Y871" s="151"/>
      <c r="Z871" s="151"/>
    </row>
    <row r="872" ht="12.75" customHeight="1">
      <c r="A872" s="151"/>
      <c r="B872" s="151"/>
      <c r="C872" s="151"/>
      <c r="D872" s="151"/>
      <c r="E872" s="151"/>
      <c r="F872" s="151"/>
      <c r="G872" s="151"/>
      <c r="H872" s="151"/>
      <c r="I872" s="151"/>
      <c r="J872" s="151"/>
      <c r="K872" s="151"/>
      <c r="L872" s="151"/>
      <c r="M872" s="151"/>
      <c r="N872" s="151"/>
      <c r="O872" s="151"/>
      <c r="P872" s="151"/>
      <c r="Q872" s="151"/>
      <c r="R872" s="151"/>
      <c r="S872" s="151"/>
      <c r="T872" s="151"/>
      <c r="U872" s="151"/>
      <c r="V872" s="151"/>
      <c r="W872" s="151"/>
      <c r="X872" s="151"/>
      <c r="Y872" s="151"/>
      <c r="Z872" s="151"/>
    </row>
    <row r="873" ht="12.75" customHeight="1">
      <c r="A873" s="151"/>
      <c r="B873" s="151"/>
      <c r="C873" s="151"/>
      <c r="D873" s="151"/>
      <c r="E873" s="151"/>
      <c r="F873" s="151"/>
      <c r="G873" s="151"/>
      <c r="H873" s="151"/>
      <c r="I873" s="151"/>
      <c r="J873" s="151"/>
      <c r="K873" s="151"/>
      <c r="L873" s="151"/>
      <c r="M873" s="151"/>
      <c r="N873" s="151"/>
      <c r="O873" s="151"/>
      <c r="P873" s="151"/>
      <c r="Q873" s="151"/>
      <c r="R873" s="151"/>
      <c r="S873" s="151"/>
      <c r="T873" s="151"/>
      <c r="U873" s="151"/>
      <c r="V873" s="151"/>
      <c r="W873" s="151"/>
      <c r="X873" s="151"/>
      <c r="Y873" s="151"/>
      <c r="Z873" s="151"/>
    </row>
    <row r="874" ht="12.75" customHeight="1">
      <c r="A874" s="151"/>
      <c r="B874" s="151"/>
      <c r="C874" s="151"/>
      <c r="D874" s="151"/>
      <c r="E874" s="151"/>
      <c r="F874" s="151"/>
      <c r="G874" s="151"/>
      <c r="H874" s="151"/>
      <c r="I874" s="151"/>
      <c r="J874" s="151"/>
      <c r="K874" s="151"/>
      <c r="L874" s="151"/>
      <c r="M874" s="151"/>
      <c r="N874" s="151"/>
      <c r="O874" s="151"/>
      <c r="P874" s="151"/>
      <c r="Q874" s="151"/>
      <c r="R874" s="151"/>
      <c r="S874" s="151"/>
      <c r="T874" s="151"/>
      <c r="U874" s="151"/>
      <c r="V874" s="151"/>
      <c r="W874" s="151"/>
      <c r="X874" s="151"/>
      <c r="Y874" s="151"/>
      <c r="Z874" s="151"/>
    </row>
    <row r="875" ht="12.75" customHeight="1">
      <c r="A875" s="151"/>
      <c r="B875" s="151"/>
      <c r="C875" s="151"/>
      <c r="D875" s="151"/>
      <c r="E875" s="151"/>
      <c r="F875" s="151"/>
      <c r="G875" s="151"/>
      <c r="H875" s="151"/>
      <c r="I875" s="151"/>
      <c r="J875" s="151"/>
      <c r="K875" s="151"/>
      <c r="L875" s="151"/>
      <c r="M875" s="151"/>
      <c r="N875" s="151"/>
      <c r="O875" s="151"/>
      <c r="P875" s="151"/>
      <c r="Q875" s="151"/>
      <c r="R875" s="151"/>
      <c r="S875" s="151"/>
      <c r="T875" s="151"/>
      <c r="U875" s="151"/>
      <c r="V875" s="151"/>
      <c r="W875" s="151"/>
      <c r="X875" s="151"/>
      <c r="Y875" s="151"/>
      <c r="Z875" s="151"/>
    </row>
    <row r="876" ht="12.75" customHeight="1">
      <c r="A876" s="151"/>
      <c r="B876" s="151"/>
      <c r="C876" s="151"/>
      <c r="D876" s="151"/>
      <c r="E876" s="151"/>
      <c r="F876" s="151"/>
      <c r="G876" s="151"/>
      <c r="H876" s="151"/>
      <c r="I876" s="151"/>
      <c r="J876" s="151"/>
      <c r="K876" s="151"/>
      <c r="L876" s="151"/>
      <c r="M876" s="151"/>
      <c r="N876" s="151"/>
      <c r="O876" s="151"/>
      <c r="P876" s="151"/>
      <c r="Q876" s="151"/>
      <c r="R876" s="151"/>
      <c r="S876" s="151"/>
      <c r="T876" s="151"/>
      <c r="U876" s="151"/>
      <c r="V876" s="151"/>
      <c r="W876" s="151"/>
      <c r="X876" s="151"/>
      <c r="Y876" s="151"/>
      <c r="Z876" s="151"/>
    </row>
    <row r="877" ht="12.75" customHeight="1">
      <c r="A877" s="151"/>
      <c r="B877" s="151"/>
      <c r="C877" s="151"/>
      <c r="D877" s="151"/>
      <c r="E877" s="151"/>
      <c r="F877" s="151"/>
      <c r="G877" s="151"/>
      <c r="H877" s="151"/>
      <c r="I877" s="151"/>
      <c r="J877" s="151"/>
      <c r="K877" s="151"/>
      <c r="L877" s="151"/>
      <c r="M877" s="151"/>
      <c r="N877" s="151"/>
      <c r="O877" s="151"/>
      <c r="P877" s="151"/>
      <c r="Q877" s="151"/>
      <c r="R877" s="151"/>
      <c r="S877" s="151"/>
      <c r="T877" s="151"/>
      <c r="U877" s="151"/>
      <c r="V877" s="151"/>
      <c r="W877" s="151"/>
      <c r="X877" s="151"/>
      <c r="Y877" s="151"/>
      <c r="Z877" s="151"/>
    </row>
    <row r="878" ht="12.75" customHeight="1">
      <c r="A878" s="151"/>
      <c r="B878" s="151"/>
      <c r="C878" s="151"/>
      <c r="D878" s="151"/>
      <c r="E878" s="151"/>
      <c r="F878" s="151"/>
      <c r="G878" s="151"/>
      <c r="H878" s="151"/>
      <c r="I878" s="151"/>
      <c r="J878" s="151"/>
      <c r="K878" s="151"/>
      <c r="L878" s="151"/>
      <c r="M878" s="151"/>
      <c r="N878" s="151"/>
      <c r="O878" s="151"/>
      <c r="P878" s="151"/>
      <c r="Q878" s="151"/>
      <c r="R878" s="151"/>
      <c r="S878" s="151"/>
      <c r="T878" s="151"/>
      <c r="U878" s="151"/>
      <c r="V878" s="151"/>
      <c r="W878" s="151"/>
      <c r="X878" s="151"/>
      <c r="Y878" s="151"/>
      <c r="Z878" s="151"/>
    </row>
    <row r="879" ht="12.75" customHeight="1">
      <c r="A879" s="151"/>
      <c r="B879" s="151"/>
      <c r="C879" s="151"/>
      <c r="D879" s="151"/>
      <c r="E879" s="151"/>
      <c r="F879" s="151"/>
      <c r="G879" s="151"/>
      <c r="H879" s="151"/>
      <c r="I879" s="151"/>
      <c r="J879" s="151"/>
      <c r="K879" s="151"/>
      <c r="L879" s="151"/>
      <c r="M879" s="151"/>
      <c r="N879" s="151"/>
      <c r="O879" s="151"/>
      <c r="P879" s="151"/>
      <c r="Q879" s="151"/>
      <c r="R879" s="151"/>
      <c r="S879" s="151"/>
      <c r="T879" s="151"/>
      <c r="U879" s="151"/>
      <c r="V879" s="151"/>
      <c r="W879" s="151"/>
      <c r="X879" s="151"/>
      <c r="Y879" s="151"/>
      <c r="Z879" s="151"/>
    </row>
    <row r="880" ht="12.75" customHeight="1">
      <c r="A880" s="151"/>
      <c r="B880" s="151"/>
      <c r="C880" s="151"/>
      <c r="D880" s="151"/>
      <c r="E880" s="151"/>
      <c r="F880" s="151"/>
      <c r="G880" s="151"/>
      <c r="H880" s="151"/>
      <c r="I880" s="151"/>
      <c r="J880" s="151"/>
      <c r="K880" s="151"/>
      <c r="L880" s="151"/>
      <c r="M880" s="151"/>
      <c r="N880" s="151"/>
      <c r="O880" s="151"/>
      <c r="P880" s="151"/>
      <c r="Q880" s="151"/>
      <c r="R880" s="151"/>
      <c r="S880" s="151"/>
      <c r="T880" s="151"/>
      <c r="U880" s="151"/>
      <c r="V880" s="151"/>
      <c r="W880" s="151"/>
      <c r="X880" s="151"/>
      <c r="Y880" s="151"/>
      <c r="Z880" s="151"/>
    </row>
    <row r="881" ht="12.75" customHeight="1">
      <c r="A881" s="151"/>
      <c r="B881" s="151"/>
      <c r="C881" s="151"/>
      <c r="D881" s="151"/>
      <c r="E881" s="151"/>
      <c r="F881" s="151"/>
      <c r="G881" s="151"/>
      <c r="H881" s="151"/>
      <c r="I881" s="151"/>
      <c r="J881" s="151"/>
      <c r="K881" s="151"/>
      <c r="L881" s="151"/>
      <c r="M881" s="151"/>
      <c r="N881" s="151"/>
      <c r="O881" s="151"/>
      <c r="P881" s="151"/>
      <c r="Q881" s="151"/>
      <c r="R881" s="151"/>
      <c r="S881" s="151"/>
      <c r="T881" s="151"/>
      <c r="U881" s="151"/>
      <c r="V881" s="151"/>
      <c r="W881" s="151"/>
      <c r="X881" s="151"/>
      <c r="Y881" s="151"/>
      <c r="Z881" s="151"/>
    </row>
    <row r="882" ht="12.75" customHeight="1">
      <c r="A882" s="151"/>
      <c r="B882" s="151"/>
      <c r="C882" s="151"/>
      <c r="D882" s="151"/>
      <c r="E882" s="151"/>
      <c r="F882" s="151"/>
      <c r="G882" s="151"/>
      <c r="H882" s="151"/>
      <c r="I882" s="151"/>
      <c r="J882" s="151"/>
      <c r="K882" s="151"/>
      <c r="L882" s="151"/>
      <c r="M882" s="151"/>
      <c r="N882" s="151"/>
      <c r="O882" s="151"/>
      <c r="P882" s="151"/>
      <c r="Q882" s="151"/>
      <c r="R882" s="151"/>
      <c r="S882" s="151"/>
      <c r="T882" s="151"/>
      <c r="U882" s="151"/>
      <c r="V882" s="151"/>
      <c r="W882" s="151"/>
      <c r="X882" s="151"/>
      <c r="Y882" s="151"/>
      <c r="Z882" s="151"/>
    </row>
    <row r="883" ht="12.75" customHeight="1">
      <c r="A883" s="151"/>
      <c r="B883" s="151"/>
      <c r="C883" s="151"/>
      <c r="D883" s="151"/>
      <c r="E883" s="151"/>
      <c r="F883" s="151"/>
      <c r="G883" s="151"/>
      <c r="H883" s="151"/>
      <c r="I883" s="151"/>
      <c r="J883" s="151"/>
      <c r="K883" s="151"/>
      <c r="L883" s="151"/>
      <c r="M883" s="151"/>
      <c r="N883" s="151"/>
      <c r="O883" s="151"/>
      <c r="P883" s="151"/>
      <c r="Q883" s="151"/>
      <c r="R883" s="151"/>
      <c r="S883" s="151"/>
      <c r="T883" s="151"/>
      <c r="U883" s="151"/>
      <c r="V883" s="151"/>
      <c r="W883" s="151"/>
      <c r="X883" s="151"/>
      <c r="Y883" s="151"/>
      <c r="Z883" s="151"/>
    </row>
    <row r="884" ht="12.75" customHeight="1">
      <c r="A884" s="151"/>
      <c r="B884" s="151"/>
      <c r="C884" s="151"/>
      <c r="D884" s="151"/>
      <c r="E884" s="151"/>
      <c r="F884" s="151"/>
      <c r="G884" s="151"/>
      <c r="H884" s="151"/>
      <c r="I884" s="151"/>
      <c r="J884" s="151"/>
      <c r="K884" s="151"/>
      <c r="L884" s="151"/>
      <c r="M884" s="151"/>
      <c r="N884" s="151"/>
      <c r="O884" s="151"/>
      <c r="P884" s="151"/>
      <c r="Q884" s="151"/>
      <c r="R884" s="151"/>
      <c r="S884" s="151"/>
      <c r="T884" s="151"/>
      <c r="U884" s="151"/>
      <c r="V884" s="151"/>
      <c r="W884" s="151"/>
      <c r="X884" s="151"/>
      <c r="Y884" s="151"/>
      <c r="Z884" s="151"/>
    </row>
    <row r="885" ht="12.75" customHeight="1">
      <c r="A885" s="151"/>
      <c r="B885" s="151"/>
      <c r="C885" s="151"/>
      <c r="D885" s="151"/>
      <c r="E885" s="151"/>
      <c r="F885" s="151"/>
      <c r="G885" s="151"/>
      <c r="H885" s="151"/>
      <c r="I885" s="151"/>
      <c r="J885" s="151"/>
      <c r="K885" s="151"/>
      <c r="L885" s="151"/>
      <c r="M885" s="151"/>
      <c r="N885" s="151"/>
      <c r="O885" s="151"/>
      <c r="P885" s="151"/>
      <c r="Q885" s="151"/>
      <c r="R885" s="151"/>
      <c r="S885" s="151"/>
      <c r="T885" s="151"/>
      <c r="U885" s="151"/>
      <c r="V885" s="151"/>
      <c r="W885" s="151"/>
      <c r="X885" s="151"/>
      <c r="Y885" s="151"/>
      <c r="Z885" s="151"/>
    </row>
    <row r="886" ht="12.75" customHeight="1">
      <c r="A886" s="151"/>
      <c r="B886" s="151"/>
      <c r="C886" s="151"/>
      <c r="D886" s="151"/>
      <c r="E886" s="151"/>
      <c r="F886" s="151"/>
      <c r="G886" s="151"/>
      <c r="H886" s="151"/>
      <c r="I886" s="151"/>
      <c r="J886" s="151"/>
      <c r="K886" s="151"/>
      <c r="L886" s="151"/>
      <c r="M886" s="151"/>
      <c r="N886" s="151"/>
      <c r="O886" s="151"/>
      <c r="P886" s="151"/>
      <c r="Q886" s="151"/>
      <c r="R886" s="151"/>
      <c r="S886" s="151"/>
      <c r="T886" s="151"/>
      <c r="U886" s="151"/>
      <c r="V886" s="151"/>
      <c r="W886" s="151"/>
      <c r="X886" s="151"/>
      <c r="Y886" s="151"/>
      <c r="Z886" s="151"/>
    </row>
    <row r="887" ht="12.75" customHeight="1">
      <c r="A887" s="151"/>
      <c r="B887" s="151"/>
      <c r="C887" s="151"/>
      <c r="D887" s="151"/>
      <c r="E887" s="151"/>
      <c r="F887" s="151"/>
      <c r="G887" s="151"/>
      <c r="H887" s="151"/>
      <c r="I887" s="151"/>
      <c r="J887" s="151"/>
      <c r="K887" s="151"/>
      <c r="L887" s="151"/>
      <c r="M887" s="151"/>
      <c r="N887" s="151"/>
      <c r="O887" s="151"/>
      <c r="P887" s="151"/>
      <c r="Q887" s="151"/>
      <c r="R887" s="151"/>
      <c r="S887" s="151"/>
      <c r="T887" s="151"/>
      <c r="U887" s="151"/>
      <c r="V887" s="151"/>
      <c r="W887" s="151"/>
      <c r="X887" s="151"/>
      <c r="Y887" s="151"/>
      <c r="Z887" s="151"/>
    </row>
    <row r="888" ht="12.75" customHeight="1">
      <c r="A888" s="151"/>
      <c r="B888" s="151"/>
      <c r="C888" s="151"/>
      <c r="D888" s="151"/>
      <c r="E888" s="151"/>
      <c r="F888" s="151"/>
      <c r="G888" s="151"/>
      <c r="H888" s="151"/>
      <c r="I888" s="151"/>
      <c r="J888" s="151"/>
      <c r="K888" s="151"/>
      <c r="L888" s="151"/>
      <c r="M888" s="151"/>
      <c r="N888" s="151"/>
      <c r="O888" s="151"/>
      <c r="P888" s="151"/>
      <c r="Q888" s="151"/>
      <c r="R888" s="151"/>
      <c r="S888" s="151"/>
      <c r="T888" s="151"/>
      <c r="U888" s="151"/>
      <c r="V888" s="151"/>
      <c r="W888" s="151"/>
      <c r="X888" s="151"/>
      <c r="Y888" s="151"/>
      <c r="Z888" s="151"/>
    </row>
    <row r="889" ht="12.75" customHeight="1">
      <c r="A889" s="151"/>
      <c r="B889" s="151"/>
      <c r="C889" s="151"/>
      <c r="D889" s="151"/>
      <c r="E889" s="151"/>
      <c r="F889" s="151"/>
      <c r="G889" s="151"/>
      <c r="H889" s="151"/>
      <c r="I889" s="151"/>
      <c r="J889" s="151"/>
      <c r="K889" s="151"/>
      <c r="L889" s="151"/>
      <c r="M889" s="151"/>
      <c r="N889" s="151"/>
      <c r="O889" s="151"/>
      <c r="P889" s="151"/>
      <c r="Q889" s="151"/>
      <c r="R889" s="151"/>
      <c r="S889" s="151"/>
      <c r="T889" s="151"/>
      <c r="U889" s="151"/>
      <c r="V889" s="151"/>
      <c r="W889" s="151"/>
      <c r="X889" s="151"/>
      <c r="Y889" s="151"/>
      <c r="Z889" s="151"/>
    </row>
    <row r="890" ht="12.75" customHeight="1">
      <c r="A890" s="151"/>
      <c r="B890" s="151"/>
      <c r="C890" s="151"/>
      <c r="D890" s="151"/>
      <c r="E890" s="151"/>
      <c r="F890" s="151"/>
      <c r="G890" s="151"/>
      <c r="H890" s="151"/>
      <c r="I890" s="151"/>
      <c r="J890" s="151"/>
      <c r="K890" s="151"/>
      <c r="L890" s="151"/>
      <c r="M890" s="151"/>
      <c r="N890" s="151"/>
      <c r="O890" s="151"/>
      <c r="P890" s="151"/>
      <c r="Q890" s="151"/>
      <c r="R890" s="151"/>
      <c r="S890" s="151"/>
      <c r="T890" s="151"/>
      <c r="U890" s="151"/>
      <c r="V890" s="151"/>
      <c r="W890" s="151"/>
      <c r="X890" s="151"/>
      <c r="Y890" s="151"/>
      <c r="Z890" s="151"/>
    </row>
    <row r="891" ht="12.75" customHeight="1">
      <c r="A891" s="151"/>
      <c r="B891" s="151"/>
      <c r="C891" s="151"/>
      <c r="D891" s="151"/>
      <c r="E891" s="151"/>
      <c r="F891" s="151"/>
      <c r="G891" s="151"/>
      <c r="H891" s="151"/>
      <c r="I891" s="151"/>
      <c r="J891" s="151"/>
      <c r="K891" s="151"/>
      <c r="L891" s="151"/>
      <c r="M891" s="151"/>
      <c r="N891" s="151"/>
      <c r="O891" s="151"/>
      <c r="P891" s="151"/>
      <c r="Q891" s="151"/>
      <c r="R891" s="151"/>
      <c r="S891" s="151"/>
      <c r="T891" s="151"/>
      <c r="U891" s="151"/>
      <c r="V891" s="151"/>
      <c r="W891" s="151"/>
      <c r="X891" s="151"/>
      <c r="Y891" s="151"/>
      <c r="Z891" s="151"/>
    </row>
    <row r="892" ht="12.75" customHeight="1">
      <c r="A892" s="151"/>
      <c r="B892" s="151"/>
      <c r="C892" s="151"/>
      <c r="D892" s="151"/>
      <c r="E892" s="151"/>
      <c r="F892" s="151"/>
      <c r="G892" s="151"/>
      <c r="H892" s="151"/>
      <c r="I892" s="151"/>
      <c r="J892" s="151"/>
      <c r="K892" s="151"/>
      <c r="L892" s="151"/>
      <c r="M892" s="151"/>
      <c r="N892" s="151"/>
      <c r="O892" s="151"/>
      <c r="P892" s="151"/>
      <c r="Q892" s="151"/>
      <c r="R892" s="151"/>
      <c r="S892" s="151"/>
      <c r="T892" s="151"/>
      <c r="U892" s="151"/>
      <c r="V892" s="151"/>
      <c r="W892" s="151"/>
      <c r="X892" s="151"/>
      <c r="Y892" s="151"/>
      <c r="Z892" s="151"/>
    </row>
    <row r="893" ht="12.75" customHeight="1">
      <c r="A893" s="151"/>
      <c r="B893" s="151"/>
      <c r="C893" s="151"/>
      <c r="D893" s="151"/>
      <c r="E893" s="151"/>
      <c r="F893" s="151"/>
      <c r="G893" s="151"/>
      <c r="H893" s="151"/>
      <c r="I893" s="151"/>
      <c r="J893" s="151"/>
      <c r="K893" s="151"/>
      <c r="L893" s="151"/>
      <c r="M893" s="151"/>
      <c r="N893" s="151"/>
      <c r="O893" s="151"/>
      <c r="P893" s="151"/>
      <c r="Q893" s="151"/>
      <c r="R893" s="151"/>
      <c r="S893" s="151"/>
      <c r="T893" s="151"/>
      <c r="U893" s="151"/>
      <c r="V893" s="151"/>
      <c r="W893" s="151"/>
      <c r="X893" s="151"/>
      <c r="Y893" s="151"/>
      <c r="Z893" s="151"/>
    </row>
    <row r="894" ht="12.75" customHeight="1">
      <c r="A894" s="151"/>
      <c r="B894" s="151"/>
      <c r="C894" s="151"/>
      <c r="D894" s="151"/>
      <c r="E894" s="151"/>
      <c r="F894" s="151"/>
      <c r="G894" s="151"/>
      <c r="H894" s="151"/>
      <c r="I894" s="151"/>
      <c r="J894" s="151"/>
      <c r="K894" s="151"/>
      <c r="L894" s="151"/>
      <c r="M894" s="151"/>
      <c r="N894" s="151"/>
      <c r="O894" s="151"/>
      <c r="P894" s="151"/>
      <c r="Q894" s="151"/>
      <c r="R894" s="151"/>
      <c r="S894" s="151"/>
      <c r="T894" s="151"/>
      <c r="U894" s="151"/>
      <c r="V894" s="151"/>
      <c r="W894" s="151"/>
      <c r="X894" s="151"/>
      <c r="Y894" s="151"/>
      <c r="Z894" s="151"/>
    </row>
    <row r="895" ht="12.75" customHeight="1">
      <c r="A895" s="151"/>
      <c r="B895" s="151"/>
      <c r="C895" s="151"/>
      <c r="D895" s="151"/>
      <c r="E895" s="151"/>
      <c r="F895" s="151"/>
      <c r="G895" s="151"/>
      <c r="H895" s="151"/>
      <c r="I895" s="151"/>
      <c r="J895" s="151"/>
      <c r="K895" s="151"/>
      <c r="L895" s="151"/>
      <c r="M895" s="151"/>
      <c r="N895" s="151"/>
      <c r="O895" s="151"/>
      <c r="P895" s="151"/>
      <c r="Q895" s="151"/>
      <c r="R895" s="151"/>
      <c r="S895" s="151"/>
      <c r="T895" s="151"/>
      <c r="U895" s="151"/>
      <c r="V895" s="151"/>
      <c r="W895" s="151"/>
      <c r="X895" s="151"/>
      <c r="Y895" s="151"/>
      <c r="Z895" s="151"/>
    </row>
    <row r="896" ht="12.75" customHeight="1">
      <c r="A896" s="151"/>
      <c r="B896" s="151"/>
      <c r="C896" s="151"/>
      <c r="D896" s="151"/>
      <c r="E896" s="151"/>
      <c r="F896" s="151"/>
      <c r="G896" s="151"/>
      <c r="H896" s="151"/>
      <c r="I896" s="151"/>
      <c r="J896" s="151"/>
      <c r="K896" s="151"/>
      <c r="L896" s="151"/>
      <c r="M896" s="151"/>
      <c r="N896" s="151"/>
      <c r="O896" s="151"/>
      <c r="P896" s="151"/>
      <c r="Q896" s="151"/>
      <c r="R896" s="151"/>
      <c r="S896" s="151"/>
      <c r="T896" s="151"/>
      <c r="U896" s="151"/>
      <c r="V896" s="151"/>
      <c r="W896" s="151"/>
      <c r="X896" s="151"/>
      <c r="Y896" s="151"/>
      <c r="Z896" s="151"/>
    </row>
    <row r="897" ht="12.75" customHeight="1">
      <c r="A897" s="151"/>
      <c r="B897" s="151"/>
      <c r="C897" s="151"/>
      <c r="D897" s="151"/>
      <c r="E897" s="151"/>
      <c r="F897" s="151"/>
      <c r="G897" s="151"/>
      <c r="H897" s="151"/>
      <c r="I897" s="151"/>
      <c r="J897" s="151"/>
      <c r="K897" s="151"/>
      <c r="L897" s="151"/>
      <c r="M897" s="151"/>
      <c r="N897" s="151"/>
      <c r="O897" s="151"/>
      <c r="P897" s="151"/>
      <c r="Q897" s="151"/>
      <c r="R897" s="151"/>
      <c r="S897" s="151"/>
      <c r="T897" s="151"/>
      <c r="U897" s="151"/>
      <c r="V897" s="151"/>
      <c r="W897" s="151"/>
      <c r="X897" s="151"/>
      <c r="Y897" s="151"/>
      <c r="Z897" s="151"/>
    </row>
    <row r="898" ht="12.75" customHeight="1">
      <c r="A898" s="151"/>
      <c r="B898" s="151"/>
      <c r="C898" s="151"/>
      <c r="D898" s="151"/>
      <c r="E898" s="151"/>
      <c r="F898" s="151"/>
      <c r="G898" s="151"/>
      <c r="H898" s="151"/>
      <c r="I898" s="151"/>
      <c r="J898" s="151"/>
      <c r="K898" s="151"/>
      <c r="L898" s="151"/>
      <c r="M898" s="151"/>
      <c r="N898" s="151"/>
      <c r="O898" s="151"/>
      <c r="P898" s="151"/>
      <c r="Q898" s="151"/>
      <c r="R898" s="151"/>
      <c r="S898" s="151"/>
      <c r="T898" s="151"/>
      <c r="U898" s="151"/>
      <c r="V898" s="151"/>
      <c r="W898" s="151"/>
      <c r="X898" s="151"/>
      <c r="Y898" s="151"/>
      <c r="Z898" s="151"/>
    </row>
    <row r="899" ht="12.75" customHeight="1">
      <c r="A899" s="151"/>
      <c r="B899" s="151"/>
      <c r="C899" s="151"/>
      <c r="D899" s="151"/>
      <c r="E899" s="151"/>
      <c r="F899" s="151"/>
      <c r="G899" s="151"/>
      <c r="H899" s="151"/>
      <c r="I899" s="151"/>
      <c r="J899" s="151"/>
      <c r="K899" s="151"/>
      <c r="L899" s="151"/>
      <c r="M899" s="151"/>
      <c r="N899" s="151"/>
      <c r="O899" s="151"/>
      <c r="P899" s="151"/>
      <c r="Q899" s="151"/>
      <c r="R899" s="151"/>
      <c r="S899" s="151"/>
      <c r="T899" s="151"/>
      <c r="U899" s="151"/>
      <c r="V899" s="151"/>
      <c r="W899" s="151"/>
      <c r="X899" s="151"/>
      <c r="Y899" s="151"/>
      <c r="Z899" s="151"/>
    </row>
    <row r="900" ht="12.75" customHeight="1">
      <c r="A900" s="151"/>
      <c r="B900" s="151"/>
      <c r="C900" s="151"/>
      <c r="D900" s="151"/>
      <c r="E900" s="151"/>
      <c r="F900" s="151"/>
      <c r="G900" s="151"/>
      <c r="H900" s="151"/>
      <c r="I900" s="151"/>
      <c r="J900" s="151"/>
      <c r="K900" s="151"/>
      <c r="L900" s="151"/>
      <c r="M900" s="151"/>
      <c r="N900" s="151"/>
      <c r="O900" s="151"/>
      <c r="P900" s="151"/>
      <c r="Q900" s="151"/>
      <c r="R900" s="151"/>
      <c r="S900" s="151"/>
      <c r="T900" s="151"/>
      <c r="U900" s="151"/>
      <c r="V900" s="151"/>
      <c r="W900" s="151"/>
      <c r="X900" s="151"/>
      <c r="Y900" s="151"/>
      <c r="Z900" s="151"/>
    </row>
    <row r="901" ht="12.75" customHeight="1">
      <c r="A901" s="151"/>
      <c r="B901" s="151"/>
      <c r="C901" s="151"/>
      <c r="D901" s="151"/>
      <c r="E901" s="151"/>
      <c r="F901" s="151"/>
      <c r="G901" s="151"/>
      <c r="H901" s="151"/>
      <c r="I901" s="151"/>
      <c r="J901" s="151"/>
      <c r="K901" s="151"/>
      <c r="L901" s="151"/>
      <c r="M901" s="151"/>
      <c r="N901" s="151"/>
      <c r="O901" s="151"/>
      <c r="P901" s="151"/>
      <c r="Q901" s="151"/>
      <c r="R901" s="151"/>
      <c r="S901" s="151"/>
      <c r="T901" s="151"/>
      <c r="U901" s="151"/>
      <c r="V901" s="151"/>
      <c r="W901" s="151"/>
      <c r="X901" s="151"/>
      <c r="Y901" s="151"/>
      <c r="Z901" s="151"/>
    </row>
    <row r="902" ht="12.75" customHeight="1">
      <c r="A902" s="151"/>
      <c r="B902" s="151"/>
      <c r="C902" s="151"/>
      <c r="D902" s="151"/>
      <c r="E902" s="151"/>
      <c r="F902" s="151"/>
      <c r="G902" s="151"/>
      <c r="H902" s="151"/>
      <c r="I902" s="151"/>
      <c r="J902" s="151"/>
      <c r="K902" s="151"/>
      <c r="L902" s="151"/>
      <c r="M902" s="151"/>
      <c r="N902" s="151"/>
      <c r="O902" s="151"/>
      <c r="P902" s="151"/>
      <c r="Q902" s="151"/>
      <c r="R902" s="151"/>
      <c r="S902" s="151"/>
      <c r="T902" s="151"/>
      <c r="U902" s="151"/>
      <c r="V902" s="151"/>
      <c r="W902" s="151"/>
      <c r="X902" s="151"/>
      <c r="Y902" s="151"/>
      <c r="Z902" s="151"/>
    </row>
    <row r="903" ht="12.75" customHeight="1">
      <c r="A903" s="151"/>
      <c r="B903" s="151"/>
      <c r="C903" s="151"/>
      <c r="D903" s="151"/>
      <c r="E903" s="151"/>
      <c r="F903" s="151"/>
      <c r="G903" s="151"/>
      <c r="H903" s="151"/>
      <c r="I903" s="151"/>
      <c r="J903" s="151"/>
      <c r="K903" s="151"/>
      <c r="L903" s="151"/>
      <c r="M903" s="151"/>
      <c r="N903" s="151"/>
      <c r="O903" s="151"/>
      <c r="P903" s="151"/>
      <c r="Q903" s="151"/>
      <c r="R903" s="151"/>
      <c r="S903" s="151"/>
      <c r="T903" s="151"/>
      <c r="U903" s="151"/>
      <c r="V903" s="151"/>
      <c r="W903" s="151"/>
      <c r="X903" s="151"/>
      <c r="Y903" s="151"/>
      <c r="Z903" s="151"/>
    </row>
    <row r="904" ht="12.75" customHeight="1">
      <c r="A904" s="151"/>
      <c r="B904" s="151"/>
      <c r="C904" s="151"/>
      <c r="D904" s="151"/>
      <c r="E904" s="151"/>
      <c r="F904" s="151"/>
      <c r="G904" s="151"/>
      <c r="H904" s="151"/>
      <c r="I904" s="151"/>
      <c r="J904" s="151"/>
      <c r="K904" s="151"/>
      <c r="L904" s="151"/>
      <c r="M904" s="151"/>
      <c r="N904" s="151"/>
      <c r="O904" s="151"/>
      <c r="P904" s="151"/>
      <c r="Q904" s="151"/>
      <c r="R904" s="151"/>
      <c r="S904" s="151"/>
      <c r="T904" s="151"/>
      <c r="U904" s="151"/>
      <c r="V904" s="151"/>
      <c r="W904" s="151"/>
      <c r="X904" s="151"/>
      <c r="Y904" s="151"/>
      <c r="Z904" s="151"/>
    </row>
    <row r="905" ht="12.75" customHeight="1">
      <c r="A905" s="151"/>
      <c r="B905" s="151"/>
      <c r="C905" s="151"/>
      <c r="D905" s="151"/>
      <c r="E905" s="151"/>
      <c r="F905" s="151"/>
      <c r="G905" s="151"/>
      <c r="H905" s="151"/>
      <c r="I905" s="151"/>
      <c r="J905" s="151"/>
      <c r="K905" s="151"/>
      <c r="L905" s="151"/>
      <c r="M905" s="151"/>
      <c r="N905" s="151"/>
      <c r="O905" s="151"/>
      <c r="P905" s="151"/>
      <c r="Q905" s="151"/>
      <c r="R905" s="151"/>
      <c r="S905" s="151"/>
      <c r="T905" s="151"/>
      <c r="U905" s="151"/>
      <c r="V905" s="151"/>
      <c r="W905" s="151"/>
      <c r="X905" s="151"/>
      <c r="Y905" s="151"/>
      <c r="Z905" s="151"/>
    </row>
    <row r="906" ht="12.75" customHeight="1">
      <c r="A906" s="151"/>
      <c r="B906" s="151"/>
      <c r="C906" s="151"/>
      <c r="D906" s="151"/>
      <c r="E906" s="151"/>
      <c r="F906" s="151"/>
      <c r="G906" s="151"/>
      <c r="H906" s="151"/>
      <c r="I906" s="151"/>
      <c r="J906" s="151"/>
      <c r="K906" s="151"/>
      <c r="L906" s="151"/>
      <c r="M906" s="151"/>
      <c r="N906" s="151"/>
      <c r="O906" s="151"/>
      <c r="P906" s="151"/>
      <c r="Q906" s="151"/>
      <c r="R906" s="151"/>
      <c r="S906" s="151"/>
      <c r="T906" s="151"/>
      <c r="U906" s="151"/>
      <c r="V906" s="151"/>
      <c r="W906" s="151"/>
      <c r="X906" s="151"/>
      <c r="Y906" s="151"/>
      <c r="Z906" s="151"/>
    </row>
    <row r="907" ht="12.75" customHeight="1">
      <c r="A907" s="151"/>
      <c r="B907" s="151"/>
      <c r="C907" s="151"/>
      <c r="D907" s="151"/>
      <c r="E907" s="151"/>
      <c r="F907" s="151"/>
      <c r="G907" s="151"/>
      <c r="H907" s="151"/>
      <c r="I907" s="151"/>
      <c r="J907" s="151"/>
      <c r="K907" s="151"/>
      <c r="L907" s="151"/>
      <c r="M907" s="151"/>
      <c r="N907" s="151"/>
      <c r="O907" s="151"/>
      <c r="P907" s="151"/>
      <c r="Q907" s="151"/>
      <c r="R907" s="151"/>
      <c r="S907" s="151"/>
      <c r="T907" s="151"/>
      <c r="U907" s="151"/>
      <c r="V907" s="151"/>
      <c r="W907" s="151"/>
      <c r="X907" s="151"/>
      <c r="Y907" s="151"/>
      <c r="Z907" s="151"/>
    </row>
    <row r="908" ht="12.75" customHeight="1">
      <c r="A908" s="151"/>
      <c r="B908" s="151"/>
      <c r="C908" s="151"/>
      <c r="D908" s="151"/>
      <c r="E908" s="151"/>
      <c r="F908" s="151"/>
      <c r="G908" s="151"/>
      <c r="H908" s="151"/>
      <c r="I908" s="151"/>
      <c r="J908" s="151"/>
      <c r="K908" s="151"/>
      <c r="L908" s="151"/>
      <c r="M908" s="151"/>
      <c r="N908" s="151"/>
      <c r="O908" s="151"/>
      <c r="P908" s="151"/>
      <c r="Q908" s="151"/>
      <c r="R908" s="151"/>
      <c r="S908" s="151"/>
      <c r="T908" s="151"/>
      <c r="U908" s="151"/>
      <c r="V908" s="151"/>
      <c r="W908" s="151"/>
      <c r="X908" s="151"/>
      <c r="Y908" s="151"/>
      <c r="Z908" s="151"/>
    </row>
    <row r="909" ht="12.75" customHeight="1">
      <c r="A909" s="151"/>
      <c r="B909" s="151"/>
      <c r="C909" s="151"/>
      <c r="D909" s="151"/>
      <c r="E909" s="151"/>
      <c r="F909" s="151"/>
      <c r="G909" s="151"/>
      <c r="H909" s="151"/>
      <c r="I909" s="151"/>
      <c r="J909" s="151"/>
      <c r="K909" s="151"/>
      <c r="L909" s="151"/>
      <c r="M909" s="151"/>
      <c r="N909" s="151"/>
      <c r="O909" s="151"/>
      <c r="P909" s="151"/>
      <c r="Q909" s="151"/>
      <c r="R909" s="151"/>
      <c r="S909" s="151"/>
      <c r="T909" s="151"/>
      <c r="U909" s="151"/>
      <c r="V909" s="151"/>
      <c r="W909" s="151"/>
      <c r="X909" s="151"/>
      <c r="Y909" s="151"/>
      <c r="Z909" s="151"/>
    </row>
    <row r="910" ht="12.75" customHeight="1">
      <c r="A910" s="151"/>
      <c r="B910" s="151"/>
      <c r="C910" s="151"/>
      <c r="D910" s="151"/>
      <c r="E910" s="151"/>
      <c r="F910" s="151"/>
      <c r="G910" s="151"/>
      <c r="H910" s="151"/>
      <c r="I910" s="151"/>
      <c r="J910" s="151"/>
      <c r="K910" s="151"/>
      <c r="L910" s="151"/>
      <c r="M910" s="151"/>
      <c r="N910" s="151"/>
      <c r="O910" s="151"/>
      <c r="P910" s="151"/>
      <c r="Q910" s="151"/>
      <c r="R910" s="151"/>
      <c r="S910" s="151"/>
      <c r="T910" s="151"/>
      <c r="U910" s="151"/>
      <c r="V910" s="151"/>
      <c r="W910" s="151"/>
      <c r="X910" s="151"/>
      <c r="Y910" s="151"/>
      <c r="Z910" s="151"/>
    </row>
    <row r="911" ht="12.75" customHeight="1">
      <c r="A911" s="151"/>
      <c r="B911" s="151"/>
      <c r="C911" s="151"/>
      <c r="D911" s="151"/>
      <c r="E911" s="151"/>
      <c r="F911" s="151"/>
      <c r="G911" s="151"/>
      <c r="H911" s="151"/>
      <c r="I911" s="151"/>
      <c r="J911" s="151"/>
      <c r="K911" s="151"/>
      <c r="L911" s="151"/>
      <c r="M911" s="151"/>
      <c r="N911" s="151"/>
      <c r="O911" s="151"/>
      <c r="P911" s="151"/>
      <c r="Q911" s="151"/>
      <c r="R911" s="151"/>
      <c r="S911" s="151"/>
      <c r="T911" s="151"/>
      <c r="U911" s="151"/>
      <c r="V911" s="151"/>
      <c r="W911" s="151"/>
      <c r="X911" s="151"/>
      <c r="Y911" s="151"/>
      <c r="Z911" s="151"/>
    </row>
    <row r="912" ht="12.75" customHeight="1">
      <c r="A912" s="151"/>
      <c r="B912" s="151"/>
      <c r="C912" s="151"/>
      <c r="D912" s="151"/>
      <c r="E912" s="151"/>
      <c r="F912" s="151"/>
      <c r="G912" s="151"/>
      <c r="H912" s="151"/>
      <c r="I912" s="151"/>
      <c r="J912" s="151"/>
      <c r="K912" s="151"/>
      <c r="L912" s="151"/>
      <c r="M912" s="151"/>
      <c r="N912" s="151"/>
      <c r="O912" s="151"/>
      <c r="P912" s="151"/>
      <c r="Q912" s="151"/>
      <c r="R912" s="151"/>
      <c r="S912" s="151"/>
      <c r="T912" s="151"/>
      <c r="U912" s="151"/>
      <c r="V912" s="151"/>
      <c r="W912" s="151"/>
      <c r="X912" s="151"/>
      <c r="Y912" s="151"/>
      <c r="Z912" s="151"/>
    </row>
    <row r="913" ht="12.75" customHeight="1">
      <c r="A913" s="151"/>
      <c r="B913" s="151"/>
      <c r="C913" s="151"/>
      <c r="D913" s="151"/>
      <c r="E913" s="151"/>
      <c r="F913" s="151"/>
      <c r="G913" s="151"/>
      <c r="H913" s="151"/>
      <c r="I913" s="151"/>
      <c r="J913" s="151"/>
      <c r="K913" s="151"/>
      <c r="L913" s="151"/>
      <c r="M913" s="151"/>
      <c r="N913" s="151"/>
      <c r="O913" s="151"/>
      <c r="P913" s="151"/>
      <c r="Q913" s="151"/>
      <c r="R913" s="151"/>
      <c r="S913" s="151"/>
      <c r="T913" s="151"/>
      <c r="U913" s="151"/>
      <c r="V913" s="151"/>
      <c r="W913" s="151"/>
      <c r="X913" s="151"/>
      <c r="Y913" s="151"/>
      <c r="Z913" s="151"/>
    </row>
    <row r="914" ht="12.75" customHeight="1">
      <c r="A914" s="151"/>
      <c r="B914" s="151"/>
      <c r="C914" s="151"/>
      <c r="D914" s="151"/>
      <c r="E914" s="151"/>
      <c r="F914" s="151"/>
      <c r="G914" s="151"/>
      <c r="H914" s="151"/>
      <c r="I914" s="151"/>
      <c r="J914" s="151"/>
      <c r="K914" s="151"/>
      <c r="L914" s="151"/>
      <c r="M914" s="151"/>
      <c r="N914" s="151"/>
      <c r="O914" s="151"/>
      <c r="P914" s="151"/>
      <c r="Q914" s="151"/>
      <c r="R914" s="151"/>
      <c r="S914" s="151"/>
      <c r="T914" s="151"/>
      <c r="U914" s="151"/>
      <c r="V914" s="151"/>
      <c r="W914" s="151"/>
      <c r="X914" s="151"/>
      <c r="Y914" s="151"/>
      <c r="Z914" s="151"/>
    </row>
    <row r="915" ht="12.75" customHeight="1">
      <c r="A915" s="151"/>
      <c r="B915" s="151"/>
      <c r="C915" s="151"/>
      <c r="D915" s="151"/>
      <c r="E915" s="151"/>
      <c r="F915" s="151"/>
      <c r="G915" s="151"/>
      <c r="H915" s="151"/>
      <c r="I915" s="151"/>
      <c r="J915" s="151"/>
      <c r="K915" s="151"/>
      <c r="L915" s="151"/>
      <c r="M915" s="151"/>
      <c r="N915" s="151"/>
      <c r="O915" s="151"/>
      <c r="P915" s="151"/>
      <c r="Q915" s="151"/>
      <c r="R915" s="151"/>
      <c r="S915" s="151"/>
      <c r="T915" s="151"/>
      <c r="U915" s="151"/>
      <c r="V915" s="151"/>
      <c r="W915" s="151"/>
      <c r="X915" s="151"/>
      <c r="Y915" s="151"/>
      <c r="Z915" s="151"/>
    </row>
    <row r="916" ht="12.75" customHeight="1">
      <c r="A916" s="151"/>
      <c r="B916" s="151"/>
      <c r="C916" s="151"/>
      <c r="D916" s="151"/>
      <c r="E916" s="151"/>
      <c r="F916" s="151"/>
      <c r="G916" s="151"/>
      <c r="H916" s="151"/>
      <c r="I916" s="151"/>
      <c r="J916" s="151"/>
      <c r="K916" s="151"/>
      <c r="L916" s="151"/>
      <c r="M916" s="151"/>
      <c r="N916" s="151"/>
      <c r="O916" s="151"/>
      <c r="P916" s="151"/>
      <c r="Q916" s="151"/>
      <c r="R916" s="151"/>
      <c r="S916" s="151"/>
      <c r="T916" s="151"/>
      <c r="U916" s="151"/>
      <c r="V916" s="151"/>
      <c r="W916" s="151"/>
      <c r="X916" s="151"/>
      <c r="Y916" s="151"/>
      <c r="Z916" s="151"/>
    </row>
    <row r="917" ht="12.75" customHeight="1">
      <c r="A917" s="151"/>
      <c r="B917" s="151"/>
      <c r="C917" s="151"/>
      <c r="D917" s="151"/>
      <c r="E917" s="151"/>
      <c r="F917" s="151"/>
      <c r="G917" s="151"/>
      <c r="H917" s="151"/>
      <c r="I917" s="151"/>
      <c r="J917" s="151"/>
      <c r="K917" s="151"/>
      <c r="L917" s="151"/>
      <c r="M917" s="151"/>
      <c r="N917" s="151"/>
      <c r="O917" s="151"/>
      <c r="P917" s="151"/>
      <c r="Q917" s="151"/>
      <c r="R917" s="151"/>
      <c r="S917" s="151"/>
      <c r="T917" s="151"/>
      <c r="U917" s="151"/>
      <c r="V917" s="151"/>
      <c r="W917" s="151"/>
      <c r="X917" s="151"/>
      <c r="Y917" s="151"/>
      <c r="Z917" s="151"/>
    </row>
    <row r="918" ht="12.75" customHeight="1">
      <c r="A918" s="151"/>
      <c r="B918" s="151"/>
      <c r="C918" s="151"/>
      <c r="D918" s="151"/>
      <c r="E918" s="151"/>
      <c r="F918" s="151"/>
      <c r="G918" s="151"/>
      <c r="H918" s="151"/>
      <c r="I918" s="151"/>
      <c r="J918" s="151"/>
      <c r="K918" s="151"/>
      <c r="L918" s="151"/>
      <c r="M918" s="151"/>
      <c r="N918" s="151"/>
      <c r="O918" s="151"/>
      <c r="P918" s="151"/>
      <c r="Q918" s="151"/>
      <c r="R918" s="151"/>
      <c r="S918" s="151"/>
      <c r="T918" s="151"/>
      <c r="U918" s="151"/>
      <c r="V918" s="151"/>
      <c r="W918" s="151"/>
      <c r="X918" s="151"/>
      <c r="Y918" s="151"/>
      <c r="Z918" s="151"/>
    </row>
    <row r="919" ht="12.75" customHeight="1">
      <c r="A919" s="151"/>
      <c r="B919" s="151"/>
      <c r="C919" s="151"/>
      <c r="D919" s="151"/>
      <c r="E919" s="151"/>
      <c r="F919" s="151"/>
      <c r="G919" s="151"/>
      <c r="H919" s="151"/>
      <c r="I919" s="151"/>
      <c r="J919" s="151"/>
      <c r="K919" s="151"/>
      <c r="L919" s="151"/>
      <c r="M919" s="151"/>
      <c r="N919" s="151"/>
      <c r="O919" s="151"/>
      <c r="P919" s="151"/>
      <c r="Q919" s="151"/>
      <c r="R919" s="151"/>
      <c r="S919" s="151"/>
      <c r="T919" s="151"/>
      <c r="U919" s="151"/>
      <c r="V919" s="151"/>
      <c r="W919" s="151"/>
      <c r="X919" s="151"/>
      <c r="Y919" s="151"/>
      <c r="Z919" s="151"/>
    </row>
    <row r="920" ht="12.75" customHeight="1">
      <c r="A920" s="151"/>
      <c r="B920" s="151"/>
      <c r="C920" s="151"/>
      <c r="D920" s="151"/>
      <c r="E920" s="151"/>
      <c r="F920" s="151"/>
      <c r="G920" s="151"/>
      <c r="H920" s="151"/>
      <c r="I920" s="151"/>
      <c r="J920" s="151"/>
      <c r="K920" s="151"/>
      <c r="L920" s="151"/>
      <c r="M920" s="151"/>
      <c r="N920" s="151"/>
      <c r="O920" s="151"/>
      <c r="P920" s="151"/>
      <c r="Q920" s="151"/>
      <c r="R920" s="151"/>
      <c r="S920" s="151"/>
      <c r="T920" s="151"/>
      <c r="U920" s="151"/>
      <c r="V920" s="151"/>
      <c r="W920" s="151"/>
      <c r="X920" s="151"/>
      <c r="Y920" s="151"/>
      <c r="Z920" s="151"/>
    </row>
    <row r="921" ht="12.75" customHeight="1">
      <c r="A921" s="151"/>
      <c r="B921" s="151"/>
      <c r="C921" s="151"/>
      <c r="D921" s="151"/>
      <c r="E921" s="151"/>
      <c r="F921" s="151"/>
      <c r="G921" s="151"/>
      <c r="H921" s="151"/>
      <c r="I921" s="151"/>
      <c r="J921" s="151"/>
      <c r="K921" s="151"/>
      <c r="L921" s="151"/>
      <c r="M921" s="151"/>
      <c r="N921" s="151"/>
      <c r="O921" s="151"/>
      <c r="P921" s="151"/>
      <c r="Q921" s="151"/>
      <c r="R921" s="151"/>
      <c r="S921" s="151"/>
      <c r="T921" s="151"/>
      <c r="U921" s="151"/>
      <c r="V921" s="151"/>
      <c r="W921" s="151"/>
      <c r="X921" s="151"/>
      <c r="Y921" s="151"/>
      <c r="Z921" s="151"/>
    </row>
    <row r="922" ht="12.75" customHeight="1">
      <c r="A922" s="151"/>
      <c r="B922" s="151"/>
      <c r="C922" s="151"/>
      <c r="D922" s="151"/>
      <c r="E922" s="151"/>
      <c r="F922" s="151"/>
      <c r="G922" s="151"/>
      <c r="H922" s="151"/>
      <c r="I922" s="151"/>
      <c r="J922" s="151"/>
      <c r="K922" s="151"/>
      <c r="L922" s="151"/>
      <c r="M922" s="151"/>
      <c r="N922" s="151"/>
      <c r="O922" s="151"/>
      <c r="P922" s="151"/>
      <c r="Q922" s="151"/>
      <c r="R922" s="151"/>
      <c r="S922" s="151"/>
      <c r="T922" s="151"/>
      <c r="U922" s="151"/>
      <c r="V922" s="151"/>
      <c r="W922" s="151"/>
      <c r="X922" s="151"/>
      <c r="Y922" s="151"/>
      <c r="Z922" s="151"/>
    </row>
    <row r="923" ht="12.75" customHeight="1">
      <c r="A923" s="151"/>
      <c r="B923" s="151"/>
      <c r="C923" s="151"/>
      <c r="D923" s="151"/>
      <c r="E923" s="151"/>
      <c r="F923" s="151"/>
      <c r="G923" s="151"/>
      <c r="H923" s="151"/>
      <c r="I923" s="151"/>
      <c r="J923" s="151"/>
      <c r="K923" s="151"/>
      <c r="L923" s="151"/>
      <c r="M923" s="151"/>
      <c r="N923" s="151"/>
      <c r="O923" s="151"/>
      <c r="P923" s="151"/>
      <c r="Q923" s="151"/>
      <c r="R923" s="151"/>
      <c r="S923" s="151"/>
      <c r="T923" s="151"/>
      <c r="U923" s="151"/>
      <c r="V923" s="151"/>
      <c r="W923" s="151"/>
      <c r="X923" s="151"/>
      <c r="Y923" s="151"/>
      <c r="Z923" s="151"/>
    </row>
    <row r="924" ht="12.75" customHeight="1">
      <c r="A924" s="151"/>
      <c r="B924" s="151"/>
      <c r="C924" s="151"/>
      <c r="D924" s="151"/>
      <c r="E924" s="151"/>
      <c r="F924" s="151"/>
      <c r="G924" s="151"/>
      <c r="H924" s="151"/>
      <c r="I924" s="151"/>
      <c r="J924" s="151"/>
      <c r="K924" s="151"/>
      <c r="L924" s="151"/>
      <c r="M924" s="151"/>
      <c r="N924" s="151"/>
      <c r="O924" s="151"/>
      <c r="P924" s="151"/>
      <c r="Q924" s="151"/>
      <c r="R924" s="151"/>
      <c r="S924" s="151"/>
      <c r="T924" s="151"/>
      <c r="U924" s="151"/>
      <c r="V924" s="151"/>
      <c r="W924" s="151"/>
      <c r="X924" s="151"/>
      <c r="Y924" s="151"/>
      <c r="Z924" s="151"/>
    </row>
    <row r="925" ht="12.75" customHeight="1">
      <c r="A925" s="151"/>
      <c r="B925" s="151"/>
      <c r="C925" s="151"/>
      <c r="D925" s="151"/>
      <c r="E925" s="151"/>
      <c r="F925" s="151"/>
      <c r="G925" s="151"/>
      <c r="H925" s="151"/>
      <c r="I925" s="151"/>
      <c r="J925" s="151"/>
      <c r="K925" s="151"/>
      <c r="L925" s="151"/>
      <c r="M925" s="151"/>
      <c r="N925" s="151"/>
      <c r="O925" s="151"/>
      <c r="P925" s="151"/>
      <c r="Q925" s="151"/>
      <c r="R925" s="151"/>
      <c r="S925" s="151"/>
      <c r="T925" s="151"/>
      <c r="U925" s="151"/>
      <c r="V925" s="151"/>
      <c r="W925" s="151"/>
      <c r="X925" s="151"/>
      <c r="Y925" s="151"/>
      <c r="Z925" s="151"/>
    </row>
    <row r="926" ht="12.75" customHeight="1">
      <c r="A926" s="151"/>
      <c r="B926" s="151"/>
      <c r="C926" s="151"/>
      <c r="D926" s="151"/>
      <c r="E926" s="151"/>
      <c r="F926" s="151"/>
      <c r="G926" s="151"/>
      <c r="H926" s="151"/>
      <c r="I926" s="151"/>
      <c r="J926" s="151"/>
      <c r="K926" s="151"/>
      <c r="L926" s="151"/>
      <c r="M926" s="151"/>
      <c r="N926" s="151"/>
      <c r="O926" s="151"/>
      <c r="P926" s="151"/>
      <c r="Q926" s="151"/>
      <c r="R926" s="151"/>
      <c r="S926" s="151"/>
      <c r="T926" s="151"/>
      <c r="U926" s="151"/>
      <c r="V926" s="151"/>
      <c r="W926" s="151"/>
      <c r="X926" s="151"/>
      <c r="Y926" s="151"/>
      <c r="Z926" s="151"/>
    </row>
    <row r="927" ht="12.75" customHeight="1">
      <c r="A927" s="151"/>
      <c r="B927" s="151"/>
      <c r="C927" s="151"/>
      <c r="D927" s="151"/>
      <c r="E927" s="151"/>
      <c r="F927" s="151"/>
      <c r="G927" s="151"/>
      <c r="H927" s="151"/>
      <c r="I927" s="151"/>
      <c r="J927" s="151"/>
      <c r="K927" s="151"/>
      <c r="L927" s="151"/>
      <c r="M927" s="151"/>
      <c r="N927" s="151"/>
      <c r="O927" s="151"/>
      <c r="P927" s="151"/>
      <c r="Q927" s="151"/>
      <c r="R927" s="151"/>
      <c r="S927" s="151"/>
      <c r="T927" s="151"/>
      <c r="U927" s="151"/>
      <c r="V927" s="151"/>
      <c r="W927" s="151"/>
      <c r="X927" s="151"/>
      <c r="Y927" s="151"/>
      <c r="Z927" s="151"/>
    </row>
    <row r="928" ht="12.75" customHeight="1">
      <c r="A928" s="151"/>
      <c r="B928" s="151"/>
      <c r="C928" s="151"/>
      <c r="D928" s="151"/>
      <c r="E928" s="151"/>
      <c r="F928" s="151"/>
      <c r="G928" s="151"/>
      <c r="H928" s="151"/>
      <c r="I928" s="151"/>
      <c r="J928" s="151"/>
      <c r="K928" s="151"/>
      <c r="L928" s="151"/>
      <c r="M928" s="151"/>
      <c r="N928" s="151"/>
      <c r="O928" s="151"/>
      <c r="P928" s="151"/>
      <c r="Q928" s="151"/>
      <c r="R928" s="151"/>
      <c r="S928" s="151"/>
      <c r="T928" s="151"/>
      <c r="U928" s="151"/>
      <c r="V928" s="151"/>
      <c r="W928" s="151"/>
      <c r="X928" s="151"/>
      <c r="Y928" s="151"/>
      <c r="Z928" s="151"/>
    </row>
    <row r="929" ht="12.75" customHeight="1">
      <c r="A929" s="151"/>
      <c r="B929" s="151"/>
      <c r="C929" s="151"/>
      <c r="D929" s="151"/>
      <c r="E929" s="151"/>
      <c r="F929" s="151"/>
      <c r="G929" s="151"/>
      <c r="H929" s="151"/>
      <c r="I929" s="151"/>
      <c r="J929" s="151"/>
      <c r="K929" s="151"/>
      <c r="L929" s="151"/>
      <c r="M929" s="151"/>
      <c r="N929" s="151"/>
      <c r="O929" s="151"/>
      <c r="P929" s="151"/>
      <c r="Q929" s="151"/>
      <c r="R929" s="151"/>
      <c r="S929" s="151"/>
      <c r="T929" s="151"/>
      <c r="U929" s="151"/>
      <c r="V929" s="151"/>
      <c r="W929" s="151"/>
      <c r="X929" s="151"/>
      <c r="Y929" s="151"/>
      <c r="Z929" s="151"/>
    </row>
    <row r="930" ht="12.75" customHeight="1">
      <c r="A930" s="151"/>
      <c r="B930" s="151"/>
      <c r="C930" s="151"/>
      <c r="D930" s="151"/>
      <c r="E930" s="151"/>
      <c r="F930" s="151"/>
      <c r="G930" s="151"/>
      <c r="H930" s="151"/>
      <c r="I930" s="151"/>
      <c r="J930" s="151"/>
      <c r="K930" s="151"/>
      <c r="L930" s="151"/>
      <c r="M930" s="151"/>
      <c r="N930" s="151"/>
      <c r="O930" s="151"/>
      <c r="P930" s="151"/>
      <c r="Q930" s="151"/>
      <c r="R930" s="151"/>
      <c r="S930" s="151"/>
      <c r="T930" s="151"/>
      <c r="U930" s="151"/>
      <c r="V930" s="151"/>
      <c r="W930" s="151"/>
      <c r="X930" s="151"/>
      <c r="Y930" s="151"/>
      <c r="Z930" s="151"/>
    </row>
    <row r="931" ht="12.75" customHeight="1">
      <c r="A931" s="151"/>
      <c r="B931" s="151"/>
      <c r="C931" s="151"/>
      <c r="D931" s="151"/>
      <c r="E931" s="151"/>
      <c r="F931" s="151"/>
      <c r="G931" s="151"/>
      <c r="H931" s="151"/>
      <c r="I931" s="151"/>
      <c r="J931" s="151"/>
      <c r="K931" s="151"/>
      <c r="L931" s="151"/>
      <c r="M931" s="151"/>
      <c r="N931" s="151"/>
      <c r="O931" s="151"/>
      <c r="P931" s="151"/>
      <c r="Q931" s="151"/>
      <c r="R931" s="151"/>
      <c r="S931" s="151"/>
      <c r="T931" s="151"/>
      <c r="U931" s="151"/>
      <c r="V931" s="151"/>
      <c r="W931" s="151"/>
      <c r="X931" s="151"/>
      <c r="Y931" s="151"/>
      <c r="Z931" s="151"/>
    </row>
    <row r="932" ht="12.75" customHeight="1">
      <c r="A932" s="151"/>
      <c r="B932" s="151"/>
      <c r="C932" s="151"/>
      <c r="D932" s="151"/>
      <c r="E932" s="151"/>
      <c r="F932" s="151"/>
      <c r="G932" s="151"/>
      <c r="H932" s="151"/>
      <c r="I932" s="151"/>
      <c r="J932" s="151"/>
      <c r="K932" s="151"/>
      <c r="L932" s="151"/>
      <c r="M932" s="151"/>
      <c r="N932" s="151"/>
      <c r="O932" s="151"/>
      <c r="P932" s="151"/>
      <c r="Q932" s="151"/>
      <c r="R932" s="151"/>
      <c r="S932" s="151"/>
      <c r="T932" s="151"/>
      <c r="U932" s="151"/>
      <c r="V932" s="151"/>
      <c r="W932" s="151"/>
      <c r="X932" s="151"/>
      <c r="Y932" s="151"/>
      <c r="Z932" s="151"/>
    </row>
    <row r="933" ht="12.75" customHeight="1">
      <c r="A933" s="151"/>
      <c r="B933" s="151"/>
      <c r="C933" s="151"/>
      <c r="D933" s="151"/>
      <c r="E933" s="151"/>
      <c r="F933" s="151"/>
      <c r="G933" s="151"/>
      <c r="H933" s="151"/>
      <c r="I933" s="151"/>
      <c r="J933" s="151"/>
      <c r="K933" s="151"/>
      <c r="L933" s="151"/>
      <c r="M933" s="151"/>
      <c r="N933" s="151"/>
      <c r="O933" s="151"/>
      <c r="P933" s="151"/>
      <c r="Q933" s="151"/>
      <c r="R933" s="151"/>
      <c r="S933" s="151"/>
      <c r="T933" s="151"/>
      <c r="U933" s="151"/>
      <c r="V933" s="151"/>
      <c r="W933" s="151"/>
      <c r="X933" s="151"/>
      <c r="Y933" s="151"/>
      <c r="Z933" s="151"/>
    </row>
    <row r="934" ht="12.75" customHeight="1">
      <c r="A934" s="151"/>
      <c r="B934" s="151"/>
      <c r="C934" s="151"/>
      <c r="D934" s="151"/>
      <c r="E934" s="151"/>
      <c r="F934" s="151"/>
      <c r="G934" s="151"/>
      <c r="H934" s="151"/>
      <c r="I934" s="151"/>
      <c r="J934" s="151"/>
      <c r="K934" s="151"/>
      <c r="L934" s="151"/>
      <c r="M934" s="151"/>
      <c r="N934" s="151"/>
      <c r="O934" s="151"/>
      <c r="P934" s="151"/>
      <c r="Q934" s="151"/>
      <c r="R934" s="151"/>
      <c r="S934" s="151"/>
      <c r="T934" s="151"/>
      <c r="U934" s="151"/>
      <c r="V934" s="151"/>
      <c r="W934" s="151"/>
      <c r="X934" s="151"/>
      <c r="Y934" s="151"/>
      <c r="Z934" s="151"/>
    </row>
    <row r="935" ht="12.75" customHeight="1">
      <c r="A935" s="151"/>
      <c r="B935" s="151"/>
      <c r="C935" s="151"/>
      <c r="D935" s="151"/>
      <c r="E935" s="151"/>
      <c r="F935" s="151"/>
      <c r="G935" s="151"/>
      <c r="H935" s="151"/>
      <c r="I935" s="151"/>
      <c r="J935" s="151"/>
      <c r="K935" s="151"/>
      <c r="L935" s="151"/>
      <c r="M935" s="151"/>
      <c r="N935" s="151"/>
      <c r="O935" s="151"/>
      <c r="P935" s="151"/>
      <c r="Q935" s="151"/>
      <c r="R935" s="151"/>
      <c r="S935" s="151"/>
      <c r="T935" s="151"/>
      <c r="U935" s="151"/>
      <c r="V935" s="151"/>
      <c r="W935" s="151"/>
      <c r="X935" s="151"/>
      <c r="Y935" s="151"/>
      <c r="Z935" s="151"/>
    </row>
    <row r="936" ht="12.75" customHeight="1">
      <c r="A936" s="151"/>
      <c r="B936" s="151"/>
      <c r="C936" s="151"/>
      <c r="D936" s="151"/>
      <c r="E936" s="151"/>
      <c r="F936" s="151"/>
      <c r="G936" s="151"/>
      <c r="H936" s="151"/>
      <c r="I936" s="151"/>
      <c r="J936" s="151"/>
      <c r="K936" s="151"/>
      <c r="L936" s="151"/>
      <c r="M936" s="151"/>
      <c r="N936" s="151"/>
      <c r="O936" s="151"/>
      <c r="P936" s="151"/>
      <c r="Q936" s="151"/>
      <c r="R936" s="151"/>
      <c r="S936" s="151"/>
      <c r="T936" s="151"/>
      <c r="U936" s="151"/>
      <c r="V936" s="151"/>
      <c r="W936" s="151"/>
      <c r="X936" s="151"/>
      <c r="Y936" s="151"/>
      <c r="Z936" s="151"/>
    </row>
    <row r="937" ht="12.75" customHeight="1">
      <c r="A937" s="151"/>
      <c r="B937" s="151"/>
      <c r="C937" s="151"/>
      <c r="D937" s="151"/>
      <c r="E937" s="151"/>
      <c r="F937" s="151"/>
      <c r="G937" s="151"/>
      <c r="H937" s="151"/>
      <c r="I937" s="151"/>
      <c r="J937" s="151"/>
      <c r="K937" s="151"/>
      <c r="L937" s="151"/>
      <c r="M937" s="151"/>
      <c r="N937" s="151"/>
      <c r="O937" s="151"/>
      <c r="P937" s="151"/>
      <c r="Q937" s="151"/>
      <c r="R937" s="151"/>
      <c r="S937" s="151"/>
      <c r="T937" s="151"/>
      <c r="U937" s="151"/>
      <c r="V937" s="151"/>
      <c r="W937" s="151"/>
      <c r="X937" s="151"/>
      <c r="Y937" s="151"/>
      <c r="Z937" s="151"/>
    </row>
    <row r="938" ht="12.75" customHeight="1">
      <c r="A938" s="151"/>
      <c r="B938" s="151"/>
      <c r="C938" s="151"/>
      <c r="D938" s="151"/>
      <c r="E938" s="151"/>
      <c r="F938" s="151"/>
      <c r="G938" s="151"/>
      <c r="H938" s="151"/>
      <c r="I938" s="151"/>
      <c r="J938" s="151"/>
      <c r="K938" s="151"/>
      <c r="L938" s="151"/>
      <c r="M938" s="151"/>
      <c r="N938" s="151"/>
      <c r="O938" s="151"/>
      <c r="P938" s="151"/>
      <c r="Q938" s="151"/>
      <c r="R938" s="151"/>
      <c r="S938" s="151"/>
      <c r="T938" s="151"/>
      <c r="U938" s="151"/>
      <c r="V938" s="151"/>
      <c r="W938" s="151"/>
      <c r="X938" s="151"/>
      <c r="Y938" s="151"/>
      <c r="Z938" s="151"/>
    </row>
    <row r="939" ht="12.75" customHeight="1">
      <c r="A939" s="151"/>
      <c r="B939" s="151"/>
      <c r="C939" s="151"/>
      <c r="D939" s="151"/>
      <c r="E939" s="151"/>
      <c r="F939" s="151"/>
      <c r="G939" s="151"/>
      <c r="H939" s="151"/>
      <c r="I939" s="151"/>
      <c r="J939" s="151"/>
      <c r="K939" s="151"/>
      <c r="L939" s="151"/>
      <c r="M939" s="151"/>
      <c r="N939" s="151"/>
      <c r="O939" s="151"/>
      <c r="P939" s="151"/>
      <c r="Q939" s="151"/>
      <c r="R939" s="151"/>
      <c r="S939" s="151"/>
      <c r="T939" s="151"/>
      <c r="U939" s="151"/>
      <c r="V939" s="151"/>
      <c r="W939" s="151"/>
      <c r="X939" s="151"/>
      <c r="Y939" s="151"/>
      <c r="Z939" s="151"/>
    </row>
    <row r="940" ht="12.75" customHeight="1">
      <c r="A940" s="151"/>
      <c r="B940" s="151"/>
      <c r="C940" s="151"/>
      <c r="D940" s="151"/>
      <c r="E940" s="151"/>
      <c r="F940" s="151"/>
      <c r="G940" s="151"/>
      <c r="H940" s="151"/>
      <c r="I940" s="151"/>
      <c r="J940" s="151"/>
      <c r="K940" s="151"/>
      <c r="L940" s="151"/>
      <c r="M940" s="151"/>
      <c r="N940" s="151"/>
      <c r="O940" s="151"/>
      <c r="P940" s="151"/>
      <c r="Q940" s="151"/>
      <c r="R940" s="151"/>
      <c r="S940" s="151"/>
      <c r="T940" s="151"/>
      <c r="U940" s="151"/>
      <c r="V940" s="151"/>
      <c r="W940" s="151"/>
      <c r="X940" s="151"/>
      <c r="Y940" s="151"/>
      <c r="Z940" s="151"/>
    </row>
    <row r="941" ht="12.75" customHeight="1">
      <c r="A941" s="151"/>
      <c r="B941" s="151"/>
      <c r="C941" s="151"/>
      <c r="D941" s="151"/>
      <c r="E941" s="151"/>
      <c r="F941" s="151"/>
      <c r="G941" s="151"/>
      <c r="H941" s="151"/>
      <c r="I941" s="151"/>
      <c r="J941" s="151"/>
      <c r="K941" s="151"/>
      <c r="L941" s="151"/>
      <c r="M941" s="151"/>
      <c r="N941" s="151"/>
      <c r="O941" s="151"/>
      <c r="P941" s="151"/>
      <c r="Q941" s="151"/>
      <c r="R941" s="151"/>
      <c r="S941" s="151"/>
      <c r="T941" s="151"/>
      <c r="U941" s="151"/>
      <c r="V941" s="151"/>
      <c r="W941" s="151"/>
      <c r="X941" s="151"/>
      <c r="Y941" s="151"/>
      <c r="Z941" s="151"/>
    </row>
    <row r="942" ht="12.75" customHeight="1">
      <c r="A942" s="151"/>
      <c r="B942" s="151"/>
      <c r="C942" s="151"/>
      <c r="D942" s="151"/>
      <c r="E942" s="151"/>
      <c r="F942" s="151"/>
      <c r="G942" s="151"/>
      <c r="H942" s="151"/>
      <c r="I942" s="151"/>
      <c r="J942" s="151"/>
      <c r="K942" s="151"/>
      <c r="L942" s="151"/>
      <c r="M942" s="151"/>
      <c r="N942" s="151"/>
      <c r="O942" s="151"/>
      <c r="P942" s="151"/>
      <c r="Q942" s="151"/>
      <c r="R942" s="151"/>
      <c r="S942" s="151"/>
      <c r="T942" s="151"/>
      <c r="U942" s="151"/>
      <c r="V942" s="151"/>
      <c r="W942" s="151"/>
      <c r="X942" s="151"/>
      <c r="Y942" s="151"/>
      <c r="Z942" s="151"/>
    </row>
    <row r="943" ht="12.75" customHeight="1">
      <c r="A943" s="151"/>
      <c r="B943" s="151"/>
      <c r="C943" s="151"/>
      <c r="D943" s="151"/>
      <c r="E943" s="151"/>
      <c r="F943" s="151"/>
      <c r="G943" s="151"/>
      <c r="H943" s="151"/>
      <c r="I943" s="151"/>
      <c r="J943" s="151"/>
      <c r="K943" s="151"/>
      <c r="L943" s="151"/>
      <c r="M943" s="151"/>
      <c r="N943" s="151"/>
      <c r="O943" s="151"/>
      <c r="P943" s="151"/>
      <c r="Q943" s="151"/>
      <c r="R943" s="151"/>
      <c r="S943" s="151"/>
      <c r="T943" s="151"/>
      <c r="U943" s="151"/>
      <c r="V943" s="151"/>
      <c r="W943" s="151"/>
      <c r="X943" s="151"/>
      <c r="Y943" s="151"/>
      <c r="Z943" s="151"/>
    </row>
    <row r="944" ht="12.75" customHeight="1">
      <c r="A944" s="151"/>
      <c r="B944" s="151"/>
      <c r="C944" s="151"/>
      <c r="D944" s="151"/>
      <c r="E944" s="151"/>
      <c r="F944" s="151"/>
      <c r="G944" s="151"/>
      <c r="H944" s="151"/>
      <c r="I944" s="151"/>
      <c r="J944" s="151"/>
      <c r="K944" s="151"/>
      <c r="L944" s="151"/>
      <c r="M944" s="151"/>
      <c r="N944" s="151"/>
      <c r="O944" s="151"/>
      <c r="P944" s="151"/>
      <c r="Q944" s="151"/>
      <c r="R944" s="151"/>
      <c r="S944" s="151"/>
      <c r="T944" s="151"/>
      <c r="U944" s="151"/>
      <c r="V944" s="151"/>
      <c r="W944" s="151"/>
      <c r="X944" s="151"/>
      <c r="Y944" s="151"/>
      <c r="Z944" s="151"/>
    </row>
    <row r="945" ht="12.75" customHeight="1">
      <c r="A945" s="151"/>
      <c r="B945" s="151"/>
      <c r="C945" s="151"/>
      <c r="D945" s="151"/>
      <c r="E945" s="151"/>
      <c r="F945" s="151"/>
      <c r="G945" s="151"/>
      <c r="H945" s="151"/>
      <c r="I945" s="151"/>
      <c r="J945" s="151"/>
      <c r="K945" s="151"/>
      <c r="L945" s="151"/>
      <c r="M945" s="151"/>
      <c r="N945" s="151"/>
      <c r="O945" s="151"/>
      <c r="P945" s="151"/>
      <c r="Q945" s="151"/>
      <c r="R945" s="151"/>
      <c r="S945" s="151"/>
      <c r="T945" s="151"/>
      <c r="U945" s="151"/>
      <c r="V945" s="151"/>
      <c r="W945" s="151"/>
      <c r="X945" s="151"/>
      <c r="Y945" s="151"/>
      <c r="Z945" s="151"/>
    </row>
    <row r="946" ht="12.75" customHeight="1">
      <c r="A946" s="151"/>
      <c r="B946" s="151"/>
      <c r="C946" s="151"/>
      <c r="D946" s="151"/>
      <c r="E946" s="151"/>
      <c r="F946" s="151"/>
      <c r="G946" s="151"/>
      <c r="H946" s="151"/>
      <c r="I946" s="151"/>
      <c r="J946" s="151"/>
      <c r="K946" s="151"/>
      <c r="L946" s="151"/>
      <c r="M946" s="151"/>
      <c r="N946" s="151"/>
      <c r="O946" s="151"/>
      <c r="P946" s="151"/>
      <c r="Q946" s="151"/>
      <c r="R946" s="151"/>
      <c r="S946" s="151"/>
      <c r="T946" s="151"/>
      <c r="U946" s="151"/>
      <c r="V946" s="151"/>
      <c r="W946" s="151"/>
      <c r="X946" s="151"/>
      <c r="Y946" s="151"/>
      <c r="Z946" s="151"/>
    </row>
    <row r="947" ht="12.75" customHeight="1">
      <c r="A947" s="151"/>
      <c r="B947" s="151"/>
      <c r="C947" s="151"/>
      <c r="D947" s="151"/>
      <c r="E947" s="151"/>
      <c r="F947" s="151"/>
      <c r="G947" s="151"/>
      <c r="H947" s="151"/>
      <c r="I947" s="151"/>
      <c r="J947" s="151"/>
      <c r="K947" s="151"/>
      <c r="L947" s="151"/>
      <c r="M947" s="151"/>
      <c r="N947" s="151"/>
      <c r="O947" s="151"/>
      <c r="P947" s="151"/>
      <c r="Q947" s="151"/>
      <c r="R947" s="151"/>
      <c r="S947" s="151"/>
      <c r="T947" s="151"/>
      <c r="U947" s="151"/>
      <c r="V947" s="151"/>
      <c r="W947" s="151"/>
      <c r="X947" s="151"/>
      <c r="Y947" s="151"/>
      <c r="Z947" s="151"/>
    </row>
    <row r="948" ht="12.75" customHeight="1">
      <c r="A948" s="151"/>
      <c r="B948" s="151"/>
      <c r="C948" s="151"/>
      <c r="D948" s="151"/>
      <c r="E948" s="151"/>
      <c r="F948" s="151"/>
      <c r="G948" s="151"/>
      <c r="H948" s="151"/>
      <c r="I948" s="151"/>
      <c r="J948" s="151"/>
      <c r="K948" s="151"/>
      <c r="L948" s="151"/>
      <c r="M948" s="151"/>
      <c r="N948" s="151"/>
      <c r="O948" s="151"/>
      <c r="P948" s="151"/>
      <c r="Q948" s="151"/>
      <c r="R948" s="151"/>
      <c r="S948" s="151"/>
      <c r="T948" s="151"/>
      <c r="U948" s="151"/>
      <c r="V948" s="151"/>
      <c r="W948" s="151"/>
      <c r="X948" s="151"/>
      <c r="Y948" s="151"/>
      <c r="Z948" s="151"/>
    </row>
    <row r="949" ht="12.75" customHeight="1">
      <c r="A949" s="151"/>
      <c r="B949" s="151"/>
      <c r="C949" s="151"/>
      <c r="D949" s="151"/>
      <c r="E949" s="151"/>
      <c r="F949" s="151"/>
      <c r="G949" s="151"/>
      <c r="H949" s="151"/>
      <c r="I949" s="151"/>
      <c r="J949" s="151"/>
      <c r="K949" s="151"/>
      <c r="L949" s="151"/>
      <c r="M949" s="151"/>
      <c r="N949" s="151"/>
      <c r="O949" s="151"/>
      <c r="P949" s="151"/>
      <c r="Q949" s="151"/>
      <c r="R949" s="151"/>
      <c r="S949" s="151"/>
      <c r="T949" s="151"/>
      <c r="U949" s="151"/>
      <c r="V949" s="151"/>
      <c r="W949" s="151"/>
      <c r="X949" s="151"/>
      <c r="Y949" s="151"/>
      <c r="Z949" s="151"/>
    </row>
    <row r="950" ht="12.75" customHeight="1">
      <c r="A950" s="151"/>
      <c r="B950" s="151"/>
      <c r="C950" s="151"/>
      <c r="D950" s="151"/>
      <c r="E950" s="151"/>
      <c r="F950" s="151"/>
      <c r="G950" s="151"/>
      <c r="H950" s="151"/>
      <c r="I950" s="151"/>
      <c r="J950" s="151"/>
      <c r="K950" s="151"/>
      <c r="L950" s="151"/>
      <c r="M950" s="151"/>
      <c r="N950" s="151"/>
      <c r="O950" s="151"/>
      <c r="P950" s="151"/>
      <c r="Q950" s="151"/>
      <c r="R950" s="151"/>
      <c r="S950" s="151"/>
      <c r="T950" s="151"/>
      <c r="U950" s="151"/>
      <c r="V950" s="151"/>
      <c r="W950" s="151"/>
      <c r="X950" s="151"/>
      <c r="Y950" s="151"/>
      <c r="Z950" s="151"/>
    </row>
    <row r="951" ht="12.75" customHeight="1">
      <c r="A951" s="151"/>
      <c r="B951" s="151"/>
      <c r="C951" s="151"/>
      <c r="D951" s="151"/>
      <c r="E951" s="151"/>
      <c r="F951" s="151"/>
      <c r="G951" s="151"/>
      <c r="H951" s="151"/>
      <c r="I951" s="151"/>
      <c r="J951" s="151"/>
      <c r="K951" s="151"/>
      <c r="L951" s="151"/>
      <c r="M951" s="151"/>
      <c r="N951" s="151"/>
      <c r="O951" s="151"/>
      <c r="P951" s="151"/>
      <c r="Q951" s="151"/>
      <c r="R951" s="151"/>
      <c r="S951" s="151"/>
      <c r="T951" s="151"/>
      <c r="U951" s="151"/>
      <c r="V951" s="151"/>
      <c r="W951" s="151"/>
      <c r="X951" s="151"/>
      <c r="Y951" s="151"/>
      <c r="Z951" s="151"/>
    </row>
    <row r="952" ht="12.75" customHeight="1">
      <c r="A952" s="151"/>
      <c r="B952" s="151"/>
      <c r="C952" s="151"/>
      <c r="D952" s="151"/>
      <c r="E952" s="151"/>
      <c r="F952" s="151"/>
      <c r="G952" s="151"/>
      <c r="H952" s="151"/>
      <c r="I952" s="151"/>
      <c r="J952" s="151"/>
      <c r="K952" s="151"/>
      <c r="L952" s="151"/>
      <c r="M952" s="151"/>
      <c r="N952" s="151"/>
      <c r="O952" s="151"/>
      <c r="P952" s="151"/>
      <c r="Q952" s="151"/>
      <c r="R952" s="151"/>
      <c r="S952" s="151"/>
      <c r="T952" s="151"/>
      <c r="U952" s="151"/>
      <c r="V952" s="151"/>
      <c r="W952" s="151"/>
      <c r="X952" s="151"/>
      <c r="Y952" s="151"/>
      <c r="Z952" s="151"/>
    </row>
    <row r="953" ht="12.75" customHeight="1">
      <c r="A953" s="151"/>
      <c r="B953" s="151"/>
      <c r="C953" s="151"/>
      <c r="D953" s="151"/>
      <c r="E953" s="151"/>
      <c r="F953" s="151"/>
      <c r="G953" s="151"/>
      <c r="H953" s="151"/>
      <c r="I953" s="151"/>
      <c r="J953" s="151"/>
      <c r="K953" s="151"/>
      <c r="L953" s="151"/>
      <c r="M953" s="151"/>
      <c r="N953" s="151"/>
      <c r="O953" s="151"/>
      <c r="P953" s="151"/>
      <c r="Q953" s="151"/>
      <c r="R953" s="151"/>
      <c r="S953" s="151"/>
      <c r="T953" s="151"/>
      <c r="U953" s="151"/>
      <c r="V953" s="151"/>
      <c r="W953" s="151"/>
      <c r="X953" s="151"/>
      <c r="Y953" s="151"/>
      <c r="Z953" s="151"/>
    </row>
    <row r="954" ht="12.75" customHeight="1">
      <c r="A954" s="151"/>
      <c r="B954" s="151"/>
      <c r="C954" s="151"/>
      <c r="D954" s="151"/>
      <c r="E954" s="151"/>
      <c r="F954" s="151"/>
      <c r="G954" s="151"/>
      <c r="H954" s="151"/>
      <c r="I954" s="151"/>
      <c r="J954" s="151"/>
      <c r="K954" s="151"/>
      <c r="L954" s="151"/>
      <c r="M954" s="151"/>
      <c r="N954" s="151"/>
      <c r="O954" s="151"/>
      <c r="P954" s="151"/>
      <c r="Q954" s="151"/>
      <c r="R954" s="151"/>
      <c r="S954" s="151"/>
      <c r="T954" s="151"/>
      <c r="U954" s="151"/>
      <c r="V954" s="151"/>
      <c r="W954" s="151"/>
      <c r="X954" s="151"/>
      <c r="Y954" s="151"/>
      <c r="Z954" s="151"/>
    </row>
    <row r="955" ht="12.75" customHeight="1">
      <c r="A955" s="151"/>
      <c r="B955" s="151"/>
      <c r="C955" s="151"/>
      <c r="D955" s="151"/>
      <c r="E955" s="151"/>
      <c r="F955" s="151"/>
      <c r="G955" s="151"/>
      <c r="H955" s="151"/>
      <c r="I955" s="151"/>
      <c r="J955" s="151"/>
      <c r="K955" s="151"/>
      <c r="L955" s="151"/>
      <c r="M955" s="151"/>
      <c r="N955" s="151"/>
      <c r="O955" s="151"/>
      <c r="P955" s="151"/>
      <c r="Q955" s="151"/>
      <c r="R955" s="151"/>
      <c r="S955" s="151"/>
      <c r="T955" s="151"/>
      <c r="U955" s="151"/>
      <c r="V955" s="151"/>
      <c r="W955" s="151"/>
      <c r="X955" s="151"/>
      <c r="Y955" s="151"/>
      <c r="Z955" s="151"/>
    </row>
    <row r="956" ht="12.75" customHeight="1">
      <c r="A956" s="151"/>
      <c r="B956" s="151"/>
      <c r="C956" s="151"/>
      <c r="D956" s="151"/>
      <c r="E956" s="151"/>
      <c r="F956" s="151"/>
      <c r="G956" s="151"/>
      <c r="H956" s="151"/>
      <c r="I956" s="151"/>
      <c r="J956" s="151"/>
      <c r="K956" s="151"/>
      <c r="L956" s="151"/>
      <c r="M956" s="151"/>
      <c r="N956" s="151"/>
      <c r="O956" s="151"/>
      <c r="P956" s="151"/>
      <c r="Q956" s="151"/>
      <c r="R956" s="151"/>
      <c r="S956" s="151"/>
      <c r="T956" s="151"/>
      <c r="U956" s="151"/>
      <c r="V956" s="151"/>
      <c r="W956" s="151"/>
      <c r="X956" s="151"/>
      <c r="Y956" s="151"/>
      <c r="Z956" s="151"/>
    </row>
    <row r="957" ht="12.75" customHeight="1">
      <c r="A957" s="151"/>
      <c r="B957" s="151"/>
      <c r="C957" s="151"/>
      <c r="D957" s="151"/>
      <c r="E957" s="151"/>
      <c r="F957" s="151"/>
      <c r="G957" s="151"/>
      <c r="H957" s="151"/>
      <c r="I957" s="151"/>
      <c r="J957" s="151"/>
      <c r="K957" s="151"/>
      <c r="L957" s="151"/>
      <c r="M957" s="151"/>
      <c r="N957" s="151"/>
      <c r="O957" s="151"/>
      <c r="P957" s="151"/>
      <c r="Q957" s="151"/>
      <c r="R957" s="151"/>
      <c r="S957" s="151"/>
      <c r="T957" s="151"/>
      <c r="U957" s="151"/>
      <c r="V957" s="151"/>
      <c r="W957" s="151"/>
      <c r="X957" s="151"/>
      <c r="Y957" s="151"/>
      <c r="Z957" s="151"/>
    </row>
    <row r="958" ht="12.75" customHeight="1">
      <c r="A958" s="151"/>
      <c r="B958" s="151"/>
      <c r="C958" s="151"/>
      <c r="D958" s="151"/>
      <c r="E958" s="151"/>
      <c r="F958" s="151"/>
      <c r="G958" s="151"/>
      <c r="H958" s="151"/>
      <c r="I958" s="151"/>
      <c r="J958" s="151"/>
      <c r="K958" s="151"/>
      <c r="L958" s="151"/>
      <c r="M958" s="151"/>
      <c r="N958" s="151"/>
      <c r="O958" s="151"/>
      <c r="P958" s="151"/>
      <c r="Q958" s="151"/>
      <c r="R958" s="151"/>
      <c r="S958" s="151"/>
      <c r="T958" s="151"/>
      <c r="U958" s="151"/>
      <c r="V958" s="151"/>
      <c r="W958" s="151"/>
      <c r="X958" s="151"/>
      <c r="Y958" s="151"/>
      <c r="Z958" s="151"/>
    </row>
    <row r="959" ht="12.75" customHeight="1">
      <c r="A959" s="151"/>
      <c r="B959" s="151"/>
      <c r="C959" s="151"/>
      <c r="D959" s="151"/>
      <c r="E959" s="151"/>
      <c r="F959" s="151"/>
      <c r="G959" s="151"/>
      <c r="H959" s="151"/>
      <c r="I959" s="151"/>
      <c r="J959" s="151"/>
      <c r="K959" s="151"/>
      <c r="L959" s="151"/>
      <c r="M959" s="151"/>
      <c r="N959" s="151"/>
      <c r="O959" s="151"/>
      <c r="P959" s="151"/>
      <c r="Q959" s="151"/>
      <c r="R959" s="151"/>
      <c r="S959" s="151"/>
      <c r="T959" s="151"/>
      <c r="U959" s="151"/>
      <c r="V959" s="151"/>
      <c r="W959" s="151"/>
      <c r="X959" s="151"/>
      <c r="Y959" s="151"/>
      <c r="Z959" s="151"/>
    </row>
    <row r="960" ht="12.75" customHeight="1">
      <c r="A960" s="151"/>
      <c r="B960" s="151"/>
      <c r="C960" s="151"/>
      <c r="D960" s="151"/>
      <c r="E960" s="151"/>
      <c r="F960" s="151"/>
      <c r="G960" s="151"/>
      <c r="H960" s="151"/>
      <c r="I960" s="151"/>
      <c r="J960" s="151"/>
      <c r="K960" s="151"/>
      <c r="L960" s="151"/>
      <c r="M960" s="151"/>
      <c r="N960" s="151"/>
      <c r="O960" s="151"/>
      <c r="P960" s="151"/>
      <c r="Q960" s="151"/>
      <c r="R960" s="151"/>
      <c r="S960" s="151"/>
      <c r="T960" s="151"/>
      <c r="U960" s="151"/>
      <c r="V960" s="151"/>
      <c r="W960" s="151"/>
      <c r="X960" s="151"/>
      <c r="Y960" s="151"/>
      <c r="Z960" s="151"/>
    </row>
    <row r="961" ht="12.75" customHeight="1">
      <c r="A961" s="151"/>
      <c r="B961" s="151"/>
      <c r="C961" s="151"/>
      <c r="D961" s="151"/>
      <c r="E961" s="151"/>
      <c r="F961" s="151"/>
      <c r="G961" s="151"/>
      <c r="H961" s="151"/>
      <c r="I961" s="151"/>
      <c r="J961" s="151"/>
      <c r="K961" s="151"/>
      <c r="L961" s="151"/>
      <c r="M961" s="151"/>
      <c r="N961" s="151"/>
      <c r="O961" s="151"/>
      <c r="P961" s="151"/>
      <c r="Q961" s="151"/>
      <c r="R961" s="151"/>
      <c r="S961" s="151"/>
      <c r="T961" s="151"/>
      <c r="U961" s="151"/>
      <c r="V961" s="151"/>
      <c r="W961" s="151"/>
      <c r="X961" s="151"/>
      <c r="Y961" s="151"/>
      <c r="Z961" s="151"/>
    </row>
    <row r="962" ht="12.75" customHeight="1">
      <c r="A962" s="151"/>
      <c r="B962" s="151"/>
      <c r="C962" s="151"/>
      <c r="D962" s="151"/>
      <c r="E962" s="151"/>
      <c r="F962" s="151"/>
      <c r="G962" s="151"/>
      <c r="H962" s="151"/>
      <c r="I962" s="151"/>
      <c r="J962" s="151"/>
      <c r="K962" s="151"/>
      <c r="L962" s="151"/>
      <c r="M962" s="151"/>
      <c r="N962" s="151"/>
      <c r="O962" s="151"/>
      <c r="P962" s="151"/>
      <c r="Q962" s="151"/>
      <c r="R962" s="151"/>
      <c r="S962" s="151"/>
      <c r="T962" s="151"/>
      <c r="U962" s="151"/>
      <c r="V962" s="151"/>
      <c r="W962" s="151"/>
      <c r="X962" s="151"/>
      <c r="Y962" s="151"/>
      <c r="Z962" s="151"/>
    </row>
    <row r="963" ht="12.75" customHeight="1">
      <c r="A963" s="151"/>
      <c r="B963" s="151"/>
      <c r="C963" s="151"/>
      <c r="D963" s="151"/>
      <c r="E963" s="151"/>
      <c r="F963" s="151"/>
      <c r="G963" s="151"/>
      <c r="H963" s="151"/>
      <c r="I963" s="151"/>
      <c r="J963" s="151"/>
      <c r="K963" s="151"/>
      <c r="L963" s="151"/>
      <c r="M963" s="151"/>
      <c r="N963" s="151"/>
      <c r="O963" s="151"/>
      <c r="P963" s="151"/>
      <c r="Q963" s="151"/>
      <c r="R963" s="151"/>
      <c r="S963" s="151"/>
      <c r="T963" s="151"/>
      <c r="U963" s="151"/>
      <c r="V963" s="151"/>
      <c r="W963" s="151"/>
      <c r="X963" s="151"/>
      <c r="Y963" s="151"/>
      <c r="Z963" s="151"/>
    </row>
    <row r="964" ht="12.75" customHeight="1">
      <c r="A964" s="151"/>
      <c r="B964" s="151"/>
      <c r="C964" s="151"/>
      <c r="D964" s="151"/>
      <c r="E964" s="151"/>
      <c r="F964" s="151"/>
      <c r="G964" s="151"/>
      <c r="H964" s="151"/>
      <c r="I964" s="151"/>
      <c r="J964" s="151"/>
      <c r="K964" s="151"/>
      <c r="L964" s="151"/>
      <c r="M964" s="151"/>
      <c r="N964" s="151"/>
      <c r="O964" s="151"/>
      <c r="P964" s="151"/>
      <c r="Q964" s="151"/>
      <c r="R964" s="151"/>
      <c r="S964" s="151"/>
      <c r="T964" s="151"/>
      <c r="U964" s="151"/>
      <c r="V964" s="151"/>
      <c r="W964" s="151"/>
      <c r="X964" s="151"/>
      <c r="Y964" s="151"/>
      <c r="Z964" s="151"/>
    </row>
    <row r="965" ht="12.75" customHeight="1">
      <c r="A965" s="151"/>
      <c r="B965" s="151"/>
      <c r="C965" s="151"/>
      <c r="D965" s="151"/>
      <c r="E965" s="151"/>
      <c r="F965" s="151"/>
      <c r="G965" s="151"/>
      <c r="H965" s="151"/>
      <c r="I965" s="151"/>
      <c r="J965" s="151"/>
      <c r="K965" s="151"/>
      <c r="L965" s="151"/>
      <c r="M965" s="151"/>
      <c r="N965" s="151"/>
      <c r="O965" s="151"/>
      <c r="P965" s="151"/>
      <c r="Q965" s="151"/>
      <c r="R965" s="151"/>
      <c r="S965" s="151"/>
      <c r="T965" s="151"/>
      <c r="U965" s="151"/>
      <c r="V965" s="151"/>
      <c r="W965" s="151"/>
      <c r="X965" s="151"/>
      <c r="Y965" s="151"/>
      <c r="Z965" s="151"/>
    </row>
    <row r="966" ht="12.75" customHeight="1">
      <c r="A966" s="151"/>
      <c r="B966" s="151"/>
      <c r="C966" s="151"/>
      <c r="D966" s="151"/>
      <c r="E966" s="151"/>
      <c r="F966" s="151"/>
      <c r="G966" s="151"/>
      <c r="H966" s="151"/>
      <c r="I966" s="151"/>
      <c r="J966" s="151"/>
      <c r="K966" s="151"/>
      <c r="L966" s="151"/>
      <c r="M966" s="151"/>
      <c r="N966" s="151"/>
      <c r="O966" s="151"/>
      <c r="P966" s="151"/>
      <c r="Q966" s="151"/>
      <c r="R966" s="151"/>
      <c r="S966" s="151"/>
      <c r="T966" s="151"/>
      <c r="U966" s="151"/>
      <c r="V966" s="151"/>
      <c r="W966" s="151"/>
      <c r="X966" s="151"/>
      <c r="Y966" s="151"/>
      <c r="Z966" s="151"/>
    </row>
    <row r="967" ht="12.75" customHeight="1">
      <c r="A967" s="151"/>
      <c r="B967" s="151"/>
      <c r="C967" s="151"/>
      <c r="D967" s="151"/>
      <c r="E967" s="151"/>
      <c r="F967" s="151"/>
      <c r="G967" s="151"/>
      <c r="H967" s="151"/>
      <c r="I967" s="151"/>
      <c r="J967" s="151"/>
      <c r="K967" s="151"/>
      <c r="L967" s="151"/>
      <c r="M967" s="151"/>
      <c r="N967" s="151"/>
      <c r="O967" s="151"/>
      <c r="P967" s="151"/>
      <c r="Q967" s="151"/>
      <c r="R967" s="151"/>
      <c r="S967" s="151"/>
      <c r="T967" s="151"/>
      <c r="U967" s="151"/>
      <c r="V967" s="151"/>
      <c r="W967" s="151"/>
      <c r="X967" s="151"/>
      <c r="Y967" s="151"/>
      <c r="Z967" s="151"/>
    </row>
    <row r="968" ht="12.75" customHeight="1">
      <c r="A968" s="151"/>
      <c r="B968" s="151"/>
      <c r="C968" s="151"/>
      <c r="D968" s="151"/>
      <c r="E968" s="151"/>
      <c r="F968" s="151"/>
      <c r="G968" s="151"/>
      <c r="H968" s="151"/>
      <c r="I968" s="151"/>
      <c r="J968" s="151"/>
      <c r="K968" s="151"/>
      <c r="L968" s="151"/>
      <c r="M968" s="151"/>
      <c r="N968" s="151"/>
      <c r="O968" s="151"/>
      <c r="P968" s="151"/>
      <c r="Q968" s="151"/>
      <c r="R968" s="151"/>
      <c r="S968" s="151"/>
      <c r="T968" s="151"/>
      <c r="U968" s="151"/>
      <c r="V968" s="151"/>
      <c r="W968" s="151"/>
      <c r="X968" s="151"/>
      <c r="Y968" s="151"/>
      <c r="Z968" s="151"/>
    </row>
    <row r="969" ht="12.75" customHeight="1">
      <c r="A969" s="151"/>
      <c r="B969" s="151"/>
      <c r="C969" s="151"/>
      <c r="D969" s="151"/>
      <c r="E969" s="151"/>
      <c r="F969" s="151"/>
      <c r="G969" s="151"/>
      <c r="H969" s="151"/>
      <c r="I969" s="151"/>
      <c r="J969" s="151"/>
      <c r="K969" s="151"/>
      <c r="L969" s="151"/>
      <c r="M969" s="151"/>
      <c r="N969" s="151"/>
      <c r="O969" s="151"/>
      <c r="P969" s="151"/>
      <c r="Q969" s="151"/>
      <c r="R969" s="151"/>
      <c r="S969" s="151"/>
      <c r="T969" s="151"/>
      <c r="U969" s="151"/>
      <c r="V969" s="151"/>
      <c r="W969" s="151"/>
      <c r="X969" s="151"/>
      <c r="Y969" s="151"/>
      <c r="Z969" s="151"/>
    </row>
    <row r="970" ht="12.75" customHeight="1">
      <c r="A970" s="151"/>
      <c r="B970" s="151"/>
      <c r="C970" s="151"/>
      <c r="D970" s="151"/>
      <c r="E970" s="151"/>
      <c r="F970" s="151"/>
      <c r="G970" s="151"/>
      <c r="H970" s="151"/>
      <c r="I970" s="151"/>
      <c r="J970" s="151"/>
      <c r="K970" s="151"/>
      <c r="L970" s="151"/>
      <c r="M970" s="151"/>
      <c r="N970" s="151"/>
      <c r="O970" s="151"/>
      <c r="P970" s="151"/>
      <c r="Q970" s="151"/>
      <c r="R970" s="151"/>
      <c r="S970" s="151"/>
      <c r="T970" s="151"/>
      <c r="U970" s="151"/>
      <c r="V970" s="151"/>
      <c r="W970" s="151"/>
      <c r="X970" s="151"/>
      <c r="Y970" s="151"/>
      <c r="Z970" s="151"/>
    </row>
    <row r="971" ht="12.75" customHeight="1">
      <c r="A971" s="151"/>
      <c r="B971" s="151"/>
      <c r="C971" s="151"/>
      <c r="D971" s="151"/>
      <c r="E971" s="151"/>
      <c r="F971" s="151"/>
      <c r="G971" s="151"/>
      <c r="H971" s="151"/>
      <c r="I971" s="151"/>
      <c r="J971" s="151"/>
      <c r="K971" s="151"/>
      <c r="L971" s="151"/>
      <c r="M971" s="151"/>
      <c r="N971" s="151"/>
      <c r="O971" s="151"/>
      <c r="P971" s="151"/>
      <c r="Q971" s="151"/>
      <c r="R971" s="151"/>
      <c r="S971" s="151"/>
      <c r="T971" s="151"/>
      <c r="U971" s="151"/>
      <c r="V971" s="151"/>
      <c r="W971" s="151"/>
      <c r="X971" s="151"/>
      <c r="Y971" s="151"/>
      <c r="Z971" s="151"/>
    </row>
    <row r="972" ht="12.75" customHeight="1">
      <c r="A972" s="151"/>
      <c r="B972" s="151"/>
      <c r="C972" s="151"/>
      <c r="D972" s="151"/>
      <c r="E972" s="151"/>
      <c r="F972" s="151"/>
      <c r="G972" s="151"/>
      <c r="H972" s="151"/>
      <c r="I972" s="151"/>
      <c r="J972" s="151"/>
      <c r="K972" s="151"/>
      <c r="L972" s="151"/>
      <c r="M972" s="151"/>
      <c r="N972" s="151"/>
      <c r="O972" s="151"/>
      <c r="P972" s="151"/>
      <c r="Q972" s="151"/>
      <c r="R972" s="151"/>
      <c r="S972" s="151"/>
      <c r="T972" s="151"/>
      <c r="U972" s="151"/>
      <c r="V972" s="151"/>
      <c r="W972" s="151"/>
      <c r="X972" s="151"/>
      <c r="Y972" s="151"/>
      <c r="Z972" s="151"/>
    </row>
    <row r="973" ht="12.75" customHeight="1">
      <c r="A973" s="151"/>
      <c r="B973" s="151"/>
      <c r="C973" s="151"/>
      <c r="D973" s="151"/>
      <c r="E973" s="151"/>
      <c r="F973" s="151"/>
      <c r="G973" s="151"/>
      <c r="H973" s="151"/>
      <c r="I973" s="151"/>
      <c r="J973" s="151"/>
      <c r="K973" s="151"/>
      <c r="L973" s="151"/>
      <c r="M973" s="151"/>
      <c r="N973" s="151"/>
      <c r="O973" s="151"/>
      <c r="P973" s="151"/>
      <c r="Q973" s="151"/>
      <c r="R973" s="151"/>
      <c r="S973" s="151"/>
      <c r="T973" s="151"/>
      <c r="U973" s="151"/>
      <c r="V973" s="151"/>
      <c r="W973" s="151"/>
      <c r="X973" s="151"/>
      <c r="Y973" s="151"/>
      <c r="Z973" s="151"/>
    </row>
    <row r="974" ht="12.75" customHeight="1">
      <c r="A974" s="151"/>
      <c r="B974" s="151"/>
      <c r="C974" s="151"/>
      <c r="D974" s="151"/>
      <c r="E974" s="151"/>
      <c r="F974" s="151"/>
      <c r="G974" s="151"/>
      <c r="H974" s="151"/>
      <c r="I974" s="151"/>
      <c r="J974" s="151"/>
      <c r="K974" s="151"/>
      <c r="L974" s="151"/>
      <c r="M974" s="151"/>
      <c r="N974" s="151"/>
      <c r="O974" s="151"/>
      <c r="P974" s="151"/>
      <c r="Q974" s="151"/>
      <c r="R974" s="151"/>
      <c r="S974" s="151"/>
      <c r="T974" s="151"/>
      <c r="U974" s="151"/>
      <c r="V974" s="151"/>
      <c r="W974" s="151"/>
      <c r="X974" s="151"/>
      <c r="Y974" s="151"/>
      <c r="Z974" s="151"/>
    </row>
    <row r="975" ht="12.75" customHeight="1">
      <c r="A975" s="151"/>
      <c r="B975" s="151"/>
      <c r="C975" s="151"/>
      <c r="D975" s="151"/>
      <c r="E975" s="151"/>
      <c r="F975" s="151"/>
      <c r="G975" s="151"/>
      <c r="H975" s="151"/>
      <c r="I975" s="151"/>
      <c r="J975" s="151"/>
      <c r="K975" s="151"/>
      <c r="L975" s="151"/>
      <c r="M975" s="151"/>
      <c r="N975" s="151"/>
      <c r="O975" s="151"/>
      <c r="P975" s="151"/>
      <c r="Q975" s="151"/>
      <c r="R975" s="151"/>
      <c r="S975" s="151"/>
      <c r="T975" s="151"/>
      <c r="U975" s="151"/>
      <c r="V975" s="151"/>
      <c r="W975" s="151"/>
      <c r="X975" s="151"/>
      <c r="Y975" s="151"/>
      <c r="Z975" s="151"/>
    </row>
    <row r="976" ht="12.75" customHeight="1">
      <c r="A976" s="151"/>
      <c r="B976" s="151"/>
      <c r="C976" s="151"/>
      <c r="D976" s="151"/>
      <c r="E976" s="151"/>
      <c r="F976" s="151"/>
      <c r="G976" s="151"/>
      <c r="H976" s="151"/>
      <c r="I976" s="151"/>
      <c r="J976" s="151"/>
      <c r="K976" s="151"/>
      <c r="L976" s="151"/>
      <c r="M976" s="151"/>
      <c r="N976" s="151"/>
      <c r="O976" s="151"/>
      <c r="P976" s="151"/>
      <c r="Q976" s="151"/>
      <c r="R976" s="151"/>
      <c r="S976" s="151"/>
      <c r="T976" s="151"/>
      <c r="U976" s="151"/>
      <c r="V976" s="151"/>
      <c r="W976" s="151"/>
      <c r="X976" s="151"/>
      <c r="Y976" s="151"/>
      <c r="Z976" s="151"/>
    </row>
    <row r="977" ht="12.75" customHeight="1">
      <c r="A977" s="151"/>
      <c r="B977" s="151"/>
      <c r="C977" s="151"/>
      <c r="D977" s="151"/>
      <c r="E977" s="151"/>
      <c r="F977" s="151"/>
      <c r="G977" s="151"/>
      <c r="H977" s="151"/>
      <c r="I977" s="151"/>
      <c r="J977" s="151"/>
      <c r="K977" s="151"/>
      <c r="L977" s="151"/>
      <c r="M977" s="151"/>
      <c r="N977" s="151"/>
      <c r="O977" s="151"/>
      <c r="P977" s="151"/>
      <c r="Q977" s="151"/>
      <c r="R977" s="151"/>
      <c r="S977" s="151"/>
      <c r="T977" s="151"/>
      <c r="U977" s="151"/>
      <c r="V977" s="151"/>
      <c r="W977" s="151"/>
      <c r="X977" s="151"/>
      <c r="Y977" s="151"/>
      <c r="Z977" s="151"/>
    </row>
    <row r="978" ht="12.75" customHeight="1">
      <c r="A978" s="151"/>
      <c r="B978" s="151"/>
      <c r="C978" s="151"/>
      <c r="D978" s="151"/>
      <c r="E978" s="151"/>
      <c r="F978" s="151"/>
      <c r="G978" s="151"/>
      <c r="H978" s="151"/>
      <c r="I978" s="151"/>
      <c r="J978" s="151"/>
      <c r="K978" s="151"/>
      <c r="L978" s="151"/>
      <c r="M978" s="151"/>
      <c r="N978" s="151"/>
      <c r="O978" s="151"/>
      <c r="P978" s="151"/>
      <c r="Q978" s="151"/>
      <c r="R978" s="151"/>
      <c r="S978" s="151"/>
      <c r="T978" s="151"/>
      <c r="U978" s="151"/>
      <c r="V978" s="151"/>
      <c r="W978" s="151"/>
      <c r="X978" s="151"/>
      <c r="Y978" s="151"/>
      <c r="Z978" s="151"/>
    </row>
    <row r="979" ht="12.75" customHeight="1">
      <c r="A979" s="151"/>
      <c r="B979" s="151"/>
      <c r="C979" s="151"/>
      <c r="D979" s="151"/>
      <c r="E979" s="151"/>
      <c r="F979" s="151"/>
      <c r="G979" s="151"/>
      <c r="H979" s="151"/>
      <c r="I979" s="151"/>
      <c r="J979" s="151"/>
      <c r="K979" s="151"/>
      <c r="L979" s="151"/>
      <c r="M979" s="151"/>
      <c r="N979" s="151"/>
      <c r="O979" s="151"/>
      <c r="P979" s="151"/>
      <c r="Q979" s="151"/>
      <c r="R979" s="151"/>
      <c r="S979" s="151"/>
      <c r="T979" s="151"/>
      <c r="U979" s="151"/>
      <c r="V979" s="151"/>
      <c r="W979" s="151"/>
      <c r="X979" s="151"/>
      <c r="Y979" s="151"/>
      <c r="Z979" s="151"/>
    </row>
    <row r="980" ht="12.75" customHeight="1">
      <c r="A980" s="151"/>
      <c r="B980" s="151"/>
      <c r="C980" s="151"/>
      <c r="D980" s="151"/>
      <c r="E980" s="151"/>
      <c r="F980" s="151"/>
      <c r="G980" s="151"/>
      <c r="H980" s="151"/>
      <c r="I980" s="151"/>
      <c r="J980" s="151"/>
      <c r="K980" s="151"/>
      <c r="L980" s="151"/>
      <c r="M980" s="151"/>
      <c r="N980" s="151"/>
      <c r="O980" s="151"/>
      <c r="P980" s="151"/>
      <c r="Q980" s="151"/>
      <c r="R980" s="151"/>
      <c r="S980" s="151"/>
      <c r="T980" s="151"/>
      <c r="U980" s="151"/>
      <c r="V980" s="151"/>
      <c r="W980" s="151"/>
      <c r="X980" s="151"/>
      <c r="Y980" s="151"/>
      <c r="Z980" s="151"/>
    </row>
    <row r="981" ht="12.75" customHeight="1">
      <c r="A981" s="151"/>
      <c r="B981" s="151"/>
      <c r="C981" s="151"/>
      <c r="D981" s="151"/>
      <c r="E981" s="151"/>
      <c r="F981" s="151"/>
      <c r="G981" s="151"/>
      <c r="H981" s="151"/>
      <c r="I981" s="151"/>
      <c r="J981" s="151"/>
      <c r="K981" s="151"/>
      <c r="L981" s="151"/>
      <c r="M981" s="151"/>
      <c r="N981" s="151"/>
      <c r="O981" s="151"/>
      <c r="P981" s="151"/>
      <c r="Q981" s="151"/>
      <c r="R981" s="151"/>
      <c r="S981" s="151"/>
      <c r="T981" s="151"/>
      <c r="U981" s="151"/>
      <c r="V981" s="151"/>
      <c r="W981" s="151"/>
      <c r="X981" s="151"/>
      <c r="Y981" s="151"/>
      <c r="Z981" s="151"/>
    </row>
    <row r="982" ht="12.75" customHeight="1">
      <c r="A982" s="151"/>
      <c r="B982" s="151"/>
      <c r="C982" s="151"/>
      <c r="D982" s="151"/>
      <c r="E982" s="151"/>
      <c r="F982" s="151"/>
      <c r="G982" s="151"/>
      <c r="H982" s="151"/>
      <c r="I982" s="151"/>
      <c r="J982" s="151"/>
      <c r="K982" s="151"/>
      <c r="L982" s="151"/>
      <c r="M982" s="151"/>
      <c r="N982" s="151"/>
      <c r="O982" s="151"/>
      <c r="P982" s="151"/>
      <c r="Q982" s="151"/>
      <c r="R982" s="151"/>
      <c r="S982" s="151"/>
      <c r="T982" s="151"/>
      <c r="U982" s="151"/>
      <c r="V982" s="151"/>
      <c r="W982" s="151"/>
      <c r="X982" s="151"/>
      <c r="Y982" s="151"/>
      <c r="Z982" s="151"/>
    </row>
    <row r="983" ht="12.75" customHeight="1">
      <c r="A983" s="151"/>
      <c r="B983" s="151"/>
      <c r="C983" s="151"/>
      <c r="D983" s="151"/>
      <c r="E983" s="151"/>
      <c r="F983" s="151"/>
      <c r="G983" s="151"/>
      <c r="H983" s="151"/>
      <c r="I983" s="151"/>
      <c r="J983" s="151"/>
      <c r="K983" s="151"/>
      <c r="L983" s="151"/>
      <c r="M983" s="151"/>
      <c r="N983" s="151"/>
      <c r="O983" s="151"/>
      <c r="P983" s="151"/>
      <c r="Q983" s="151"/>
      <c r="R983" s="151"/>
      <c r="S983" s="151"/>
      <c r="T983" s="151"/>
      <c r="U983" s="151"/>
      <c r="V983" s="151"/>
      <c r="W983" s="151"/>
      <c r="X983" s="151"/>
      <c r="Y983" s="151"/>
      <c r="Z983" s="151"/>
    </row>
    <row r="984" ht="12.75" customHeight="1">
      <c r="A984" s="151"/>
      <c r="B984" s="151"/>
      <c r="C984" s="151"/>
      <c r="D984" s="151"/>
      <c r="E984" s="151"/>
      <c r="F984" s="151"/>
      <c r="G984" s="151"/>
      <c r="H984" s="151"/>
      <c r="I984" s="151"/>
      <c r="J984" s="151"/>
      <c r="K984" s="151"/>
      <c r="L984" s="151"/>
      <c r="M984" s="151"/>
      <c r="N984" s="151"/>
      <c r="O984" s="151"/>
      <c r="P984" s="151"/>
      <c r="Q984" s="151"/>
      <c r="R984" s="151"/>
      <c r="S984" s="151"/>
      <c r="T984" s="151"/>
      <c r="U984" s="151"/>
      <c r="V984" s="151"/>
      <c r="W984" s="151"/>
      <c r="X984" s="151"/>
      <c r="Y984" s="151"/>
      <c r="Z984" s="151"/>
    </row>
    <row r="985" ht="12.75" customHeight="1">
      <c r="A985" s="151"/>
      <c r="B985" s="151"/>
      <c r="C985" s="151"/>
      <c r="D985" s="151"/>
      <c r="E985" s="151"/>
      <c r="F985" s="151"/>
      <c r="G985" s="151"/>
      <c r="H985" s="151"/>
      <c r="I985" s="151"/>
      <c r="J985" s="151"/>
      <c r="K985" s="151"/>
      <c r="L985" s="151"/>
      <c r="M985" s="151"/>
      <c r="N985" s="151"/>
      <c r="O985" s="151"/>
      <c r="P985" s="151"/>
      <c r="Q985" s="151"/>
      <c r="R985" s="151"/>
      <c r="S985" s="151"/>
      <c r="T985" s="151"/>
      <c r="U985" s="151"/>
      <c r="V985" s="151"/>
      <c r="W985" s="151"/>
      <c r="X985" s="151"/>
      <c r="Y985" s="151"/>
      <c r="Z985" s="151"/>
    </row>
    <row r="986" ht="12.75" customHeight="1">
      <c r="A986" s="151"/>
      <c r="B986" s="151"/>
      <c r="C986" s="151"/>
      <c r="D986" s="151"/>
      <c r="E986" s="151"/>
      <c r="F986" s="151"/>
      <c r="G986" s="151"/>
      <c r="H986" s="151"/>
      <c r="I986" s="151"/>
      <c r="J986" s="151"/>
      <c r="K986" s="151"/>
      <c r="L986" s="151"/>
      <c r="M986" s="151"/>
      <c r="N986" s="151"/>
      <c r="O986" s="151"/>
      <c r="P986" s="151"/>
      <c r="Q986" s="151"/>
      <c r="R986" s="151"/>
      <c r="S986" s="151"/>
      <c r="T986" s="151"/>
      <c r="U986" s="151"/>
      <c r="V986" s="151"/>
      <c r="W986" s="151"/>
      <c r="X986" s="151"/>
      <c r="Y986" s="151"/>
      <c r="Z986" s="151"/>
    </row>
    <row r="987" ht="12.75" customHeight="1">
      <c r="A987" s="151"/>
      <c r="B987" s="151"/>
      <c r="C987" s="151"/>
      <c r="D987" s="151"/>
      <c r="E987" s="151"/>
      <c r="F987" s="151"/>
      <c r="G987" s="151"/>
      <c r="H987" s="151"/>
      <c r="I987" s="151"/>
      <c r="J987" s="151"/>
      <c r="K987" s="151"/>
      <c r="L987" s="151"/>
      <c r="M987" s="151"/>
      <c r="N987" s="151"/>
      <c r="O987" s="151"/>
      <c r="P987" s="151"/>
      <c r="Q987" s="151"/>
      <c r="R987" s="151"/>
      <c r="S987" s="151"/>
      <c r="T987" s="151"/>
      <c r="U987" s="151"/>
      <c r="V987" s="151"/>
      <c r="W987" s="151"/>
      <c r="X987" s="151"/>
      <c r="Y987" s="151"/>
      <c r="Z987" s="151"/>
    </row>
    <row r="988" ht="12.75" customHeight="1">
      <c r="A988" s="151"/>
      <c r="B988" s="151"/>
      <c r="C988" s="151"/>
      <c r="D988" s="151"/>
      <c r="E988" s="151"/>
      <c r="F988" s="151"/>
      <c r="G988" s="151"/>
      <c r="H988" s="151"/>
      <c r="I988" s="151"/>
      <c r="J988" s="151"/>
      <c r="K988" s="151"/>
      <c r="L988" s="151"/>
      <c r="M988" s="151"/>
      <c r="N988" s="151"/>
      <c r="O988" s="151"/>
      <c r="P988" s="151"/>
      <c r="Q988" s="151"/>
      <c r="R988" s="151"/>
      <c r="S988" s="151"/>
      <c r="T988" s="151"/>
      <c r="U988" s="151"/>
      <c r="V988" s="151"/>
      <c r="W988" s="151"/>
      <c r="X988" s="151"/>
      <c r="Y988" s="151"/>
      <c r="Z988" s="151"/>
    </row>
    <row r="989" ht="12.75" customHeight="1">
      <c r="A989" s="151"/>
      <c r="B989" s="151"/>
      <c r="C989" s="151"/>
      <c r="D989" s="151"/>
      <c r="E989" s="151"/>
      <c r="F989" s="151"/>
      <c r="G989" s="151"/>
      <c r="H989" s="151"/>
      <c r="I989" s="151"/>
      <c r="J989" s="151"/>
      <c r="K989" s="151"/>
      <c r="L989" s="151"/>
      <c r="M989" s="151"/>
      <c r="N989" s="151"/>
      <c r="O989" s="151"/>
      <c r="P989" s="151"/>
      <c r="Q989" s="151"/>
      <c r="R989" s="151"/>
      <c r="S989" s="151"/>
      <c r="T989" s="151"/>
      <c r="U989" s="151"/>
      <c r="V989" s="151"/>
      <c r="W989" s="151"/>
      <c r="X989" s="151"/>
      <c r="Y989" s="151"/>
      <c r="Z989" s="151"/>
    </row>
    <row r="990" ht="12.75" customHeight="1">
      <c r="A990" s="151"/>
      <c r="B990" s="151"/>
      <c r="C990" s="151"/>
      <c r="D990" s="151"/>
      <c r="E990" s="151"/>
      <c r="F990" s="151"/>
      <c r="G990" s="151"/>
      <c r="H990" s="151"/>
      <c r="I990" s="151"/>
      <c r="J990" s="151"/>
      <c r="K990" s="151"/>
      <c r="L990" s="151"/>
      <c r="M990" s="151"/>
      <c r="N990" s="151"/>
      <c r="O990" s="151"/>
      <c r="P990" s="151"/>
      <c r="Q990" s="151"/>
      <c r="R990" s="151"/>
      <c r="S990" s="151"/>
      <c r="T990" s="151"/>
      <c r="U990" s="151"/>
      <c r="V990" s="151"/>
      <c r="W990" s="151"/>
      <c r="X990" s="151"/>
      <c r="Y990" s="151"/>
      <c r="Z990" s="151"/>
    </row>
    <row r="991" ht="12.75" customHeight="1">
      <c r="A991" s="151"/>
      <c r="B991" s="151"/>
      <c r="C991" s="151"/>
      <c r="D991" s="151"/>
      <c r="E991" s="151"/>
      <c r="F991" s="151"/>
      <c r="G991" s="151"/>
      <c r="H991" s="151"/>
      <c r="I991" s="151"/>
      <c r="J991" s="151"/>
      <c r="K991" s="151"/>
      <c r="L991" s="151"/>
      <c r="M991" s="151"/>
      <c r="N991" s="151"/>
      <c r="O991" s="151"/>
      <c r="P991" s="151"/>
      <c r="Q991" s="151"/>
      <c r="R991" s="151"/>
      <c r="S991" s="151"/>
      <c r="T991" s="151"/>
      <c r="U991" s="151"/>
      <c r="V991" s="151"/>
      <c r="W991" s="151"/>
      <c r="X991" s="151"/>
      <c r="Y991" s="151"/>
      <c r="Z991" s="151"/>
    </row>
    <row r="992" ht="12.75" customHeight="1">
      <c r="A992" s="151"/>
      <c r="B992" s="151"/>
      <c r="C992" s="151"/>
      <c r="D992" s="151"/>
      <c r="E992" s="151"/>
      <c r="F992" s="151"/>
      <c r="G992" s="151"/>
      <c r="H992" s="151"/>
      <c r="I992" s="151"/>
      <c r="J992" s="151"/>
      <c r="K992" s="151"/>
      <c r="L992" s="151"/>
      <c r="M992" s="151"/>
      <c r="N992" s="151"/>
      <c r="O992" s="151"/>
      <c r="P992" s="151"/>
      <c r="Q992" s="151"/>
      <c r="R992" s="151"/>
      <c r="S992" s="151"/>
      <c r="T992" s="151"/>
      <c r="U992" s="151"/>
      <c r="V992" s="151"/>
      <c r="W992" s="151"/>
      <c r="X992" s="151"/>
      <c r="Y992" s="151"/>
      <c r="Z992" s="151"/>
    </row>
    <row r="993" ht="12.75" customHeight="1">
      <c r="A993" s="151"/>
      <c r="B993" s="151"/>
      <c r="C993" s="151"/>
      <c r="D993" s="151"/>
      <c r="E993" s="151"/>
      <c r="F993" s="151"/>
      <c r="G993" s="151"/>
      <c r="H993" s="151"/>
      <c r="I993" s="151"/>
      <c r="J993" s="151"/>
      <c r="K993" s="151"/>
      <c r="L993" s="151"/>
      <c r="M993" s="151"/>
      <c r="N993" s="151"/>
      <c r="O993" s="151"/>
      <c r="P993" s="151"/>
      <c r="Q993" s="151"/>
      <c r="R993" s="151"/>
      <c r="S993" s="151"/>
      <c r="T993" s="151"/>
      <c r="U993" s="151"/>
      <c r="V993" s="151"/>
      <c r="W993" s="151"/>
      <c r="X993" s="151"/>
      <c r="Y993" s="151"/>
      <c r="Z993" s="151"/>
    </row>
    <row r="994" ht="12.75" customHeight="1">
      <c r="A994" s="151"/>
      <c r="B994" s="151"/>
      <c r="C994" s="151"/>
      <c r="D994" s="151"/>
      <c r="E994" s="151"/>
      <c r="F994" s="151"/>
      <c r="G994" s="151"/>
      <c r="H994" s="151"/>
      <c r="I994" s="151"/>
      <c r="J994" s="151"/>
      <c r="K994" s="151"/>
      <c r="L994" s="151"/>
      <c r="M994" s="151"/>
      <c r="N994" s="151"/>
      <c r="O994" s="151"/>
      <c r="P994" s="151"/>
      <c r="Q994" s="151"/>
      <c r="R994" s="151"/>
      <c r="S994" s="151"/>
      <c r="T994" s="151"/>
      <c r="U994" s="151"/>
      <c r="V994" s="151"/>
      <c r="W994" s="151"/>
      <c r="X994" s="151"/>
      <c r="Y994" s="151"/>
      <c r="Z994" s="151"/>
    </row>
    <row r="995" ht="12.75" customHeight="1">
      <c r="A995" s="151"/>
      <c r="B995" s="151"/>
      <c r="C995" s="151"/>
      <c r="D995" s="151"/>
      <c r="E995" s="151"/>
      <c r="F995" s="151"/>
      <c r="G995" s="151"/>
      <c r="H995" s="151"/>
      <c r="I995" s="151"/>
      <c r="J995" s="151"/>
      <c r="K995" s="151"/>
      <c r="L995" s="151"/>
      <c r="M995" s="151"/>
      <c r="N995" s="151"/>
      <c r="O995" s="151"/>
      <c r="P995" s="151"/>
      <c r="Q995" s="151"/>
      <c r="R995" s="151"/>
      <c r="S995" s="151"/>
      <c r="T995" s="151"/>
      <c r="U995" s="151"/>
      <c r="V995" s="151"/>
      <c r="W995" s="151"/>
      <c r="X995" s="151"/>
      <c r="Y995" s="151"/>
      <c r="Z995" s="151"/>
    </row>
    <row r="996" ht="12.75" customHeight="1">
      <c r="A996" s="151"/>
      <c r="B996" s="151"/>
      <c r="C996" s="151"/>
      <c r="D996" s="151"/>
      <c r="E996" s="151"/>
      <c r="F996" s="151"/>
      <c r="G996" s="151"/>
      <c r="H996" s="151"/>
      <c r="I996" s="151"/>
      <c r="J996" s="151"/>
      <c r="K996" s="151"/>
      <c r="L996" s="151"/>
      <c r="M996" s="151"/>
      <c r="N996" s="151"/>
      <c r="O996" s="151"/>
      <c r="P996" s="151"/>
      <c r="Q996" s="151"/>
      <c r="R996" s="151"/>
      <c r="S996" s="151"/>
      <c r="T996" s="151"/>
      <c r="U996" s="151"/>
      <c r="V996" s="151"/>
      <c r="W996" s="151"/>
      <c r="X996" s="151"/>
      <c r="Y996" s="151"/>
      <c r="Z996" s="151"/>
    </row>
    <row r="997" ht="12.75" customHeight="1">
      <c r="A997" s="151"/>
      <c r="B997" s="151"/>
      <c r="C997" s="151"/>
      <c r="D997" s="151"/>
      <c r="E997" s="151"/>
      <c r="F997" s="151"/>
      <c r="G997" s="151"/>
      <c r="H997" s="151"/>
      <c r="I997" s="151"/>
      <c r="J997" s="151"/>
      <c r="K997" s="151"/>
      <c r="L997" s="151"/>
      <c r="M997" s="151"/>
      <c r="N997" s="151"/>
      <c r="O997" s="151"/>
      <c r="P997" s="151"/>
      <c r="Q997" s="151"/>
      <c r="R997" s="151"/>
      <c r="S997" s="151"/>
      <c r="T997" s="151"/>
      <c r="U997" s="151"/>
      <c r="V997" s="151"/>
      <c r="W997" s="151"/>
      <c r="X997" s="151"/>
      <c r="Y997" s="151"/>
      <c r="Z997" s="151"/>
    </row>
    <row r="998" ht="12.75" customHeight="1">
      <c r="A998" s="151"/>
      <c r="B998" s="151"/>
      <c r="C998" s="151"/>
      <c r="D998" s="151"/>
      <c r="E998" s="151"/>
      <c r="F998" s="151"/>
      <c r="G998" s="151"/>
      <c r="H998" s="151"/>
      <c r="I998" s="151"/>
      <c r="J998" s="151"/>
      <c r="K998" s="151"/>
      <c r="L998" s="151"/>
      <c r="M998" s="151"/>
      <c r="N998" s="151"/>
      <c r="O998" s="151"/>
      <c r="P998" s="151"/>
      <c r="Q998" s="151"/>
      <c r="R998" s="151"/>
      <c r="S998" s="151"/>
      <c r="T998" s="151"/>
      <c r="U998" s="151"/>
      <c r="V998" s="151"/>
      <c r="W998" s="151"/>
      <c r="X998" s="151"/>
      <c r="Y998" s="151"/>
      <c r="Z998" s="151"/>
    </row>
    <row r="999" ht="12.75" customHeight="1">
      <c r="A999" s="151"/>
      <c r="B999" s="151"/>
      <c r="C999" s="151"/>
      <c r="D999" s="151"/>
      <c r="E999" s="151"/>
      <c r="F999" s="151"/>
      <c r="G999" s="151"/>
      <c r="H999" s="151"/>
      <c r="I999" s="151"/>
      <c r="J999" s="151"/>
      <c r="K999" s="151"/>
      <c r="L999" s="151"/>
      <c r="M999" s="151"/>
      <c r="N999" s="151"/>
      <c r="O999" s="151"/>
      <c r="P999" s="151"/>
      <c r="Q999" s="151"/>
      <c r="R999" s="151"/>
      <c r="S999" s="151"/>
      <c r="T999" s="151"/>
      <c r="U999" s="151"/>
      <c r="V999" s="151"/>
      <c r="W999" s="151"/>
      <c r="X999" s="151"/>
      <c r="Y999" s="151"/>
      <c r="Z999" s="151"/>
    </row>
    <row r="1000" ht="12.75" customHeight="1">
      <c r="A1000" s="151"/>
      <c r="B1000" s="151"/>
      <c r="C1000" s="151"/>
      <c r="D1000" s="151"/>
      <c r="E1000" s="151"/>
      <c r="F1000" s="151"/>
      <c r="G1000" s="151"/>
      <c r="H1000" s="151"/>
      <c r="I1000" s="151"/>
      <c r="J1000" s="151"/>
      <c r="K1000" s="151"/>
      <c r="L1000" s="151"/>
      <c r="M1000" s="151"/>
      <c r="N1000" s="151"/>
      <c r="O1000" s="151"/>
      <c r="P1000" s="151"/>
      <c r="Q1000" s="151"/>
      <c r="R1000" s="151"/>
      <c r="S1000" s="151"/>
      <c r="T1000" s="151"/>
      <c r="U1000" s="151"/>
      <c r="V1000" s="151"/>
      <c r="W1000" s="151"/>
      <c r="X1000" s="151"/>
      <c r="Y1000" s="151"/>
      <c r="Z1000" s="151"/>
    </row>
  </sheetData>
  <autoFilter ref="$B$5:$N$785"/>
  <mergeCells count="5">
    <mergeCell ref="F3:F4"/>
    <mergeCell ref="H3:H4"/>
    <mergeCell ref="J3:J4"/>
    <mergeCell ref="L3:L4"/>
    <mergeCell ref="N3:N4"/>
  </mergeCells>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FF0000"/>
    <pageSetUpPr/>
  </sheetPr>
  <sheetViews>
    <sheetView workbookViewId="0"/>
  </sheetViews>
  <sheetFormatPr customHeight="1" defaultColWidth="14.43" defaultRowHeight="15.0"/>
  <cols>
    <col customWidth="1" min="1" max="1" width="32.43"/>
    <col customWidth="1" min="2" max="2" width="24.29"/>
    <col customWidth="1" min="3" max="3" width="15.43"/>
    <col customWidth="1" min="4" max="6" width="8.71"/>
    <col customWidth="1" min="7" max="7" width="30.0"/>
    <col customWidth="1" min="8" max="8" width="4.0"/>
    <col customWidth="1" min="9" max="9" width="13.43"/>
    <col customWidth="1" min="10" max="10" width="4.0"/>
    <col customWidth="1" min="11" max="11" width="15.29"/>
    <col customWidth="1" min="12" max="13" width="8.71"/>
  </cols>
  <sheetData>
    <row r="1" ht="14.25" customHeight="1">
      <c r="A1" s="166">
        <v>6.0</v>
      </c>
      <c r="B1" s="166">
        <v>3.0</v>
      </c>
      <c r="C1" s="166">
        <v>2.0</v>
      </c>
      <c r="D1" s="166">
        <v>42.0</v>
      </c>
      <c r="E1" s="166">
        <v>23.0</v>
      </c>
      <c r="F1" s="166"/>
      <c r="H1" s="166"/>
      <c r="I1" s="166"/>
      <c r="J1" s="166"/>
      <c r="K1" s="166">
        <v>1.0</v>
      </c>
      <c r="L1" s="167">
        <v>1.0</v>
      </c>
      <c r="M1" s="168" t="s">
        <v>1645</v>
      </c>
    </row>
    <row r="2" ht="14.25" customHeight="1">
      <c r="A2" s="169" t="s">
        <v>1646</v>
      </c>
      <c r="B2" s="169" t="s">
        <v>1647</v>
      </c>
      <c r="C2" s="169" t="s">
        <v>1648</v>
      </c>
      <c r="D2" s="169" t="s">
        <v>1649</v>
      </c>
      <c r="E2" s="169"/>
      <c r="F2" s="169"/>
      <c r="G2" s="169" t="s">
        <v>1650</v>
      </c>
      <c r="K2" s="169" t="s">
        <v>1651</v>
      </c>
    </row>
    <row r="3" ht="14.25" customHeight="1">
      <c r="A3" s="170" t="s">
        <v>1652</v>
      </c>
      <c r="B3" s="171" t="s">
        <v>1653</v>
      </c>
      <c r="C3" s="172" t="s">
        <v>1654</v>
      </c>
      <c r="D3" s="173" t="s">
        <v>1655</v>
      </c>
      <c r="E3" s="173" t="s">
        <v>1656</v>
      </c>
      <c r="F3" s="173" t="s">
        <v>1642</v>
      </c>
      <c r="G3" s="174" t="s">
        <v>1657</v>
      </c>
      <c r="H3" s="174" t="s">
        <v>1658</v>
      </c>
      <c r="I3" s="174" t="str">
        <f t="shared" ref="I3:I5572" si="1">INDEX($F$3:$F$29,MATCH(H3,$E$3:$E$29,0))</f>
        <v>CENTRO OESTE</v>
      </c>
      <c r="K3" s="175" t="s">
        <v>1659</v>
      </c>
    </row>
    <row r="4" ht="14.25" customHeight="1">
      <c r="A4" s="170" t="s">
        <v>1660</v>
      </c>
      <c r="B4" s="171" t="s">
        <v>1661</v>
      </c>
      <c r="C4" s="172" t="s">
        <v>1662</v>
      </c>
      <c r="D4" s="173" t="s">
        <v>1663</v>
      </c>
      <c r="E4" s="173" t="s">
        <v>1664</v>
      </c>
      <c r="F4" s="173" t="s">
        <v>1640</v>
      </c>
      <c r="G4" s="174" t="s">
        <v>1665</v>
      </c>
      <c r="H4" s="174" t="s">
        <v>1666</v>
      </c>
      <c r="I4" s="174" t="str">
        <f t="shared" si="1"/>
        <v>SUDESTE</v>
      </c>
      <c r="K4" s="175" t="s">
        <v>1667</v>
      </c>
    </row>
    <row r="5" ht="14.25" customHeight="1">
      <c r="A5" s="170" t="s">
        <v>1668</v>
      </c>
      <c r="B5" s="171" t="s">
        <v>1669</v>
      </c>
      <c r="C5" s="172" t="s">
        <v>1670</v>
      </c>
      <c r="D5" s="173" t="s">
        <v>1671</v>
      </c>
      <c r="E5" s="173" t="s">
        <v>1672</v>
      </c>
      <c r="F5" s="173" t="s">
        <v>1642</v>
      </c>
      <c r="G5" s="174" t="s">
        <v>1673</v>
      </c>
      <c r="H5" s="174" t="s">
        <v>1658</v>
      </c>
      <c r="I5" s="174" t="str">
        <f t="shared" si="1"/>
        <v>CENTRO OESTE</v>
      </c>
      <c r="K5" s="175" t="s">
        <v>1674</v>
      </c>
    </row>
    <row r="6" ht="14.25" customHeight="1">
      <c r="A6" s="170" t="s">
        <v>1675</v>
      </c>
      <c r="B6" s="171" t="s">
        <v>1676</v>
      </c>
      <c r="C6" s="172" t="s">
        <v>1677</v>
      </c>
      <c r="D6" s="173" t="s">
        <v>1678</v>
      </c>
      <c r="E6" s="173" t="s">
        <v>1679</v>
      </c>
      <c r="F6" s="173" t="s">
        <v>1642</v>
      </c>
      <c r="G6" s="174" t="s">
        <v>1680</v>
      </c>
      <c r="H6" s="174" t="s">
        <v>1666</v>
      </c>
      <c r="I6" s="174" t="str">
        <f t="shared" si="1"/>
        <v>SUDESTE</v>
      </c>
    </row>
    <row r="7" ht="14.25" customHeight="1">
      <c r="A7" s="170" t="s">
        <v>1681</v>
      </c>
      <c r="B7" s="171" t="s">
        <v>1682</v>
      </c>
      <c r="C7" s="172" t="s">
        <v>1683</v>
      </c>
      <c r="D7" s="173" t="s">
        <v>1684</v>
      </c>
      <c r="E7" s="173" t="s">
        <v>1685</v>
      </c>
      <c r="F7" s="173" t="s">
        <v>1640</v>
      </c>
      <c r="G7" s="174" t="s">
        <v>1686</v>
      </c>
      <c r="H7" s="174" t="s">
        <v>1687</v>
      </c>
      <c r="I7" s="174" t="str">
        <f t="shared" si="1"/>
        <v>NORTE</v>
      </c>
    </row>
    <row r="8" ht="14.25" customHeight="1">
      <c r="A8" s="170" t="s">
        <v>1688</v>
      </c>
      <c r="D8" s="173" t="s">
        <v>1689</v>
      </c>
      <c r="E8" s="173" t="s">
        <v>1690</v>
      </c>
      <c r="F8" s="173" t="s">
        <v>1640</v>
      </c>
      <c r="G8" s="174" t="s">
        <v>1691</v>
      </c>
      <c r="H8" s="174" t="s">
        <v>1690</v>
      </c>
      <c r="I8" s="174" t="str">
        <f t="shared" si="1"/>
        <v>NORDESTE</v>
      </c>
    </row>
    <row r="9" ht="14.25" customHeight="1">
      <c r="A9" s="170" t="s">
        <v>1692</v>
      </c>
      <c r="D9" s="173" t="s">
        <v>1693</v>
      </c>
      <c r="E9" s="173" t="s">
        <v>1694</v>
      </c>
      <c r="F9" s="173" t="s">
        <v>1639</v>
      </c>
      <c r="G9" s="174" t="s">
        <v>1695</v>
      </c>
      <c r="H9" s="174" t="s">
        <v>1685</v>
      </c>
      <c r="I9" s="174" t="str">
        <f t="shared" si="1"/>
        <v>NORDESTE</v>
      </c>
    </row>
    <row r="10" ht="14.25" customHeight="1">
      <c r="A10" s="170" t="s">
        <v>1696</v>
      </c>
      <c r="D10" s="173" t="s">
        <v>1697</v>
      </c>
      <c r="E10" s="173" t="s">
        <v>1698</v>
      </c>
      <c r="F10" s="173" t="s">
        <v>1641</v>
      </c>
      <c r="G10" s="174" t="s">
        <v>1699</v>
      </c>
      <c r="H10" s="174" t="s">
        <v>1685</v>
      </c>
      <c r="I10" s="174" t="str">
        <f t="shared" si="1"/>
        <v>NORDESTE</v>
      </c>
    </row>
    <row r="11" ht="14.25" customHeight="1">
      <c r="A11" s="170" t="s">
        <v>1700</v>
      </c>
      <c r="D11" s="173" t="s">
        <v>1694</v>
      </c>
      <c r="E11" s="173" t="s">
        <v>1658</v>
      </c>
      <c r="F11" s="173" t="s">
        <v>1639</v>
      </c>
      <c r="G11" s="174" t="s">
        <v>1701</v>
      </c>
      <c r="H11" s="174" t="s">
        <v>1702</v>
      </c>
      <c r="I11" s="174" t="str">
        <f t="shared" si="1"/>
        <v>SUL</v>
      </c>
    </row>
    <row r="12" ht="14.25" customHeight="1">
      <c r="A12" s="166"/>
      <c r="D12" s="173" t="s">
        <v>1703</v>
      </c>
      <c r="E12" s="173" t="s">
        <v>1704</v>
      </c>
      <c r="F12" s="173" t="s">
        <v>1640</v>
      </c>
      <c r="G12" s="174" t="s">
        <v>1705</v>
      </c>
      <c r="H12" s="174" t="s">
        <v>1706</v>
      </c>
      <c r="I12" s="174" t="str">
        <f t="shared" si="1"/>
        <v>SUL</v>
      </c>
    </row>
    <row r="13" ht="14.25" customHeight="1">
      <c r="D13" s="173" t="s">
        <v>1707</v>
      </c>
      <c r="E13" s="173" t="s">
        <v>1666</v>
      </c>
      <c r="F13" s="173" t="s">
        <v>1641</v>
      </c>
      <c r="G13" s="174" t="s">
        <v>1708</v>
      </c>
      <c r="H13" s="174" t="s">
        <v>1687</v>
      </c>
      <c r="I13" s="174" t="str">
        <f t="shared" si="1"/>
        <v>NORTE</v>
      </c>
    </row>
    <row r="14" ht="14.25" customHeight="1">
      <c r="D14" s="173" t="s">
        <v>1709</v>
      </c>
      <c r="E14" s="173" t="s">
        <v>1710</v>
      </c>
      <c r="F14" s="173" t="s">
        <v>1639</v>
      </c>
      <c r="G14" s="174" t="s">
        <v>1711</v>
      </c>
      <c r="H14" s="174" t="s">
        <v>1706</v>
      </c>
      <c r="I14" s="174" t="str">
        <f t="shared" si="1"/>
        <v>SUL</v>
      </c>
    </row>
    <row r="15" ht="14.25" customHeight="1">
      <c r="D15" s="173" t="s">
        <v>1712</v>
      </c>
      <c r="E15" s="173" t="s">
        <v>1713</v>
      </c>
      <c r="F15" s="173" t="s">
        <v>1639</v>
      </c>
      <c r="G15" s="174" t="s">
        <v>1714</v>
      </c>
      <c r="H15" s="174" t="s">
        <v>1666</v>
      </c>
      <c r="I15" s="174" t="str">
        <f t="shared" si="1"/>
        <v>SUDESTE</v>
      </c>
    </row>
    <row r="16" ht="14.25" customHeight="1">
      <c r="D16" s="173" t="s">
        <v>1715</v>
      </c>
      <c r="E16" s="173" t="s">
        <v>1687</v>
      </c>
      <c r="F16" s="173" t="s">
        <v>1642</v>
      </c>
      <c r="G16" s="174" t="s">
        <v>1716</v>
      </c>
      <c r="H16" s="174" t="s">
        <v>1717</v>
      </c>
      <c r="I16" s="174" t="str">
        <f t="shared" si="1"/>
        <v>NORDESTE</v>
      </c>
    </row>
    <row r="17" ht="14.25" customHeight="1">
      <c r="D17" s="173" t="s">
        <v>1718</v>
      </c>
      <c r="E17" s="173" t="s">
        <v>1719</v>
      </c>
      <c r="F17" s="173" t="s">
        <v>1640</v>
      </c>
      <c r="G17" s="174" t="s">
        <v>1720</v>
      </c>
      <c r="H17" s="174" t="s">
        <v>1721</v>
      </c>
      <c r="I17" s="174" t="str">
        <f t="shared" si="1"/>
        <v>NORTE</v>
      </c>
    </row>
    <row r="18" ht="14.25" customHeight="1">
      <c r="D18" s="173" t="s">
        <v>1722</v>
      </c>
      <c r="E18" s="173" t="s">
        <v>1717</v>
      </c>
      <c r="F18" s="173" t="s">
        <v>1640</v>
      </c>
      <c r="G18" s="174" t="s">
        <v>1723</v>
      </c>
      <c r="H18" s="174" t="s">
        <v>1666</v>
      </c>
      <c r="I18" s="174" t="str">
        <f t="shared" si="1"/>
        <v>SUDESTE</v>
      </c>
    </row>
    <row r="19" ht="14.25" customHeight="1">
      <c r="D19" s="173" t="s">
        <v>1724</v>
      </c>
      <c r="E19" s="173" t="s">
        <v>1725</v>
      </c>
      <c r="F19" s="173" t="s">
        <v>1640</v>
      </c>
      <c r="G19" s="174" t="s">
        <v>1726</v>
      </c>
      <c r="H19" s="174" t="s">
        <v>1704</v>
      </c>
      <c r="I19" s="174" t="str">
        <f t="shared" si="1"/>
        <v>NORDESTE</v>
      </c>
    </row>
    <row r="20" ht="14.25" customHeight="1">
      <c r="D20" s="173" t="s">
        <v>1727</v>
      </c>
      <c r="E20" s="173" t="s">
        <v>1702</v>
      </c>
      <c r="F20" s="173" t="s">
        <v>1643</v>
      </c>
      <c r="G20" s="174" t="s">
        <v>1728</v>
      </c>
      <c r="H20" s="174" t="s">
        <v>1685</v>
      </c>
      <c r="I20" s="174" t="str">
        <f t="shared" si="1"/>
        <v>NORDESTE</v>
      </c>
    </row>
    <row r="21" ht="14.25" customHeight="1">
      <c r="D21" s="173" t="s">
        <v>1729</v>
      </c>
      <c r="E21" s="173" t="s">
        <v>1730</v>
      </c>
      <c r="F21" s="173" t="s">
        <v>1641</v>
      </c>
      <c r="G21" s="174" t="s">
        <v>1731</v>
      </c>
      <c r="H21" s="174" t="s">
        <v>1687</v>
      </c>
      <c r="I21" s="174" t="str">
        <f t="shared" si="1"/>
        <v>NORTE</v>
      </c>
    </row>
    <row r="22" ht="14.25" customHeight="1">
      <c r="D22" s="173" t="s">
        <v>1732</v>
      </c>
      <c r="E22" s="173" t="s">
        <v>1733</v>
      </c>
      <c r="F22" s="173" t="s">
        <v>1640</v>
      </c>
      <c r="G22" s="174" t="s">
        <v>1734</v>
      </c>
      <c r="H22" s="174" t="s">
        <v>1690</v>
      </c>
      <c r="I22" s="174" t="str">
        <f t="shared" si="1"/>
        <v>NORDESTE</v>
      </c>
    </row>
    <row r="23" ht="14.25" customHeight="1">
      <c r="D23" s="173" t="s">
        <v>1735</v>
      </c>
      <c r="E23" s="173" t="s">
        <v>1736</v>
      </c>
      <c r="F23" s="173" t="s">
        <v>1642</v>
      </c>
      <c r="G23" s="174" t="s">
        <v>1737</v>
      </c>
      <c r="H23" s="174" t="s">
        <v>1690</v>
      </c>
      <c r="I23" s="174" t="str">
        <f t="shared" si="1"/>
        <v>NORDESTE</v>
      </c>
    </row>
    <row r="24" ht="14.25" customHeight="1">
      <c r="D24" s="173" t="s">
        <v>1738</v>
      </c>
      <c r="E24" s="173" t="s">
        <v>1739</v>
      </c>
      <c r="F24" s="173" t="s">
        <v>1642</v>
      </c>
      <c r="G24" s="174" t="s">
        <v>1740</v>
      </c>
      <c r="H24" s="174" t="s">
        <v>1733</v>
      </c>
      <c r="I24" s="174" t="str">
        <f t="shared" si="1"/>
        <v>NORDESTE</v>
      </c>
    </row>
    <row r="25" ht="14.25" customHeight="1">
      <c r="D25" s="173" t="s">
        <v>1741</v>
      </c>
      <c r="E25" s="173" t="s">
        <v>1742</v>
      </c>
      <c r="F25" s="173" t="s">
        <v>1643</v>
      </c>
      <c r="G25" s="174" t="s">
        <v>1743</v>
      </c>
      <c r="H25" s="174" t="s">
        <v>1725</v>
      </c>
      <c r="I25" s="174" t="str">
        <f t="shared" si="1"/>
        <v>NORDESTE</v>
      </c>
    </row>
    <row r="26" ht="14.25" customHeight="1">
      <c r="D26" s="173" t="s">
        <v>1744</v>
      </c>
      <c r="E26" s="173" t="s">
        <v>1706</v>
      </c>
      <c r="F26" s="173" t="s">
        <v>1643</v>
      </c>
      <c r="G26" s="174" t="s">
        <v>1745</v>
      </c>
      <c r="H26" s="174" t="s">
        <v>1742</v>
      </c>
      <c r="I26" s="174" t="str">
        <f t="shared" si="1"/>
        <v>SUL</v>
      </c>
    </row>
    <row r="27" ht="14.25" customHeight="1">
      <c r="D27" s="173" t="s">
        <v>1746</v>
      </c>
      <c r="E27" s="173" t="s">
        <v>1747</v>
      </c>
      <c r="F27" s="173" t="s">
        <v>1640</v>
      </c>
      <c r="G27" s="174" t="s">
        <v>1748</v>
      </c>
      <c r="H27" s="174" t="s">
        <v>1690</v>
      </c>
      <c r="I27" s="174" t="str">
        <f t="shared" si="1"/>
        <v>NORDESTE</v>
      </c>
    </row>
    <row r="28" ht="14.25" customHeight="1">
      <c r="D28" s="173" t="s">
        <v>1749</v>
      </c>
      <c r="E28" s="173" t="s">
        <v>1750</v>
      </c>
      <c r="F28" s="173" t="s">
        <v>1641</v>
      </c>
      <c r="G28" s="174" t="s">
        <v>1751</v>
      </c>
      <c r="H28" s="174" t="s">
        <v>1713</v>
      </c>
      <c r="I28" s="174" t="str">
        <f t="shared" si="1"/>
        <v>CENTRO OESTE</v>
      </c>
    </row>
    <row r="29" ht="14.25" customHeight="1">
      <c r="D29" s="173" t="s">
        <v>1752</v>
      </c>
      <c r="E29" s="173" t="s">
        <v>1721</v>
      </c>
      <c r="F29" s="173" t="s">
        <v>1642</v>
      </c>
      <c r="G29" s="174" t="s">
        <v>1753</v>
      </c>
      <c r="H29" s="174" t="s">
        <v>1656</v>
      </c>
      <c r="I29" s="174" t="str">
        <f t="shared" si="1"/>
        <v>NORTE</v>
      </c>
    </row>
    <row r="30" ht="14.25" customHeight="1">
      <c r="D30" s="173" t="s">
        <v>1754</v>
      </c>
      <c r="E30" s="173"/>
      <c r="F30" s="173"/>
      <c r="G30" s="174" t="s">
        <v>1755</v>
      </c>
      <c r="H30" s="174" t="s">
        <v>1658</v>
      </c>
      <c r="I30" s="174" t="str">
        <f t="shared" si="1"/>
        <v>CENTRO OESTE</v>
      </c>
    </row>
    <row r="31" ht="14.25" customHeight="1">
      <c r="D31" s="173" t="s">
        <v>1756</v>
      </c>
      <c r="E31" s="173"/>
      <c r="F31" s="173"/>
      <c r="G31" s="174" t="s">
        <v>1757</v>
      </c>
      <c r="H31" s="174" t="s">
        <v>1733</v>
      </c>
      <c r="I31" s="174" t="str">
        <f t="shared" si="1"/>
        <v>NORDESTE</v>
      </c>
    </row>
    <row r="32" ht="14.25" customHeight="1">
      <c r="D32" s="173" t="s">
        <v>1758</v>
      </c>
      <c r="E32" s="173"/>
      <c r="F32" s="173"/>
      <c r="G32" s="174" t="s">
        <v>1759</v>
      </c>
      <c r="H32" s="174" t="s">
        <v>1666</v>
      </c>
      <c r="I32" s="174" t="str">
        <f t="shared" si="1"/>
        <v>SUDESTE</v>
      </c>
    </row>
    <row r="33" ht="14.25" customHeight="1">
      <c r="D33" s="173" t="s">
        <v>1760</v>
      </c>
      <c r="E33" s="173"/>
      <c r="F33" s="173"/>
      <c r="G33" s="174" t="s">
        <v>1761</v>
      </c>
      <c r="H33" s="174" t="s">
        <v>1750</v>
      </c>
      <c r="I33" s="174" t="str">
        <f t="shared" si="1"/>
        <v>SUDESTE</v>
      </c>
    </row>
    <row r="34" ht="14.25" customHeight="1">
      <c r="D34" s="173" t="s">
        <v>1762</v>
      </c>
      <c r="E34" s="173"/>
      <c r="F34" s="173"/>
      <c r="G34" s="174" t="s">
        <v>1763</v>
      </c>
      <c r="H34" s="174" t="s">
        <v>1658</v>
      </c>
      <c r="I34" s="174" t="str">
        <f t="shared" si="1"/>
        <v>CENTRO OESTE</v>
      </c>
    </row>
    <row r="35" ht="14.25" customHeight="1">
      <c r="D35" s="173" t="s">
        <v>1764</v>
      </c>
      <c r="E35" s="173"/>
      <c r="F35" s="173"/>
      <c r="G35" s="174" t="s">
        <v>1765</v>
      </c>
      <c r="H35" s="174" t="s">
        <v>1750</v>
      </c>
      <c r="I35" s="174" t="str">
        <f t="shared" si="1"/>
        <v>SUDESTE</v>
      </c>
    </row>
    <row r="36" ht="14.25" customHeight="1">
      <c r="D36" s="173" t="s">
        <v>1766</v>
      </c>
      <c r="E36" s="173"/>
      <c r="F36" s="173"/>
      <c r="G36" s="174" t="s">
        <v>1767</v>
      </c>
      <c r="H36" s="174" t="s">
        <v>1702</v>
      </c>
      <c r="I36" s="174" t="str">
        <f t="shared" si="1"/>
        <v>SUL</v>
      </c>
    </row>
    <row r="37" ht="14.25" customHeight="1">
      <c r="D37" s="173" t="s">
        <v>1768</v>
      </c>
      <c r="E37" s="173"/>
      <c r="F37" s="173"/>
      <c r="G37" s="174" t="s">
        <v>1769</v>
      </c>
      <c r="H37" s="174" t="s">
        <v>1685</v>
      </c>
      <c r="I37" s="174" t="str">
        <f t="shared" si="1"/>
        <v>NORDESTE</v>
      </c>
    </row>
    <row r="38" ht="14.25" customHeight="1">
      <c r="D38" s="173" t="s">
        <v>1770</v>
      </c>
      <c r="E38" s="173"/>
      <c r="F38" s="173"/>
      <c r="G38" s="174" t="s">
        <v>1771</v>
      </c>
      <c r="H38" s="174" t="s">
        <v>1717</v>
      </c>
      <c r="I38" s="174" t="str">
        <f t="shared" si="1"/>
        <v>NORDESTE</v>
      </c>
    </row>
    <row r="39" ht="14.25" customHeight="1">
      <c r="D39" s="173" t="s">
        <v>1772</v>
      </c>
      <c r="E39" s="173"/>
      <c r="F39" s="173"/>
      <c r="G39" s="174" t="s">
        <v>1773</v>
      </c>
      <c r="H39" s="174" t="s">
        <v>1733</v>
      </c>
      <c r="I39" s="174" t="str">
        <f t="shared" si="1"/>
        <v>NORDESTE</v>
      </c>
    </row>
    <row r="40" ht="14.25" customHeight="1">
      <c r="D40" s="173" t="s">
        <v>1774</v>
      </c>
      <c r="E40" s="173"/>
      <c r="F40" s="173"/>
      <c r="G40" s="174" t="s">
        <v>1775</v>
      </c>
      <c r="H40" s="174" t="s">
        <v>1698</v>
      </c>
      <c r="I40" s="174" t="str">
        <f t="shared" si="1"/>
        <v>SUDESTE</v>
      </c>
    </row>
    <row r="41" ht="14.25" customHeight="1">
      <c r="D41" s="173" t="s">
        <v>1776</v>
      </c>
      <c r="E41" s="173"/>
      <c r="F41" s="173"/>
      <c r="G41" s="174" t="s">
        <v>1777</v>
      </c>
      <c r="H41" s="174" t="s">
        <v>1704</v>
      </c>
      <c r="I41" s="174" t="str">
        <f t="shared" si="1"/>
        <v>NORDESTE</v>
      </c>
    </row>
    <row r="42" ht="14.25" customHeight="1">
      <c r="D42" s="173" t="s">
        <v>1778</v>
      </c>
      <c r="E42" s="173"/>
      <c r="F42" s="173"/>
      <c r="G42" s="174" t="s">
        <v>1779</v>
      </c>
      <c r="H42" s="174" t="s">
        <v>1717</v>
      </c>
      <c r="I42" s="174" t="str">
        <f t="shared" si="1"/>
        <v>NORDESTE</v>
      </c>
    </row>
    <row r="43" ht="14.25" customHeight="1">
      <c r="D43" s="173" t="s">
        <v>1780</v>
      </c>
      <c r="E43" s="173"/>
      <c r="F43" s="173"/>
      <c r="G43" s="174" t="s">
        <v>1781</v>
      </c>
      <c r="H43" s="174" t="s">
        <v>1687</v>
      </c>
      <c r="I43" s="174" t="str">
        <f t="shared" si="1"/>
        <v>NORTE</v>
      </c>
    </row>
    <row r="44" ht="14.25" customHeight="1">
      <c r="D44" s="173" t="s">
        <v>1782</v>
      </c>
      <c r="E44" s="173"/>
      <c r="F44" s="173"/>
      <c r="G44" s="174" t="s">
        <v>1783</v>
      </c>
      <c r="H44" s="174" t="s">
        <v>1717</v>
      </c>
      <c r="I44" s="174" t="str">
        <f t="shared" si="1"/>
        <v>NORDESTE</v>
      </c>
    </row>
    <row r="45" ht="14.25" customHeight="1">
      <c r="D45" s="173" t="s">
        <v>1784</v>
      </c>
      <c r="E45" s="173"/>
      <c r="F45" s="173"/>
      <c r="G45" s="174" t="s">
        <v>1785</v>
      </c>
      <c r="H45" s="174" t="s">
        <v>1725</v>
      </c>
      <c r="I45" s="174" t="str">
        <f t="shared" si="1"/>
        <v>NORDESTE</v>
      </c>
    </row>
    <row r="46" ht="14.25" customHeight="1">
      <c r="D46" s="173" t="s">
        <v>1786</v>
      </c>
      <c r="E46" s="173"/>
      <c r="F46" s="173"/>
      <c r="G46" s="174" t="s">
        <v>1787</v>
      </c>
      <c r="H46" s="174" t="s">
        <v>1706</v>
      </c>
      <c r="I46" s="174" t="str">
        <f t="shared" si="1"/>
        <v>SUL</v>
      </c>
    </row>
    <row r="47" ht="14.25" customHeight="1">
      <c r="D47" s="173" t="s">
        <v>1788</v>
      </c>
      <c r="E47" s="173"/>
      <c r="F47" s="173"/>
      <c r="G47" s="174" t="s">
        <v>1789</v>
      </c>
      <c r="H47" s="174" t="s">
        <v>1706</v>
      </c>
      <c r="I47" s="174" t="str">
        <f t="shared" si="1"/>
        <v>SUL</v>
      </c>
    </row>
    <row r="48" ht="14.25" customHeight="1">
      <c r="G48" s="174" t="s">
        <v>1790</v>
      </c>
      <c r="H48" s="174" t="s">
        <v>1687</v>
      </c>
      <c r="I48" s="174" t="str">
        <f t="shared" si="1"/>
        <v>NORTE</v>
      </c>
    </row>
    <row r="49" ht="14.25" customHeight="1">
      <c r="G49" s="174" t="s">
        <v>1791</v>
      </c>
      <c r="H49" s="174" t="s">
        <v>1666</v>
      </c>
      <c r="I49" s="174" t="str">
        <f t="shared" si="1"/>
        <v>SUDESTE</v>
      </c>
    </row>
    <row r="50" ht="14.25" customHeight="1">
      <c r="G50" s="174" t="s">
        <v>1791</v>
      </c>
      <c r="H50" s="174" t="s">
        <v>1713</v>
      </c>
      <c r="I50" s="174" t="str">
        <f t="shared" si="1"/>
        <v>CENTRO OESTE</v>
      </c>
    </row>
    <row r="51" ht="14.25" customHeight="1">
      <c r="G51" s="174" t="s">
        <v>1792</v>
      </c>
      <c r="H51" s="174" t="s">
        <v>1725</v>
      </c>
      <c r="I51" s="174" t="str">
        <f t="shared" si="1"/>
        <v>NORDESTE</v>
      </c>
    </row>
    <row r="52" ht="14.25" customHeight="1">
      <c r="G52" s="174" t="s">
        <v>1792</v>
      </c>
      <c r="H52" s="174" t="s">
        <v>1719</v>
      </c>
      <c r="I52" s="174" t="str">
        <f t="shared" si="1"/>
        <v>NORDESTE</v>
      </c>
    </row>
    <row r="53" ht="14.25" customHeight="1">
      <c r="G53" s="174" t="s">
        <v>1792</v>
      </c>
      <c r="H53" s="174" t="s">
        <v>1664</v>
      </c>
      <c r="I53" s="174" t="str">
        <f t="shared" si="1"/>
        <v>NORDESTE</v>
      </c>
    </row>
    <row r="54" ht="14.25" customHeight="1">
      <c r="G54" s="174" t="s">
        <v>1793</v>
      </c>
      <c r="H54" s="174" t="s">
        <v>1710</v>
      </c>
      <c r="I54" s="174" t="str">
        <f t="shared" si="1"/>
        <v>CENTRO OESTE</v>
      </c>
    </row>
    <row r="55" ht="14.25" customHeight="1">
      <c r="G55" s="174" t="s">
        <v>1794</v>
      </c>
      <c r="H55" s="174" t="s">
        <v>1666</v>
      </c>
      <c r="I55" s="174" t="str">
        <f t="shared" si="1"/>
        <v>SUDESTE</v>
      </c>
    </row>
    <row r="56" ht="14.25" customHeight="1">
      <c r="G56" s="174" t="s">
        <v>1795</v>
      </c>
      <c r="H56" s="174" t="s">
        <v>1706</v>
      </c>
      <c r="I56" s="174" t="str">
        <f t="shared" si="1"/>
        <v>SUL</v>
      </c>
    </row>
    <row r="57" ht="14.25" customHeight="1">
      <c r="G57" s="174" t="s">
        <v>1796</v>
      </c>
      <c r="H57" s="174" t="s">
        <v>1704</v>
      </c>
      <c r="I57" s="174" t="str">
        <f t="shared" si="1"/>
        <v>NORDESTE</v>
      </c>
    </row>
    <row r="58" ht="14.25" customHeight="1">
      <c r="G58" s="174" t="s">
        <v>1797</v>
      </c>
      <c r="H58" s="174" t="s">
        <v>1698</v>
      </c>
      <c r="I58" s="174" t="str">
        <f t="shared" si="1"/>
        <v>SUDESTE</v>
      </c>
    </row>
    <row r="59" ht="14.25" customHeight="1">
      <c r="G59" s="174" t="s">
        <v>1798</v>
      </c>
      <c r="H59" s="174" t="s">
        <v>1685</v>
      </c>
      <c r="I59" s="174" t="str">
        <f t="shared" si="1"/>
        <v>NORDESTE</v>
      </c>
    </row>
    <row r="60" ht="14.25" customHeight="1">
      <c r="G60" s="174" t="s">
        <v>1799</v>
      </c>
      <c r="H60" s="174" t="s">
        <v>1658</v>
      </c>
      <c r="I60" s="174" t="str">
        <f t="shared" si="1"/>
        <v>CENTRO OESTE</v>
      </c>
    </row>
    <row r="61" ht="14.25" customHeight="1">
      <c r="G61" s="174" t="s">
        <v>1800</v>
      </c>
      <c r="H61" s="174" t="s">
        <v>1658</v>
      </c>
      <c r="I61" s="174" t="str">
        <f t="shared" si="1"/>
        <v>CENTRO OESTE</v>
      </c>
    </row>
    <row r="62" ht="14.25" customHeight="1">
      <c r="G62" s="174" t="s">
        <v>1801</v>
      </c>
      <c r="H62" s="174" t="s">
        <v>1733</v>
      </c>
      <c r="I62" s="174" t="str">
        <f t="shared" si="1"/>
        <v>NORDESTE</v>
      </c>
    </row>
    <row r="63" ht="14.25" customHeight="1">
      <c r="G63" s="174" t="s">
        <v>1802</v>
      </c>
      <c r="H63" s="174" t="s">
        <v>1717</v>
      </c>
      <c r="I63" s="174" t="str">
        <f t="shared" si="1"/>
        <v>NORDESTE</v>
      </c>
    </row>
    <row r="64" ht="14.25" customHeight="1">
      <c r="G64" s="174" t="s">
        <v>1803</v>
      </c>
      <c r="H64" s="174" t="s">
        <v>1742</v>
      </c>
      <c r="I64" s="174" t="str">
        <f t="shared" si="1"/>
        <v>SUL</v>
      </c>
    </row>
    <row r="65" ht="14.25" customHeight="1">
      <c r="G65" s="174" t="s">
        <v>1804</v>
      </c>
      <c r="H65" s="174" t="s">
        <v>1750</v>
      </c>
      <c r="I65" s="174" t="str">
        <f t="shared" si="1"/>
        <v>SUDESTE</v>
      </c>
    </row>
    <row r="66" ht="14.25" customHeight="1">
      <c r="G66" s="174" t="s">
        <v>1805</v>
      </c>
      <c r="H66" s="174" t="s">
        <v>1666</v>
      </c>
      <c r="I66" s="174" t="str">
        <f t="shared" si="1"/>
        <v>SUDESTE</v>
      </c>
    </row>
    <row r="67" ht="14.25" customHeight="1">
      <c r="G67" s="174" t="s">
        <v>1806</v>
      </c>
      <c r="H67" s="174" t="s">
        <v>1717</v>
      </c>
      <c r="I67" s="174" t="str">
        <f t="shared" si="1"/>
        <v>NORDESTE</v>
      </c>
    </row>
    <row r="68" ht="14.25" customHeight="1">
      <c r="G68" s="174" t="s">
        <v>1807</v>
      </c>
      <c r="H68" s="174" t="s">
        <v>1750</v>
      </c>
      <c r="I68" s="174" t="str">
        <f t="shared" si="1"/>
        <v>SUDESTE</v>
      </c>
    </row>
    <row r="69" ht="14.25" customHeight="1">
      <c r="G69" s="174" t="s">
        <v>1808</v>
      </c>
      <c r="H69" s="174" t="s">
        <v>1706</v>
      </c>
      <c r="I69" s="174" t="str">
        <f t="shared" si="1"/>
        <v>SUL</v>
      </c>
    </row>
    <row r="70" ht="14.25" customHeight="1">
      <c r="G70" s="174" t="s">
        <v>1809</v>
      </c>
      <c r="H70" s="174" t="s">
        <v>1750</v>
      </c>
      <c r="I70" s="174" t="str">
        <f t="shared" si="1"/>
        <v>SUDESTE</v>
      </c>
    </row>
    <row r="71" ht="14.25" customHeight="1">
      <c r="G71" s="174" t="s">
        <v>1810</v>
      </c>
      <c r="H71" s="174" t="s">
        <v>1750</v>
      </c>
      <c r="I71" s="174" t="str">
        <f t="shared" si="1"/>
        <v>SUDESTE</v>
      </c>
    </row>
    <row r="72" ht="14.25" customHeight="1">
      <c r="G72" s="174" t="s">
        <v>1811</v>
      </c>
      <c r="H72" s="174" t="s">
        <v>1750</v>
      </c>
      <c r="I72" s="174" t="str">
        <f t="shared" si="1"/>
        <v>SUDESTE</v>
      </c>
    </row>
    <row r="73" ht="14.25" customHeight="1">
      <c r="G73" s="174" t="s">
        <v>1812</v>
      </c>
      <c r="H73" s="174" t="s">
        <v>1666</v>
      </c>
      <c r="I73" s="174" t="str">
        <f t="shared" si="1"/>
        <v>SUDESTE</v>
      </c>
    </row>
    <row r="74" ht="14.25" customHeight="1">
      <c r="G74" s="174" t="s">
        <v>1813</v>
      </c>
      <c r="H74" s="174" t="s">
        <v>1706</v>
      </c>
      <c r="I74" s="174" t="str">
        <f t="shared" si="1"/>
        <v>SUL</v>
      </c>
    </row>
    <row r="75" ht="14.25" customHeight="1">
      <c r="G75" s="174" t="s">
        <v>1814</v>
      </c>
      <c r="H75" s="174" t="s">
        <v>1658</v>
      </c>
      <c r="I75" s="174" t="str">
        <f t="shared" si="1"/>
        <v>CENTRO OESTE</v>
      </c>
    </row>
    <row r="76" ht="14.25" customHeight="1">
      <c r="G76" s="174" t="s">
        <v>1815</v>
      </c>
      <c r="H76" s="174" t="s">
        <v>1706</v>
      </c>
      <c r="I76" s="174" t="str">
        <f t="shared" si="1"/>
        <v>SUL</v>
      </c>
    </row>
    <row r="77" ht="14.25" customHeight="1">
      <c r="G77" s="174" t="s">
        <v>1816</v>
      </c>
      <c r="H77" s="174" t="s">
        <v>1666</v>
      </c>
      <c r="I77" s="174" t="str">
        <f t="shared" si="1"/>
        <v>SUDESTE</v>
      </c>
    </row>
    <row r="78" ht="14.25" customHeight="1">
      <c r="G78" s="174" t="s">
        <v>1817</v>
      </c>
      <c r="H78" s="174" t="s">
        <v>1742</v>
      </c>
      <c r="I78" s="174" t="str">
        <f t="shared" si="1"/>
        <v>SUL</v>
      </c>
    </row>
    <row r="79" ht="14.25" customHeight="1">
      <c r="G79" s="174" t="s">
        <v>1818</v>
      </c>
      <c r="H79" s="174" t="s">
        <v>1750</v>
      </c>
      <c r="I79" s="174" t="str">
        <f t="shared" si="1"/>
        <v>SUDESTE</v>
      </c>
    </row>
    <row r="80" ht="14.25" customHeight="1">
      <c r="G80" s="174" t="s">
        <v>1819</v>
      </c>
      <c r="H80" s="174" t="s">
        <v>1702</v>
      </c>
      <c r="I80" s="174" t="str">
        <f t="shared" si="1"/>
        <v>SUL</v>
      </c>
    </row>
    <row r="81" ht="14.25" customHeight="1">
      <c r="G81" s="174" t="s">
        <v>1820</v>
      </c>
      <c r="H81" s="174" t="s">
        <v>1698</v>
      </c>
      <c r="I81" s="174" t="str">
        <f t="shared" si="1"/>
        <v>SUDESTE</v>
      </c>
    </row>
    <row r="82" ht="14.25" customHeight="1">
      <c r="G82" s="174" t="s">
        <v>1821</v>
      </c>
      <c r="H82" s="174" t="s">
        <v>1719</v>
      </c>
      <c r="I82" s="174" t="str">
        <f t="shared" si="1"/>
        <v>NORDESTE</v>
      </c>
    </row>
    <row r="83" ht="14.25" customHeight="1">
      <c r="G83" s="174" t="s">
        <v>1822</v>
      </c>
      <c r="H83" s="174" t="s">
        <v>1721</v>
      </c>
      <c r="I83" s="174" t="str">
        <f t="shared" si="1"/>
        <v>NORTE</v>
      </c>
    </row>
    <row r="84" ht="14.25" customHeight="1">
      <c r="G84" s="174" t="s">
        <v>1823</v>
      </c>
      <c r="H84" s="174" t="s">
        <v>1666</v>
      </c>
      <c r="I84" s="174" t="str">
        <f t="shared" si="1"/>
        <v>SUDESTE</v>
      </c>
    </row>
    <row r="85" ht="14.25" customHeight="1">
      <c r="G85" s="174" t="s">
        <v>1824</v>
      </c>
      <c r="H85" s="174" t="s">
        <v>1685</v>
      </c>
      <c r="I85" s="174" t="str">
        <f t="shared" si="1"/>
        <v>NORDESTE</v>
      </c>
    </row>
    <row r="86" ht="14.25" customHeight="1">
      <c r="G86" s="174" t="s">
        <v>1825</v>
      </c>
      <c r="H86" s="174" t="s">
        <v>1690</v>
      </c>
      <c r="I86" s="174" t="str">
        <f t="shared" si="1"/>
        <v>NORDESTE</v>
      </c>
    </row>
    <row r="87" ht="14.25" customHeight="1">
      <c r="G87" s="174" t="s">
        <v>1826</v>
      </c>
      <c r="H87" s="174" t="s">
        <v>1666</v>
      </c>
      <c r="I87" s="174" t="str">
        <f t="shared" si="1"/>
        <v>SUDESTE</v>
      </c>
    </row>
    <row r="88" ht="14.25" customHeight="1">
      <c r="G88" s="174" t="s">
        <v>1827</v>
      </c>
      <c r="H88" s="174" t="s">
        <v>1742</v>
      </c>
      <c r="I88" s="174" t="str">
        <f t="shared" si="1"/>
        <v>SUL</v>
      </c>
    </row>
    <row r="89" ht="14.25" customHeight="1">
      <c r="G89" s="174" t="s">
        <v>1828</v>
      </c>
      <c r="H89" s="174" t="s">
        <v>1666</v>
      </c>
      <c r="I89" s="174" t="str">
        <f t="shared" si="1"/>
        <v>SUDESTE</v>
      </c>
    </row>
    <row r="90" ht="14.25" customHeight="1">
      <c r="G90" s="174" t="s">
        <v>1829</v>
      </c>
      <c r="H90" s="174" t="s">
        <v>1719</v>
      </c>
      <c r="I90" s="174" t="str">
        <f t="shared" si="1"/>
        <v>NORDESTE</v>
      </c>
    </row>
    <row r="91" ht="14.25" customHeight="1">
      <c r="G91" s="174" t="s">
        <v>1830</v>
      </c>
      <c r="H91" s="174" t="s">
        <v>1719</v>
      </c>
      <c r="I91" s="174" t="str">
        <f t="shared" si="1"/>
        <v>NORDESTE</v>
      </c>
    </row>
    <row r="92" ht="14.25" customHeight="1">
      <c r="G92" s="174" t="s">
        <v>1831</v>
      </c>
      <c r="H92" s="174" t="s">
        <v>1719</v>
      </c>
      <c r="I92" s="174" t="str">
        <f t="shared" si="1"/>
        <v>NORDESTE</v>
      </c>
    </row>
    <row r="93" ht="14.25" customHeight="1">
      <c r="G93" s="174" t="s">
        <v>1831</v>
      </c>
      <c r="H93" s="174" t="s">
        <v>1717</v>
      </c>
      <c r="I93" s="174" t="str">
        <f t="shared" si="1"/>
        <v>NORDESTE</v>
      </c>
    </row>
    <row r="94" ht="14.25" customHeight="1">
      <c r="G94" s="174" t="s">
        <v>1832</v>
      </c>
      <c r="H94" s="174" t="s">
        <v>1725</v>
      </c>
      <c r="I94" s="174" t="str">
        <f t="shared" si="1"/>
        <v>NORDESTE</v>
      </c>
    </row>
    <row r="95" ht="14.25" customHeight="1">
      <c r="G95" s="174" t="s">
        <v>1833</v>
      </c>
      <c r="H95" s="174" t="s">
        <v>1685</v>
      </c>
      <c r="I95" s="174" t="str">
        <f t="shared" si="1"/>
        <v>NORDESTE</v>
      </c>
    </row>
    <row r="96" ht="14.25" customHeight="1">
      <c r="G96" s="174" t="s">
        <v>1834</v>
      </c>
      <c r="H96" s="174" t="s">
        <v>1750</v>
      </c>
      <c r="I96" s="174" t="str">
        <f t="shared" si="1"/>
        <v>SUDESTE</v>
      </c>
    </row>
    <row r="97" ht="14.25" customHeight="1">
      <c r="G97" s="174" t="s">
        <v>1835</v>
      </c>
      <c r="H97" s="174" t="s">
        <v>1666</v>
      </c>
      <c r="I97" s="174" t="str">
        <f t="shared" si="1"/>
        <v>SUDESTE</v>
      </c>
    </row>
    <row r="98" ht="14.25" customHeight="1">
      <c r="G98" s="174" t="s">
        <v>1836</v>
      </c>
      <c r="H98" s="174" t="s">
        <v>1704</v>
      </c>
      <c r="I98" s="174" t="str">
        <f t="shared" si="1"/>
        <v>NORDESTE</v>
      </c>
    </row>
    <row r="99" ht="14.25" customHeight="1">
      <c r="G99" s="174" t="s">
        <v>1837</v>
      </c>
      <c r="H99" s="174" t="s">
        <v>1690</v>
      </c>
      <c r="I99" s="174" t="str">
        <f t="shared" si="1"/>
        <v>NORDESTE</v>
      </c>
    </row>
    <row r="100" ht="14.25" customHeight="1">
      <c r="G100" s="174" t="s">
        <v>1838</v>
      </c>
      <c r="H100" s="174" t="s">
        <v>1719</v>
      </c>
      <c r="I100" s="174" t="str">
        <f t="shared" si="1"/>
        <v>NORDESTE</v>
      </c>
    </row>
    <row r="101" ht="14.25" customHeight="1">
      <c r="G101" s="174" t="s">
        <v>1839</v>
      </c>
      <c r="H101" s="174" t="s">
        <v>1710</v>
      </c>
      <c r="I101" s="174" t="str">
        <f t="shared" si="1"/>
        <v>CENTRO OESTE</v>
      </c>
    </row>
    <row r="102" ht="14.25" customHeight="1">
      <c r="G102" s="174" t="s">
        <v>1840</v>
      </c>
      <c r="H102" s="174" t="s">
        <v>1685</v>
      </c>
      <c r="I102" s="174" t="str">
        <f t="shared" si="1"/>
        <v>NORDESTE</v>
      </c>
    </row>
    <row r="103" ht="14.25" customHeight="1">
      <c r="G103" s="174" t="s">
        <v>1841</v>
      </c>
      <c r="H103" s="174" t="s">
        <v>1704</v>
      </c>
      <c r="I103" s="174" t="str">
        <f t="shared" si="1"/>
        <v>NORDESTE</v>
      </c>
    </row>
    <row r="104" ht="14.25" customHeight="1">
      <c r="G104" s="174" t="s">
        <v>1842</v>
      </c>
      <c r="H104" s="174" t="s">
        <v>1742</v>
      </c>
      <c r="I104" s="174" t="str">
        <f t="shared" si="1"/>
        <v>SUL</v>
      </c>
    </row>
    <row r="105" ht="14.25" customHeight="1">
      <c r="G105" s="174" t="s">
        <v>1843</v>
      </c>
      <c r="H105" s="174" t="s">
        <v>1698</v>
      </c>
      <c r="I105" s="174" t="str">
        <f t="shared" si="1"/>
        <v>SUDESTE</v>
      </c>
    </row>
    <row r="106" ht="14.25" customHeight="1">
      <c r="G106" s="174" t="s">
        <v>1844</v>
      </c>
      <c r="H106" s="174" t="s">
        <v>1742</v>
      </c>
      <c r="I106" s="174" t="str">
        <f t="shared" si="1"/>
        <v>SUL</v>
      </c>
    </row>
    <row r="107" ht="14.25" customHeight="1">
      <c r="G107" s="174" t="s">
        <v>1845</v>
      </c>
      <c r="H107" s="174" t="s">
        <v>1725</v>
      </c>
      <c r="I107" s="174" t="str">
        <f t="shared" si="1"/>
        <v>NORDESTE</v>
      </c>
    </row>
    <row r="108" ht="14.25" customHeight="1">
      <c r="G108" s="174" t="s">
        <v>1846</v>
      </c>
      <c r="H108" s="174" t="s">
        <v>1742</v>
      </c>
      <c r="I108" s="174" t="str">
        <f t="shared" si="1"/>
        <v>SUL</v>
      </c>
    </row>
    <row r="109" ht="14.25" customHeight="1">
      <c r="G109" s="174" t="s">
        <v>1847</v>
      </c>
      <c r="H109" s="174" t="s">
        <v>1666</v>
      </c>
      <c r="I109" s="174" t="str">
        <f t="shared" si="1"/>
        <v>SUDESTE</v>
      </c>
    </row>
    <row r="110" ht="14.25" customHeight="1">
      <c r="G110" s="174" t="s">
        <v>1848</v>
      </c>
      <c r="H110" s="174" t="s">
        <v>1687</v>
      </c>
      <c r="I110" s="174" t="str">
        <f t="shared" si="1"/>
        <v>NORTE</v>
      </c>
    </row>
    <row r="111" ht="14.25" customHeight="1">
      <c r="G111" s="174" t="s">
        <v>1849</v>
      </c>
      <c r="H111" s="174" t="s">
        <v>1733</v>
      </c>
      <c r="I111" s="174" t="str">
        <f t="shared" si="1"/>
        <v>NORDESTE</v>
      </c>
    </row>
    <row r="112" ht="14.25" customHeight="1">
      <c r="G112" s="174" t="s">
        <v>1850</v>
      </c>
      <c r="H112" s="174" t="s">
        <v>1658</v>
      </c>
      <c r="I112" s="174" t="str">
        <f t="shared" si="1"/>
        <v>CENTRO OESTE</v>
      </c>
    </row>
    <row r="113" ht="14.25" customHeight="1">
      <c r="G113" s="174" t="s">
        <v>1851</v>
      </c>
      <c r="H113" s="174" t="s">
        <v>1666</v>
      </c>
      <c r="I113" s="174" t="str">
        <f t="shared" si="1"/>
        <v>SUDESTE</v>
      </c>
    </row>
    <row r="114" ht="14.25" customHeight="1">
      <c r="G114" s="174" t="s">
        <v>1852</v>
      </c>
      <c r="H114" s="174" t="s">
        <v>1698</v>
      </c>
      <c r="I114" s="174" t="str">
        <f t="shared" si="1"/>
        <v>SUDESTE</v>
      </c>
    </row>
    <row r="115" ht="14.25" customHeight="1">
      <c r="G115" s="174" t="s">
        <v>1853</v>
      </c>
      <c r="H115" s="174" t="s">
        <v>1750</v>
      </c>
      <c r="I115" s="174" t="str">
        <f t="shared" si="1"/>
        <v>SUDESTE</v>
      </c>
    </row>
    <row r="116" ht="14.25" customHeight="1">
      <c r="G116" s="174" t="s">
        <v>1854</v>
      </c>
      <c r="H116" s="174" t="s">
        <v>1666</v>
      </c>
      <c r="I116" s="174" t="str">
        <f t="shared" si="1"/>
        <v>SUDESTE</v>
      </c>
    </row>
    <row r="117" ht="14.25" customHeight="1">
      <c r="G117" s="174" t="s">
        <v>1855</v>
      </c>
      <c r="H117" s="174" t="s">
        <v>1706</v>
      </c>
      <c r="I117" s="174" t="str">
        <f t="shared" si="1"/>
        <v>SUL</v>
      </c>
    </row>
    <row r="118" ht="14.25" customHeight="1">
      <c r="G118" s="174" t="s">
        <v>1856</v>
      </c>
      <c r="H118" s="174" t="s">
        <v>1719</v>
      </c>
      <c r="I118" s="174" t="str">
        <f t="shared" si="1"/>
        <v>NORDESTE</v>
      </c>
    </row>
    <row r="119" ht="14.25" customHeight="1">
      <c r="G119" s="174" t="s">
        <v>1857</v>
      </c>
      <c r="H119" s="174" t="s">
        <v>1719</v>
      </c>
      <c r="I119" s="174" t="str">
        <f t="shared" si="1"/>
        <v>NORDESTE</v>
      </c>
    </row>
    <row r="120" ht="14.25" customHeight="1">
      <c r="G120" s="174" t="s">
        <v>1858</v>
      </c>
      <c r="H120" s="174" t="s">
        <v>1717</v>
      </c>
      <c r="I120" s="174" t="str">
        <f t="shared" si="1"/>
        <v>NORDESTE</v>
      </c>
    </row>
    <row r="121" ht="14.25" customHeight="1">
      <c r="G121" s="174" t="s">
        <v>1859</v>
      </c>
      <c r="H121" s="174" t="s">
        <v>1721</v>
      </c>
      <c r="I121" s="174" t="str">
        <f t="shared" si="1"/>
        <v>NORTE</v>
      </c>
    </row>
    <row r="122" ht="14.25" customHeight="1">
      <c r="G122" s="174" t="s">
        <v>1860</v>
      </c>
      <c r="H122" s="174" t="s">
        <v>1685</v>
      </c>
      <c r="I122" s="174" t="str">
        <f t="shared" si="1"/>
        <v>NORDESTE</v>
      </c>
    </row>
    <row r="123" ht="14.25" customHeight="1">
      <c r="G123" s="174" t="s">
        <v>1861</v>
      </c>
      <c r="H123" s="174" t="s">
        <v>1721</v>
      </c>
      <c r="I123" s="174" t="str">
        <f t="shared" si="1"/>
        <v>NORTE</v>
      </c>
    </row>
    <row r="124" ht="14.25" customHeight="1">
      <c r="G124" s="174" t="s">
        <v>1862</v>
      </c>
      <c r="H124" s="174" t="s">
        <v>1687</v>
      </c>
      <c r="I124" s="174" t="str">
        <f t="shared" si="1"/>
        <v>NORTE</v>
      </c>
    </row>
    <row r="125" ht="14.25" customHeight="1">
      <c r="G125" s="174" t="s">
        <v>1863</v>
      </c>
      <c r="H125" s="174" t="s">
        <v>1666</v>
      </c>
      <c r="I125" s="174" t="str">
        <f t="shared" si="1"/>
        <v>SUDESTE</v>
      </c>
    </row>
    <row r="126" ht="14.25" customHeight="1">
      <c r="G126" s="174" t="s">
        <v>1864</v>
      </c>
      <c r="H126" s="174" t="s">
        <v>1733</v>
      </c>
      <c r="I126" s="174" t="str">
        <f t="shared" si="1"/>
        <v>NORDESTE</v>
      </c>
    </row>
    <row r="127" ht="14.25" customHeight="1">
      <c r="G127" s="174" t="s">
        <v>1865</v>
      </c>
      <c r="H127" s="174" t="s">
        <v>1702</v>
      </c>
      <c r="I127" s="174" t="str">
        <f t="shared" si="1"/>
        <v>SUL</v>
      </c>
    </row>
    <row r="128" ht="14.25" customHeight="1">
      <c r="G128" s="174" t="s">
        <v>1866</v>
      </c>
      <c r="H128" s="174" t="s">
        <v>1742</v>
      </c>
      <c r="I128" s="174" t="str">
        <f t="shared" si="1"/>
        <v>SUL</v>
      </c>
    </row>
    <row r="129" ht="14.25" customHeight="1">
      <c r="G129" s="174" t="s">
        <v>1867</v>
      </c>
      <c r="H129" s="174" t="s">
        <v>1658</v>
      </c>
      <c r="I129" s="174" t="str">
        <f t="shared" si="1"/>
        <v>CENTRO OESTE</v>
      </c>
    </row>
    <row r="130" ht="14.25" customHeight="1">
      <c r="G130" s="174" t="s">
        <v>1868</v>
      </c>
      <c r="H130" s="174" t="s">
        <v>1666</v>
      </c>
      <c r="I130" s="174" t="str">
        <f t="shared" si="1"/>
        <v>SUDESTE</v>
      </c>
    </row>
    <row r="131" ht="14.25" customHeight="1">
      <c r="G131" s="174" t="s">
        <v>1869</v>
      </c>
      <c r="H131" s="174" t="s">
        <v>1742</v>
      </c>
      <c r="I131" s="174" t="str">
        <f t="shared" si="1"/>
        <v>SUL</v>
      </c>
    </row>
    <row r="132" ht="14.25" customHeight="1">
      <c r="G132" s="174" t="s">
        <v>1870</v>
      </c>
      <c r="H132" s="174" t="s">
        <v>1666</v>
      </c>
      <c r="I132" s="174" t="str">
        <f t="shared" si="1"/>
        <v>SUDESTE</v>
      </c>
    </row>
    <row r="133" ht="14.25" customHeight="1">
      <c r="G133" s="174" t="s">
        <v>1871</v>
      </c>
      <c r="H133" s="174" t="s">
        <v>1713</v>
      </c>
      <c r="I133" s="174" t="str">
        <f t="shared" si="1"/>
        <v>CENTRO OESTE</v>
      </c>
    </row>
    <row r="134" ht="14.25" customHeight="1">
      <c r="G134" s="174" t="s">
        <v>1872</v>
      </c>
      <c r="H134" s="174" t="s">
        <v>1736</v>
      </c>
      <c r="I134" s="174" t="str">
        <f t="shared" si="1"/>
        <v>NORTE</v>
      </c>
    </row>
    <row r="135" ht="14.25" customHeight="1">
      <c r="G135" s="174" t="s">
        <v>1873</v>
      </c>
      <c r="H135" s="174" t="s">
        <v>1750</v>
      </c>
      <c r="I135" s="174" t="str">
        <f t="shared" si="1"/>
        <v>SUDESTE</v>
      </c>
    </row>
    <row r="136" ht="14.25" customHeight="1">
      <c r="G136" s="174" t="s">
        <v>1874</v>
      </c>
      <c r="H136" s="174" t="s">
        <v>1687</v>
      </c>
      <c r="I136" s="174" t="str">
        <f t="shared" si="1"/>
        <v>NORTE</v>
      </c>
    </row>
    <row r="137" ht="14.25" customHeight="1">
      <c r="G137" s="174" t="s">
        <v>1875</v>
      </c>
      <c r="H137" s="174" t="s">
        <v>1704</v>
      </c>
      <c r="I137" s="174" t="str">
        <f t="shared" si="1"/>
        <v>NORDESTE</v>
      </c>
    </row>
    <row r="138" ht="14.25" customHeight="1">
      <c r="G138" s="174" t="s">
        <v>1876</v>
      </c>
      <c r="H138" s="174" t="s">
        <v>1702</v>
      </c>
      <c r="I138" s="174" t="str">
        <f t="shared" si="1"/>
        <v>SUL</v>
      </c>
    </row>
    <row r="139" ht="14.25" customHeight="1">
      <c r="G139" s="174" t="s">
        <v>1877</v>
      </c>
      <c r="H139" s="174" t="s">
        <v>1690</v>
      </c>
      <c r="I139" s="174" t="str">
        <f t="shared" si="1"/>
        <v>NORDESTE</v>
      </c>
    </row>
    <row r="140" ht="14.25" customHeight="1">
      <c r="G140" s="174" t="s">
        <v>1878</v>
      </c>
      <c r="H140" s="174" t="s">
        <v>1666</v>
      </c>
      <c r="I140" s="174" t="str">
        <f t="shared" si="1"/>
        <v>SUDESTE</v>
      </c>
    </row>
    <row r="141" ht="14.25" customHeight="1">
      <c r="G141" s="174" t="s">
        <v>1879</v>
      </c>
      <c r="H141" s="174" t="s">
        <v>1717</v>
      </c>
      <c r="I141" s="174" t="str">
        <f t="shared" si="1"/>
        <v>NORDESTE</v>
      </c>
    </row>
    <row r="142" ht="14.25" customHeight="1">
      <c r="G142" s="174" t="s">
        <v>1880</v>
      </c>
      <c r="H142" s="174" t="s">
        <v>1750</v>
      </c>
      <c r="I142" s="174" t="str">
        <f t="shared" si="1"/>
        <v>SUDESTE</v>
      </c>
    </row>
    <row r="143" ht="14.25" customHeight="1">
      <c r="G143" s="174" t="s">
        <v>1881</v>
      </c>
      <c r="H143" s="174" t="s">
        <v>1739</v>
      </c>
      <c r="I143" s="174" t="str">
        <f t="shared" si="1"/>
        <v>NORTE</v>
      </c>
    </row>
    <row r="144" ht="14.25" customHeight="1">
      <c r="G144" s="174" t="s">
        <v>1881</v>
      </c>
      <c r="H144" s="174" t="s">
        <v>1750</v>
      </c>
      <c r="I144" s="174" t="str">
        <f t="shared" si="1"/>
        <v>SUDESTE</v>
      </c>
    </row>
    <row r="145" ht="14.25" customHeight="1">
      <c r="G145" s="174" t="s">
        <v>1881</v>
      </c>
      <c r="H145" s="174" t="s">
        <v>1742</v>
      </c>
      <c r="I145" s="174" t="str">
        <f t="shared" si="1"/>
        <v>SUL</v>
      </c>
    </row>
    <row r="146" ht="14.25" customHeight="1">
      <c r="G146" s="174" t="s">
        <v>1882</v>
      </c>
      <c r="H146" s="174" t="s">
        <v>1704</v>
      </c>
      <c r="I146" s="174" t="str">
        <f t="shared" si="1"/>
        <v>NORDESTE</v>
      </c>
    </row>
    <row r="147" ht="14.25" customHeight="1">
      <c r="G147" s="174" t="s">
        <v>1883</v>
      </c>
      <c r="H147" s="174" t="s">
        <v>1704</v>
      </c>
      <c r="I147" s="174" t="str">
        <f t="shared" si="1"/>
        <v>NORDESTE</v>
      </c>
    </row>
    <row r="148" ht="14.25" customHeight="1">
      <c r="G148" s="174" t="s">
        <v>1884</v>
      </c>
      <c r="H148" s="174" t="s">
        <v>1736</v>
      </c>
      <c r="I148" s="174" t="str">
        <f t="shared" si="1"/>
        <v>NORTE</v>
      </c>
    </row>
    <row r="149" ht="14.25" customHeight="1">
      <c r="G149" s="174" t="s">
        <v>1885</v>
      </c>
      <c r="H149" s="174" t="s">
        <v>1713</v>
      </c>
      <c r="I149" s="174" t="str">
        <f t="shared" si="1"/>
        <v>CENTRO OESTE</v>
      </c>
    </row>
    <row r="150" ht="14.25" customHeight="1">
      <c r="G150" s="174" t="s">
        <v>1886</v>
      </c>
      <c r="H150" s="174" t="s">
        <v>1706</v>
      </c>
      <c r="I150" s="174" t="str">
        <f t="shared" si="1"/>
        <v>SUL</v>
      </c>
    </row>
    <row r="151" ht="14.25" customHeight="1">
      <c r="G151" s="174" t="s">
        <v>1887</v>
      </c>
      <c r="H151" s="174" t="s">
        <v>1713</v>
      </c>
      <c r="I151" s="174" t="str">
        <f t="shared" si="1"/>
        <v>CENTRO OESTE</v>
      </c>
    </row>
    <row r="152" ht="14.25" customHeight="1">
      <c r="G152" s="174" t="s">
        <v>1888</v>
      </c>
      <c r="H152" s="174" t="s">
        <v>1666</v>
      </c>
      <c r="I152" s="174" t="str">
        <f t="shared" si="1"/>
        <v>SUDESTE</v>
      </c>
    </row>
    <row r="153" ht="14.25" customHeight="1">
      <c r="G153" s="174" t="s">
        <v>1889</v>
      </c>
      <c r="H153" s="174" t="s">
        <v>1733</v>
      </c>
      <c r="I153" s="174" t="str">
        <f t="shared" si="1"/>
        <v>NORDESTE</v>
      </c>
    </row>
    <row r="154" ht="14.25" customHeight="1">
      <c r="G154" s="174" t="s">
        <v>1890</v>
      </c>
      <c r="H154" s="174" t="s">
        <v>1742</v>
      </c>
      <c r="I154" s="174" t="str">
        <f t="shared" si="1"/>
        <v>SUL</v>
      </c>
    </row>
    <row r="155" ht="14.25" customHeight="1">
      <c r="G155" s="174" t="s">
        <v>1891</v>
      </c>
      <c r="H155" s="174" t="s">
        <v>1713</v>
      </c>
      <c r="I155" s="174" t="str">
        <f t="shared" si="1"/>
        <v>CENTRO OESTE</v>
      </c>
    </row>
    <row r="156" ht="14.25" customHeight="1">
      <c r="G156" s="174" t="s">
        <v>1892</v>
      </c>
      <c r="H156" s="174" t="s">
        <v>1658</v>
      </c>
      <c r="I156" s="174" t="str">
        <f t="shared" si="1"/>
        <v>CENTRO OESTE</v>
      </c>
    </row>
    <row r="157" ht="14.25" customHeight="1">
      <c r="G157" s="174" t="s">
        <v>1893</v>
      </c>
      <c r="H157" s="174" t="s">
        <v>1666</v>
      </c>
      <c r="I157" s="174" t="str">
        <f t="shared" si="1"/>
        <v>SUDESTE</v>
      </c>
    </row>
    <row r="158" ht="14.25" customHeight="1">
      <c r="G158" s="174" t="s">
        <v>1894</v>
      </c>
      <c r="H158" s="174" t="s">
        <v>1725</v>
      </c>
      <c r="I158" s="174" t="str">
        <f t="shared" si="1"/>
        <v>NORDESTE</v>
      </c>
    </row>
    <row r="159" ht="14.25" customHeight="1">
      <c r="G159" s="174" t="s">
        <v>1895</v>
      </c>
      <c r="H159" s="174" t="s">
        <v>1713</v>
      </c>
      <c r="I159" s="174" t="str">
        <f t="shared" si="1"/>
        <v>CENTRO OESTE</v>
      </c>
    </row>
    <row r="160" ht="14.25" customHeight="1">
      <c r="G160" s="174" t="s">
        <v>1896</v>
      </c>
      <c r="H160" s="174" t="s">
        <v>1736</v>
      </c>
      <c r="I160" s="174" t="str">
        <f t="shared" si="1"/>
        <v>NORTE</v>
      </c>
    </row>
    <row r="161" ht="14.25" customHeight="1">
      <c r="G161" s="174" t="s">
        <v>1897</v>
      </c>
      <c r="H161" s="174" t="s">
        <v>1658</v>
      </c>
      <c r="I161" s="174" t="str">
        <f t="shared" si="1"/>
        <v>CENTRO OESTE</v>
      </c>
    </row>
    <row r="162" ht="14.25" customHeight="1">
      <c r="G162" s="174" t="s">
        <v>1898</v>
      </c>
      <c r="H162" s="174" t="s">
        <v>1702</v>
      </c>
      <c r="I162" s="174" t="str">
        <f t="shared" si="1"/>
        <v>SUL</v>
      </c>
    </row>
    <row r="163" ht="14.25" customHeight="1">
      <c r="G163" s="174" t="s">
        <v>1899</v>
      </c>
      <c r="H163" s="174" t="s">
        <v>1704</v>
      </c>
      <c r="I163" s="174" t="str">
        <f t="shared" si="1"/>
        <v>NORDESTE</v>
      </c>
    </row>
    <row r="164" ht="14.25" customHeight="1">
      <c r="G164" s="174" t="s">
        <v>1900</v>
      </c>
      <c r="H164" s="174" t="s">
        <v>1702</v>
      </c>
      <c r="I164" s="174" t="str">
        <f t="shared" si="1"/>
        <v>SUL</v>
      </c>
    </row>
    <row r="165" ht="14.25" customHeight="1">
      <c r="G165" s="174" t="s">
        <v>1901</v>
      </c>
      <c r="H165" s="174" t="s">
        <v>1666</v>
      </c>
      <c r="I165" s="174" t="str">
        <f t="shared" si="1"/>
        <v>SUDESTE</v>
      </c>
    </row>
    <row r="166" ht="14.25" customHeight="1">
      <c r="G166" s="174" t="s">
        <v>1902</v>
      </c>
      <c r="H166" s="174" t="s">
        <v>1698</v>
      </c>
      <c r="I166" s="174" t="str">
        <f t="shared" si="1"/>
        <v>SUDESTE</v>
      </c>
    </row>
    <row r="167" ht="14.25" customHeight="1">
      <c r="G167" s="174" t="s">
        <v>1903</v>
      </c>
      <c r="H167" s="174" t="s">
        <v>1690</v>
      </c>
      <c r="I167" s="174" t="str">
        <f t="shared" si="1"/>
        <v>NORDESTE</v>
      </c>
    </row>
    <row r="168" ht="14.25" customHeight="1">
      <c r="G168" s="174" t="s">
        <v>1904</v>
      </c>
      <c r="H168" s="174" t="s">
        <v>1713</v>
      </c>
      <c r="I168" s="174" t="str">
        <f t="shared" si="1"/>
        <v>CENTRO OESTE</v>
      </c>
    </row>
    <row r="169" ht="14.25" customHeight="1">
      <c r="G169" s="174" t="s">
        <v>1905</v>
      </c>
      <c r="H169" s="174" t="s">
        <v>1702</v>
      </c>
      <c r="I169" s="174" t="str">
        <f t="shared" si="1"/>
        <v>SUL</v>
      </c>
    </row>
    <row r="170" ht="14.25" customHeight="1">
      <c r="G170" s="174" t="s">
        <v>1906</v>
      </c>
      <c r="H170" s="174" t="s">
        <v>1725</v>
      </c>
      <c r="I170" s="174" t="str">
        <f t="shared" si="1"/>
        <v>NORDESTE</v>
      </c>
    </row>
    <row r="171" ht="14.25" customHeight="1">
      <c r="G171" s="174" t="s">
        <v>1907</v>
      </c>
      <c r="H171" s="174" t="s">
        <v>1750</v>
      </c>
      <c r="I171" s="174" t="str">
        <f t="shared" si="1"/>
        <v>SUDESTE</v>
      </c>
    </row>
    <row r="172" ht="14.25" customHeight="1">
      <c r="G172" s="174" t="s">
        <v>1908</v>
      </c>
      <c r="H172" s="174" t="s">
        <v>1672</v>
      </c>
      <c r="I172" s="174" t="str">
        <f t="shared" si="1"/>
        <v>NORTE</v>
      </c>
    </row>
    <row r="173" ht="14.25" customHeight="1">
      <c r="G173" s="174" t="s">
        <v>1909</v>
      </c>
      <c r="H173" s="174" t="s">
        <v>1666</v>
      </c>
      <c r="I173" s="174" t="str">
        <f t="shared" si="1"/>
        <v>SUDESTE</v>
      </c>
    </row>
    <row r="174" ht="14.25" customHeight="1">
      <c r="G174" s="174" t="s">
        <v>1910</v>
      </c>
      <c r="H174" s="174" t="s">
        <v>1750</v>
      </c>
      <c r="I174" s="174" t="str">
        <f t="shared" si="1"/>
        <v>SUDESTE</v>
      </c>
    </row>
    <row r="175" ht="14.25" customHeight="1">
      <c r="G175" s="174" t="s">
        <v>1911</v>
      </c>
      <c r="H175" s="174" t="s">
        <v>1750</v>
      </c>
      <c r="I175" s="174" t="str">
        <f t="shared" si="1"/>
        <v>SUDESTE</v>
      </c>
    </row>
    <row r="176" ht="14.25" customHeight="1">
      <c r="G176" s="174" t="s">
        <v>1912</v>
      </c>
      <c r="H176" s="174" t="s">
        <v>1750</v>
      </c>
      <c r="I176" s="174" t="str">
        <f t="shared" si="1"/>
        <v>SUDESTE</v>
      </c>
    </row>
    <row r="177" ht="14.25" customHeight="1">
      <c r="G177" s="174" t="s">
        <v>1913</v>
      </c>
      <c r="H177" s="174" t="s">
        <v>1750</v>
      </c>
      <c r="I177" s="174" t="str">
        <f t="shared" si="1"/>
        <v>SUDESTE</v>
      </c>
    </row>
    <row r="178" ht="14.25" customHeight="1">
      <c r="G178" s="174" t="s">
        <v>1914</v>
      </c>
      <c r="H178" s="174" t="s">
        <v>1666</v>
      </c>
      <c r="I178" s="174" t="str">
        <f t="shared" si="1"/>
        <v>SUDESTE</v>
      </c>
    </row>
    <row r="179" ht="14.25" customHeight="1">
      <c r="G179" s="174" t="s">
        <v>1915</v>
      </c>
      <c r="H179" s="174" t="s">
        <v>1721</v>
      </c>
      <c r="I179" s="174" t="str">
        <f t="shared" si="1"/>
        <v>NORTE</v>
      </c>
    </row>
    <row r="180" ht="14.25" customHeight="1">
      <c r="G180" s="174" t="s">
        <v>1915</v>
      </c>
      <c r="H180" s="174" t="s">
        <v>1742</v>
      </c>
      <c r="I180" s="174" t="str">
        <f t="shared" si="1"/>
        <v>SUL</v>
      </c>
    </row>
    <row r="181" ht="14.25" customHeight="1">
      <c r="G181" s="174" t="s">
        <v>1916</v>
      </c>
      <c r="H181" s="174" t="s">
        <v>1736</v>
      </c>
      <c r="I181" s="174" t="str">
        <f t="shared" si="1"/>
        <v>NORTE</v>
      </c>
    </row>
    <row r="182" ht="14.25" customHeight="1">
      <c r="G182" s="174" t="s">
        <v>1917</v>
      </c>
      <c r="H182" s="174" t="s">
        <v>1666</v>
      </c>
      <c r="I182" s="174" t="str">
        <f t="shared" si="1"/>
        <v>SUDESTE</v>
      </c>
    </row>
    <row r="183" ht="14.25" customHeight="1">
      <c r="G183" s="174" t="s">
        <v>1918</v>
      </c>
      <c r="H183" s="174" t="s">
        <v>1725</v>
      </c>
      <c r="I183" s="174" t="str">
        <f t="shared" si="1"/>
        <v>NORDESTE</v>
      </c>
    </row>
    <row r="184" ht="14.25" customHeight="1">
      <c r="G184" s="174" t="s">
        <v>1919</v>
      </c>
      <c r="H184" s="174" t="s">
        <v>1658</v>
      </c>
      <c r="I184" s="174" t="str">
        <f t="shared" si="1"/>
        <v>CENTRO OESTE</v>
      </c>
    </row>
    <row r="185" ht="14.25" customHeight="1">
      <c r="G185" s="174" t="s">
        <v>1920</v>
      </c>
      <c r="H185" s="174" t="s">
        <v>1702</v>
      </c>
      <c r="I185" s="174" t="str">
        <f t="shared" si="1"/>
        <v>SUL</v>
      </c>
    </row>
    <row r="186" ht="14.25" customHeight="1">
      <c r="G186" s="174" t="s">
        <v>1921</v>
      </c>
      <c r="H186" s="174" t="s">
        <v>1739</v>
      </c>
      <c r="I186" s="174" t="str">
        <f t="shared" si="1"/>
        <v>NORTE</v>
      </c>
    </row>
    <row r="187" ht="14.25" customHeight="1">
      <c r="G187" s="174" t="s">
        <v>1922</v>
      </c>
      <c r="H187" s="174" t="s">
        <v>1710</v>
      </c>
      <c r="I187" s="174" t="str">
        <f t="shared" si="1"/>
        <v>CENTRO OESTE</v>
      </c>
    </row>
    <row r="188" ht="14.25" customHeight="1">
      <c r="G188" s="174" t="s">
        <v>1923</v>
      </c>
      <c r="H188" s="174" t="s">
        <v>1679</v>
      </c>
      <c r="I188" s="174" t="str">
        <f t="shared" si="1"/>
        <v>NORTE</v>
      </c>
    </row>
    <row r="189" ht="14.25" customHeight="1">
      <c r="G189" s="174" t="s">
        <v>1924</v>
      </c>
      <c r="H189" s="174" t="s">
        <v>1704</v>
      </c>
      <c r="I189" s="174" t="str">
        <f t="shared" si="1"/>
        <v>NORDESTE</v>
      </c>
    </row>
    <row r="190" ht="14.25" customHeight="1">
      <c r="G190" s="174" t="s">
        <v>1925</v>
      </c>
      <c r="H190" s="174" t="s">
        <v>1702</v>
      </c>
      <c r="I190" s="174" t="str">
        <f t="shared" si="1"/>
        <v>SUL</v>
      </c>
    </row>
    <row r="191" ht="14.25" customHeight="1">
      <c r="G191" s="174" t="s">
        <v>1926</v>
      </c>
      <c r="H191" s="174" t="s">
        <v>1717</v>
      </c>
      <c r="I191" s="174" t="str">
        <f t="shared" si="1"/>
        <v>NORDESTE</v>
      </c>
    </row>
    <row r="192" ht="14.25" customHeight="1">
      <c r="G192" s="174" t="s">
        <v>1927</v>
      </c>
      <c r="H192" s="174" t="s">
        <v>1742</v>
      </c>
      <c r="I192" s="174" t="str">
        <f t="shared" si="1"/>
        <v>SUL</v>
      </c>
    </row>
    <row r="193" ht="14.25" customHeight="1">
      <c r="G193" s="174" t="s">
        <v>1928</v>
      </c>
      <c r="H193" s="174" t="s">
        <v>1658</v>
      </c>
      <c r="I193" s="174" t="str">
        <f t="shared" si="1"/>
        <v>CENTRO OESTE</v>
      </c>
    </row>
    <row r="194" ht="14.25" customHeight="1">
      <c r="G194" s="174" t="s">
        <v>1929</v>
      </c>
      <c r="H194" s="174" t="s">
        <v>1725</v>
      </c>
      <c r="I194" s="174" t="str">
        <f t="shared" si="1"/>
        <v>NORDESTE</v>
      </c>
    </row>
    <row r="195" ht="14.25" customHeight="1">
      <c r="G195" s="174" t="s">
        <v>1930</v>
      </c>
      <c r="H195" s="174" t="s">
        <v>1704</v>
      </c>
      <c r="I195" s="174" t="str">
        <f t="shared" si="1"/>
        <v>NORDESTE</v>
      </c>
    </row>
    <row r="196" ht="14.25" customHeight="1">
      <c r="G196" s="174" t="s">
        <v>1931</v>
      </c>
      <c r="H196" s="174" t="s">
        <v>1685</v>
      </c>
      <c r="I196" s="174" t="str">
        <f t="shared" si="1"/>
        <v>NORDESTE</v>
      </c>
    </row>
    <row r="197" ht="14.25" customHeight="1">
      <c r="G197" s="174" t="s">
        <v>1932</v>
      </c>
      <c r="H197" s="174" t="s">
        <v>1672</v>
      </c>
      <c r="I197" s="174" t="str">
        <f t="shared" si="1"/>
        <v>NORTE</v>
      </c>
    </row>
    <row r="198" ht="14.25" customHeight="1">
      <c r="G198" s="174" t="s">
        <v>1933</v>
      </c>
      <c r="H198" s="174" t="s">
        <v>1685</v>
      </c>
      <c r="I198" s="174" t="str">
        <f t="shared" si="1"/>
        <v>NORDESTE</v>
      </c>
    </row>
    <row r="199" ht="14.25" customHeight="1">
      <c r="G199" s="174" t="s">
        <v>1934</v>
      </c>
      <c r="H199" s="174" t="s">
        <v>1685</v>
      </c>
      <c r="I199" s="174" t="str">
        <f t="shared" si="1"/>
        <v>NORDESTE</v>
      </c>
    </row>
    <row r="200" ht="14.25" customHeight="1">
      <c r="G200" s="174" t="s">
        <v>1935</v>
      </c>
      <c r="H200" s="174" t="s">
        <v>1750</v>
      </c>
      <c r="I200" s="174" t="str">
        <f t="shared" si="1"/>
        <v>SUDESTE</v>
      </c>
    </row>
    <row r="201" ht="14.25" customHeight="1">
      <c r="G201" s="174" t="s">
        <v>1936</v>
      </c>
      <c r="H201" s="174" t="s">
        <v>1658</v>
      </c>
      <c r="I201" s="174" t="str">
        <f t="shared" si="1"/>
        <v>CENTRO OESTE</v>
      </c>
    </row>
    <row r="202" ht="14.25" customHeight="1">
      <c r="G202" s="174" t="s">
        <v>1937</v>
      </c>
      <c r="H202" s="174" t="s">
        <v>1750</v>
      </c>
      <c r="I202" s="174" t="str">
        <f t="shared" si="1"/>
        <v>SUDESTE</v>
      </c>
    </row>
    <row r="203" ht="14.25" customHeight="1">
      <c r="G203" s="174" t="s">
        <v>1938</v>
      </c>
      <c r="H203" s="174" t="s">
        <v>1750</v>
      </c>
      <c r="I203" s="174" t="str">
        <f t="shared" si="1"/>
        <v>SUDESTE</v>
      </c>
    </row>
    <row r="204" ht="14.25" customHeight="1">
      <c r="G204" s="174" t="s">
        <v>1939</v>
      </c>
      <c r="H204" s="174" t="s">
        <v>1742</v>
      </c>
      <c r="I204" s="174" t="str">
        <f t="shared" si="1"/>
        <v>SUL</v>
      </c>
    </row>
    <row r="205" ht="14.25" customHeight="1">
      <c r="G205" s="174" t="s">
        <v>1940</v>
      </c>
      <c r="H205" s="174" t="s">
        <v>1690</v>
      </c>
      <c r="I205" s="174" t="str">
        <f t="shared" si="1"/>
        <v>NORDESTE</v>
      </c>
    </row>
    <row r="206" ht="14.25" customHeight="1">
      <c r="G206" s="174" t="s">
        <v>1941</v>
      </c>
      <c r="H206" s="174" t="s">
        <v>1658</v>
      </c>
      <c r="I206" s="174" t="str">
        <f t="shared" si="1"/>
        <v>CENTRO OESTE</v>
      </c>
    </row>
    <row r="207" ht="14.25" customHeight="1">
      <c r="G207" s="174" t="s">
        <v>1942</v>
      </c>
      <c r="H207" s="174" t="s">
        <v>1719</v>
      </c>
      <c r="I207" s="174" t="str">
        <f t="shared" si="1"/>
        <v>NORDESTE</v>
      </c>
    </row>
    <row r="208" ht="14.25" customHeight="1">
      <c r="G208" s="174" t="s">
        <v>1942</v>
      </c>
      <c r="H208" s="174" t="s">
        <v>1750</v>
      </c>
      <c r="I208" s="174" t="str">
        <f t="shared" si="1"/>
        <v>SUDESTE</v>
      </c>
    </row>
    <row r="209" ht="14.25" customHeight="1">
      <c r="G209" s="174" t="s">
        <v>1943</v>
      </c>
      <c r="H209" s="174" t="s">
        <v>1747</v>
      </c>
      <c r="I209" s="174" t="str">
        <f t="shared" si="1"/>
        <v>NORDESTE</v>
      </c>
    </row>
    <row r="210" ht="14.25" customHeight="1">
      <c r="G210" s="174" t="s">
        <v>1944</v>
      </c>
      <c r="H210" s="174" t="s">
        <v>1666</v>
      </c>
      <c r="I210" s="174" t="str">
        <f t="shared" si="1"/>
        <v>SUDESTE</v>
      </c>
    </row>
    <row r="211" ht="14.25" customHeight="1">
      <c r="G211" s="174" t="s">
        <v>1945</v>
      </c>
      <c r="H211" s="174" t="s">
        <v>1702</v>
      </c>
      <c r="I211" s="174" t="str">
        <f t="shared" si="1"/>
        <v>SUL</v>
      </c>
    </row>
    <row r="212" ht="14.25" customHeight="1">
      <c r="G212" s="174" t="s">
        <v>1946</v>
      </c>
      <c r="H212" s="174" t="s">
        <v>1664</v>
      </c>
      <c r="I212" s="174" t="str">
        <f t="shared" si="1"/>
        <v>NORDESTE</v>
      </c>
    </row>
    <row r="213" ht="14.25" customHeight="1">
      <c r="G213" s="174" t="s">
        <v>1947</v>
      </c>
      <c r="H213" s="174" t="s">
        <v>1685</v>
      </c>
      <c r="I213" s="174" t="str">
        <f t="shared" si="1"/>
        <v>NORDESTE</v>
      </c>
    </row>
    <row r="214" ht="14.25" customHeight="1">
      <c r="G214" s="174" t="s">
        <v>1948</v>
      </c>
      <c r="H214" s="174" t="s">
        <v>1702</v>
      </c>
      <c r="I214" s="174" t="str">
        <f t="shared" si="1"/>
        <v>SUL</v>
      </c>
    </row>
    <row r="215" ht="14.25" customHeight="1">
      <c r="G215" s="174" t="s">
        <v>1949</v>
      </c>
      <c r="H215" s="174" t="s">
        <v>1687</v>
      </c>
      <c r="I215" s="174" t="str">
        <f t="shared" si="1"/>
        <v>NORTE</v>
      </c>
    </row>
    <row r="216" ht="14.25" customHeight="1">
      <c r="G216" s="174" t="s">
        <v>1950</v>
      </c>
      <c r="H216" s="174" t="s">
        <v>1704</v>
      </c>
      <c r="I216" s="174" t="str">
        <f t="shared" si="1"/>
        <v>NORDESTE</v>
      </c>
    </row>
    <row r="217" ht="14.25" customHeight="1">
      <c r="G217" s="174" t="s">
        <v>1951</v>
      </c>
      <c r="H217" s="174" t="s">
        <v>1750</v>
      </c>
      <c r="I217" s="174" t="str">
        <f t="shared" si="1"/>
        <v>SUDESTE</v>
      </c>
    </row>
    <row r="218" ht="14.25" customHeight="1">
      <c r="G218" s="174" t="s">
        <v>1952</v>
      </c>
      <c r="H218" s="174" t="s">
        <v>1672</v>
      </c>
      <c r="I218" s="174" t="str">
        <f t="shared" si="1"/>
        <v>NORTE</v>
      </c>
    </row>
    <row r="219" ht="14.25" customHeight="1">
      <c r="G219" s="174" t="s">
        <v>1953</v>
      </c>
      <c r="H219" s="174" t="s">
        <v>1721</v>
      </c>
      <c r="I219" s="174" t="str">
        <f t="shared" si="1"/>
        <v>NORTE</v>
      </c>
    </row>
    <row r="220" ht="14.25" customHeight="1">
      <c r="G220" s="174" t="s">
        <v>1954</v>
      </c>
      <c r="H220" s="174" t="s">
        <v>1687</v>
      </c>
      <c r="I220" s="174" t="str">
        <f t="shared" si="1"/>
        <v>NORTE</v>
      </c>
    </row>
    <row r="221" ht="14.25" customHeight="1">
      <c r="G221" s="174" t="s">
        <v>1955</v>
      </c>
      <c r="H221" s="174" t="s">
        <v>1658</v>
      </c>
      <c r="I221" s="174" t="str">
        <f t="shared" si="1"/>
        <v>CENTRO OESTE</v>
      </c>
    </row>
    <row r="222" ht="14.25" customHeight="1">
      <c r="G222" s="174" t="s">
        <v>1956</v>
      </c>
      <c r="H222" s="174" t="s">
        <v>1687</v>
      </c>
      <c r="I222" s="174" t="str">
        <f t="shared" si="1"/>
        <v>NORTE</v>
      </c>
    </row>
    <row r="223" ht="14.25" customHeight="1">
      <c r="G223" s="174" t="s">
        <v>1957</v>
      </c>
      <c r="H223" s="174" t="s">
        <v>1704</v>
      </c>
      <c r="I223" s="174" t="str">
        <f t="shared" si="1"/>
        <v>NORDESTE</v>
      </c>
    </row>
    <row r="224" ht="14.25" customHeight="1">
      <c r="G224" s="174" t="s">
        <v>1958</v>
      </c>
      <c r="H224" s="174" t="s">
        <v>1710</v>
      </c>
      <c r="I224" s="174" t="str">
        <f t="shared" si="1"/>
        <v>CENTRO OESTE</v>
      </c>
    </row>
    <row r="225" ht="14.25" customHeight="1">
      <c r="G225" s="174" t="s">
        <v>1959</v>
      </c>
      <c r="H225" s="174" t="s">
        <v>1710</v>
      </c>
      <c r="I225" s="174" t="str">
        <f t="shared" si="1"/>
        <v>CENTRO OESTE</v>
      </c>
    </row>
    <row r="226" ht="14.25" customHeight="1">
      <c r="G226" s="174" t="s">
        <v>1960</v>
      </c>
      <c r="H226" s="174" t="s">
        <v>1698</v>
      </c>
      <c r="I226" s="174" t="str">
        <f t="shared" si="1"/>
        <v>SUDESTE</v>
      </c>
    </row>
    <row r="227" ht="14.25" customHeight="1">
      <c r="G227" s="174" t="s">
        <v>1960</v>
      </c>
      <c r="H227" s="174" t="s">
        <v>1706</v>
      </c>
      <c r="I227" s="174" t="str">
        <f t="shared" si="1"/>
        <v>SUL</v>
      </c>
    </row>
    <row r="228" ht="14.25" customHeight="1">
      <c r="G228" s="174" t="s">
        <v>1961</v>
      </c>
      <c r="H228" s="174" t="s">
        <v>1685</v>
      </c>
      <c r="I228" s="174" t="str">
        <f t="shared" si="1"/>
        <v>NORDESTE</v>
      </c>
    </row>
    <row r="229" ht="14.25" customHeight="1">
      <c r="G229" s="174" t="s">
        <v>1962</v>
      </c>
      <c r="H229" s="174" t="s">
        <v>1702</v>
      </c>
      <c r="I229" s="174" t="str">
        <f t="shared" si="1"/>
        <v>SUL</v>
      </c>
    </row>
    <row r="230" ht="14.25" customHeight="1">
      <c r="G230" s="174" t="s">
        <v>1963</v>
      </c>
      <c r="H230" s="174" t="s">
        <v>1685</v>
      </c>
      <c r="I230" s="174" t="str">
        <f t="shared" si="1"/>
        <v>NORDESTE</v>
      </c>
    </row>
    <row r="231" ht="14.25" customHeight="1">
      <c r="G231" s="174" t="s">
        <v>1964</v>
      </c>
      <c r="H231" s="174" t="s">
        <v>1666</v>
      </c>
      <c r="I231" s="174" t="str">
        <f t="shared" si="1"/>
        <v>SUDESTE</v>
      </c>
    </row>
    <row r="232" ht="14.25" customHeight="1">
      <c r="G232" s="174" t="s">
        <v>1965</v>
      </c>
      <c r="H232" s="174" t="s">
        <v>1750</v>
      </c>
      <c r="I232" s="174" t="str">
        <f t="shared" si="1"/>
        <v>SUDESTE</v>
      </c>
    </row>
    <row r="233" ht="14.25" customHeight="1">
      <c r="G233" s="174" t="s">
        <v>1966</v>
      </c>
      <c r="H233" s="174" t="s">
        <v>1742</v>
      </c>
      <c r="I233" s="174" t="str">
        <f t="shared" si="1"/>
        <v>SUL</v>
      </c>
    </row>
    <row r="234" ht="14.25" customHeight="1">
      <c r="G234" s="174" t="s">
        <v>1967</v>
      </c>
      <c r="H234" s="174" t="s">
        <v>1666</v>
      </c>
      <c r="I234" s="174" t="str">
        <f t="shared" si="1"/>
        <v>SUDESTE</v>
      </c>
    </row>
    <row r="235" ht="14.25" customHeight="1">
      <c r="G235" s="174" t="s">
        <v>1968</v>
      </c>
      <c r="H235" s="174" t="s">
        <v>1750</v>
      </c>
      <c r="I235" s="174" t="str">
        <f t="shared" si="1"/>
        <v>SUDESTE</v>
      </c>
    </row>
    <row r="236" ht="14.25" customHeight="1">
      <c r="G236" s="174" t="s">
        <v>1969</v>
      </c>
      <c r="H236" s="174" t="s">
        <v>1666</v>
      </c>
      <c r="I236" s="174" t="str">
        <f t="shared" si="1"/>
        <v>SUDESTE</v>
      </c>
    </row>
    <row r="237" ht="14.25" customHeight="1">
      <c r="G237" s="174" t="s">
        <v>1970</v>
      </c>
      <c r="H237" s="174" t="s">
        <v>1710</v>
      </c>
      <c r="I237" s="174" t="str">
        <f t="shared" si="1"/>
        <v>CENTRO OESTE</v>
      </c>
    </row>
    <row r="238" ht="14.25" customHeight="1">
      <c r="G238" s="174" t="s">
        <v>1971</v>
      </c>
      <c r="H238" s="174" t="s">
        <v>1717</v>
      </c>
      <c r="I238" s="174" t="str">
        <f t="shared" si="1"/>
        <v>NORDESTE</v>
      </c>
    </row>
    <row r="239" ht="14.25" customHeight="1">
      <c r="G239" s="174" t="s">
        <v>1972</v>
      </c>
      <c r="H239" s="174" t="s">
        <v>1706</v>
      </c>
      <c r="I239" s="174" t="str">
        <f t="shared" si="1"/>
        <v>SUL</v>
      </c>
    </row>
    <row r="240" ht="14.25" customHeight="1">
      <c r="G240" s="174" t="s">
        <v>1973</v>
      </c>
      <c r="H240" s="174" t="s">
        <v>1685</v>
      </c>
      <c r="I240" s="174" t="str">
        <f t="shared" si="1"/>
        <v>NORDESTE</v>
      </c>
    </row>
    <row r="241" ht="14.25" customHeight="1">
      <c r="G241" s="174" t="s">
        <v>1974</v>
      </c>
      <c r="H241" s="174" t="s">
        <v>1725</v>
      </c>
      <c r="I241" s="174" t="str">
        <f t="shared" si="1"/>
        <v>NORDESTE</v>
      </c>
    </row>
    <row r="242" ht="14.25" customHeight="1">
      <c r="G242" s="174" t="s">
        <v>1975</v>
      </c>
      <c r="H242" s="174" t="s">
        <v>1721</v>
      </c>
      <c r="I242" s="174" t="str">
        <f t="shared" si="1"/>
        <v>NORTE</v>
      </c>
    </row>
    <row r="243" ht="14.25" customHeight="1">
      <c r="G243" s="174" t="s">
        <v>1976</v>
      </c>
      <c r="H243" s="174" t="s">
        <v>1733</v>
      </c>
      <c r="I243" s="174" t="str">
        <f t="shared" si="1"/>
        <v>NORDESTE</v>
      </c>
    </row>
    <row r="244" ht="14.25" customHeight="1">
      <c r="G244" s="174" t="s">
        <v>1977</v>
      </c>
      <c r="H244" s="174" t="s">
        <v>1730</v>
      </c>
      <c r="I244" s="174" t="str">
        <f t="shared" si="1"/>
        <v>SUDESTE</v>
      </c>
    </row>
    <row r="245" ht="14.25" customHeight="1">
      <c r="G245" s="174" t="s">
        <v>1978</v>
      </c>
      <c r="H245" s="174" t="s">
        <v>1685</v>
      </c>
      <c r="I245" s="174" t="str">
        <f t="shared" si="1"/>
        <v>NORDESTE</v>
      </c>
    </row>
    <row r="246" ht="14.25" customHeight="1">
      <c r="G246" s="174" t="s">
        <v>1979</v>
      </c>
      <c r="H246" s="174" t="s">
        <v>1702</v>
      </c>
      <c r="I246" s="174" t="str">
        <f t="shared" si="1"/>
        <v>SUL</v>
      </c>
    </row>
    <row r="247" ht="14.25" customHeight="1">
      <c r="G247" s="174" t="s">
        <v>1980</v>
      </c>
      <c r="H247" s="174" t="s">
        <v>1658</v>
      </c>
      <c r="I247" s="174" t="str">
        <f t="shared" si="1"/>
        <v>CENTRO OESTE</v>
      </c>
    </row>
    <row r="248" ht="14.25" customHeight="1">
      <c r="G248" s="174" t="s">
        <v>1981</v>
      </c>
      <c r="H248" s="174" t="s">
        <v>1750</v>
      </c>
      <c r="I248" s="174" t="str">
        <f t="shared" si="1"/>
        <v>SUDESTE</v>
      </c>
    </row>
    <row r="249" ht="14.25" customHeight="1">
      <c r="G249" s="174" t="s">
        <v>1982</v>
      </c>
      <c r="H249" s="174" t="s">
        <v>1750</v>
      </c>
      <c r="I249" s="174" t="str">
        <f t="shared" si="1"/>
        <v>SUDESTE</v>
      </c>
    </row>
    <row r="250" ht="14.25" customHeight="1">
      <c r="G250" s="174" t="s">
        <v>1983</v>
      </c>
      <c r="H250" s="174" t="s">
        <v>1658</v>
      </c>
      <c r="I250" s="174" t="str">
        <f t="shared" si="1"/>
        <v>CENTRO OESTE</v>
      </c>
    </row>
    <row r="251" ht="14.25" customHeight="1">
      <c r="G251" s="174" t="s">
        <v>1984</v>
      </c>
      <c r="H251" s="174" t="s">
        <v>1725</v>
      </c>
      <c r="I251" s="174" t="str">
        <f t="shared" si="1"/>
        <v>NORDESTE</v>
      </c>
    </row>
    <row r="252" ht="14.25" customHeight="1">
      <c r="G252" s="174" t="s">
        <v>1985</v>
      </c>
      <c r="H252" s="174" t="s">
        <v>1706</v>
      </c>
      <c r="I252" s="174" t="str">
        <f t="shared" si="1"/>
        <v>SUL</v>
      </c>
    </row>
    <row r="253" ht="14.25" customHeight="1">
      <c r="G253" s="174" t="s">
        <v>1986</v>
      </c>
      <c r="H253" s="174" t="s">
        <v>1706</v>
      </c>
      <c r="I253" s="174" t="str">
        <f t="shared" si="1"/>
        <v>SUL</v>
      </c>
    </row>
    <row r="254" ht="14.25" customHeight="1">
      <c r="G254" s="174" t="s">
        <v>1987</v>
      </c>
      <c r="H254" s="174" t="s">
        <v>1672</v>
      </c>
      <c r="I254" s="174" t="str">
        <f t="shared" si="1"/>
        <v>NORTE</v>
      </c>
    </row>
    <row r="255" ht="14.25" customHeight="1">
      <c r="G255" s="174" t="s">
        <v>1988</v>
      </c>
      <c r="H255" s="174" t="s">
        <v>1742</v>
      </c>
      <c r="I255" s="174" t="str">
        <f t="shared" si="1"/>
        <v>SUL</v>
      </c>
    </row>
    <row r="256" ht="14.25" customHeight="1">
      <c r="G256" s="174" t="s">
        <v>1989</v>
      </c>
      <c r="H256" s="174" t="s">
        <v>1685</v>
      </c>
      <c r="I256" s="174" t="str">
        <f t="shared" si="1"/>
        <v>NORDESTE</v>
      </c>
    </row>
    <row r="257" ht="14.25" customHeight="1">
      <c r="G257" s="174" t="s">
        <v>1990</v>
      </c>
      <c r="H257" s="174" t="s">
        <v>1702</v>
      </c>
      <c r="I257" s="174" t="str">
        <f t="shared" si="1"/>
        <v>SUL</v>
      </c>
    </row>
    <row r="258" ht="14.25" customHeight="1">
      <c r="G258" s="174" t="s">
        <v>1991</v>
      </c>
      <c r="H258" s="174" t="s">
        <v>1690</v>
      </c>
      <c r="I258" s="174" t="str">
        <f t="shared" si="1"/>
        <v>NORDESTE</v>
      </c>
    </row>
    <row r="259" ht="14.25" customHeight="1">
      <c r="G259" s="174" t="s">
        <v>1992</v>
      </c>
      <c r="H259" s="174" t="s">
        <v>1725</v>
      </c>
      <c r="I259" s="174" t="str">
        <f t="shared" si="1"/>
        <v>NORDESTE</v>
      </c>
    </row>
    <row r="260" ht="14.25" customHeight="1">
      <c r="G260" s="174" t="s">
        <v>1993</v>
      </c>
      <c r="H260" s="174" t="s">
        <v>1685</v>
      </c>
      <c r="I260" s="174" t="str">
        <f t="shared" si="1"/>
        <v>NORDESTE</v>
      </c>
    </row>
    <row r="261" ht="14.25" customHeight="1">
      <c r="G261" s="174" t="s">
        <v>1994</v>
      </c>
      <c r="H261" s="174" t="s">
        <v>1666</v>
      </c>
      <c r="I261" s="174" t="str">
        <f t="shared" si="1"/>
        <v>SUDESTE</v>
      </c>
    </row>
    <row r="262" ht="14.25" customHeight="1">
      <c r="G262" s="174" t="s">
        <v>1994</v>
      </c>
      <c r="H262" s="174" t="s">
        <v>1706</v>
      </c>
      <c r="I262" s="174" t="str">
        <f t="shared" si="1"/>
        <v>SUL</v>
      </c>
    </row>
    <row r="263" ht="14.25" customHeight="1">
      <c r="G263" s="174" t="s">
        <v>1995</v>
      </c>
      <c r="H263" s="174" t="s">
        <v>1666</v>
      </c>
      <c r="I263" s="174" t="str">
        <f t="shared" si="1"/>
        <v>SUDESTE</v>
      </c>
    </row>
    <row r="264" ht="14.25" customHeight="1">
      <c r="G264" s="174" t="s">
        <v>1996</v>
      </c>
      <c r="H264" s="174" t="s">
        <v>1685</v>
      </c>
      <c r="I264" s="174" t="str">
        <f t="shared" si="1"/>
        <v>NORDESTE</v>
      </c>
    </row>
    <row r="265" ht="14.25" customHeight="1">
      <c r="G265" s="174" t="s">
        <v>1997</v>
      </c>
      <c r="H265" s="174" t="s">
        <v>1710</v>
      </c>
      <c r="I265" s="174" t="str">
        <f t="shared" si="1"/>
        <v>CENTRO OESTE</v>
      </c>
    </row>
    <row r="266" ht="14.25" customHeight="1">
      <c r="G266" s="174" t="s">
        <v>1998</v>
      </c>
      <c r="H266" s="174" t="s">
        <v>1733</v>
      </c>
      <c r="I266" s="174" t="str">
        <f t="shared" si="1"/>
        <v>NORDESTE</v>
      </c>
    </row>
    <row r="267" ht="14.25" customHeight="1">
      <c r="G267" s="174" t="s">
        <v>1999</v>
      </c>
      <c r="H267" s="174" t="s">
        <v>1702</v>
      </c>
      <c r="I267" s="174" t="str">
        <f t="shared" si="1"/>
        <v>SUL</v>
      </c>
    </row>
    <row r="268" ht="14.25" customHeight="1">
      <c r="G268" s="174" t="s">
        <v>2000</v>
      </c>
      <c r="H268" s="174" t="s">
        <v>1742</v>
      </c>
      <c r="I268" s="174" t="str">
        <f t="shared" si="1"/>
        <v>SUL</v>
      </c>
    </row>
    <row r="269" ht="14.25" customHeight="1">
      <c r="G269" s="174" t="s">
        <v>2001</v>
      </c>
      <c r="H269" s="174" t="s">
        <v>1666</v>
      </c>
      <c r="I269" s="174" t="str">
        <f t="shared" si="1"/>
        <v>SUDESTE</v>
      </c>
    </row>
    <row r="270" ht="14.25" customHeight="1">
      <c r="G270" s="174" t="s">
        <v>2002</v>
      </c>
      <c r="H270" s="174" t="s">
        <v>1719</v>
      </c>
      <c r="I270" s="174" t="str">
        <f t="shared" si="1"/>
        <v>NORDESTE</v>
      </c>
    </row>
    <row r="271" ht="14.25" customHeight="1">
      <c r="G271" s="174" t="s">
        <v>2002</v>
      </c>
      <c r="H271" s="174" t="s">
        <v>1750</v>
      </c>
      <c r="I271" s="174" t="str">
        <f t="shared" si="1"/>
        <v>SUDESTE</v>
      </c>
    </row>
    <row r="272" ht="14.25" customHeight="1">
      <c r="G272" s="174" t="s">
        <v>2003</v>
      </c>
      <c r="H272" s="174" t="s">
        <v>1750</v>
      </c>
      <c r="I272" s="174" t="str">
        <f t="shared" si="1"/>
        <v>SUDESTE</v>
      </c>
    </row>
    <row r="273" ht="14.25" customHeight="1">
      <c r="G273" s="174" t="s">
        <v>2004</v>
      </c>
      <c r="H273" s="174" t="s">
        <v>1658</v>
      </c>
      <c r="I273" s="174" t="str">
        <f t="shared" si="1"/>
        <v>CENTRO OESTE</v>
      </c>
    </row>
    <row r="274" ht="14.25" customHeight="1">
      <c r="G274" s="174" t="s">
        <v>2005</v>
      </c>
      <c r="H274" s="174" t="s">
        <v>1658</v>
      </c>
      <c r="I274" s="174" t="str">
        <f t="shared" si="1"/>
        <v>CENTRO OESTE</v>
      </c>
    </row>
    <row r="275" ht="14.25" customHeight="1">
      <c r="G275" s="174" t="s">
        <v>2006</v>
      </c>
      <c r="H275" s="174" t="s">
        <v>1721</v>
      </c>
      <c r="I275" s="174" t="str">
        <f t="shared" si="1"/>
        <v>NORTE</v>
      </c>
    </row>
    <row r="276" ht="14.25" customHeight="1">
      <c r="G276" s="174" t="s">
        <v>2007</v>
      </c>
      <c r="H276" s="174" t="s">
        <v>1710</v>
      </c>
      <c r="I276" s="174" t="str">
        <f t="shared" si="1"/>
        <v>CENTRO OESTE</v>
      </c>
    </row>
    <row r="277" ht="14.25" customHeight="1">
      <c r="G277" s="174" t="s">
        <v>2008</v>
      </c>
      <c r="H277" s="174" t="s">
        <v>1730</v>
      </c>
      <c r="I277" s="174" t="str">
        <f t="shared" si="1"/>
        <v>SUDESTE</v>
      </c>
    </row>
    <row r="278" ht="14.25" customHeight="1">
      <c r="G278" s="174" t="s">
        <v>2009</v>
      </c>
      <c r="H278" s="174" t="s">
        <v>1698</v>
      </c>
      <c r="I278" s="174" t="str">
        <f t="shared" si="1"/>
        <v>SUDESTE</v>
      </c>
    </row>
    <row r="279" ht="14.25" customHeight="1">
      <c r="G279" s="174" t="s">
        <v>2010</v>
      </c>
      <c r="H279" s="174" t="s">
        <v>1713</v>
      </c>
      <c r="I279" s="174" t="str">
        <f t="shared" si="1"/>
        <v>CENTRO OESTE</v>
      </c>
    </row>
    <row r="280" ht="14.25" customHeight="1">
      <c r="G280" s="174" t="s">
        <v>2011</v>
      </c>
      <c r="H280" s="174" t="s">
        <v>1750</v>
      </c>
      <c r="I280" s="174" t="str">
        <f t="shared" si="1"/>
        <v>SUDESTE</v>
      </c>
    </row>
    <row r="281" ht="14.25" customHeight="1">
      <c r="G281" s="174" t="s">
        <v>2012</v>
      </c>
      <c r="H281" s="174" t="s">
        <v>1704</v>
      </c>
      <c r="I281" s="174" t="str">
        <f t="shared" si="1"/>
        <v>NORDESTE</v>
      </c>
    </row>
    <row r="282" ht="14.25" customHeight="1">
      <c r="G282" s="174" t="s">
        <v>2013</v>
      </c>
      <c r="H282" s="174" t="s">
        <v>1706</v>
      </c>
      <c r="I282" s="174" t="str">
        <f t="shared" si="1"/>
        <v>SUL</v>
      </c>
    </row>
    <row r="283" ht="14.25" customHeight="1">
      <c r="G283" s="174" t="s">
        <v>2014</v>
      </c>
      <c r="H283" s="174" t="s">
        <v>1733</v>
      </c>
      <c r="I283" s="174" t="str">
        <f t="shared" si="1"/>
        <v>NORDESTE</v>
      </c>
    </row>
    <row r="284" ht="14.25" customHeight="1">
      <c r="G284" s="174" t="s">
        <v>2015</v>
      </c>
      <c r="H284" s="174" t="s">
        <v>1685</v>
      </c>
      <c r="I284" s="174" t="str">
        <f t="shared" si="1"/>
        <v>NORDESTE</v>
      </c>
    </row>
    <row r="285" ht="14.25" customHeight="1">
      <c r="G285" s="174" t="s">
        <v>2016</v>
      </c>
      <c r="H285" s="174" t="s">
        <v>1658</v>
      </c>
      <c r="I285" s="174" t="str">
        <f t="shared" si="1"/>
        <v>CENTRO OESTE</v>
      </c>
    </row>
    <row r="286" ht="14.25" customHeight="1">
      <c r="G286" s="174" t="s">
        <v>2017</v>
      </c>
      <c r="H286" s="174" t="s">
        <v>1685</v>
      </c>
      <c r="I286" s="174" t="str">
        <f t="shared" si="1"/>
        <v>NORDESTE</v>
      </c>
    </row>
    <row r="287" ht="14.25" customHeight="1">
      <c r="G287" s="174" t="s">
        <v>2018</v>
      </c>
      <c r="H287" s="174" t="s">
        <v>1702</v>
      </c>
      <c r="I287" s="174" t="str">
        <f t="shared" si="1"/>
        <v>SUL</v>
      </c>
    </row>
    <row r="288" ht="14.25" customHeight="1">
      <c r="G288" s="174" t="s">
        <v>2019</v>
      </c>
      <c r="H288" s="174" t="s">
        <v>1672</v>
      </c>
      <c r="I288" s="174" t="str">
        <f t="shared" si="1"/>
        <v>NORTE</v>
      </c>
    </row>
    <row r="289" ht="14.25" customHeight="1">
      <c r="G289" s="174" t="s">
        <v>2020</v>
      </c>
      <c r="H289" s="174" t="s">
        <v>1690</v>
      </c>
      <c r="I289" s="174" t="str">
        <f t="shared" si="1"/>
        <v>NORDESTE</v>
      </c>
    </row>
    <row r="290" ht="14.25" customHeight="1">
      <c r="G290" s="174" t="s">
        <v>2021</v>
      </c>
      <c r="H290" s="174" t="s">
        <v>1747</v>
      </c>
      <c r="I290" s="174" t="str">
        <f t="shared" si="1"/>
        <v>NORDESTE</v>
      </c>
    </row>
    <row r="291" ht="14.25" customHeight="1">
      <c r="G291" s="174" t="s">
        <v>2022</v>
      </c>
      <c r="H291" s="174" t="s">
        <v>1710</v>
      </c>
      <c r="I291" s="174" t="str">
        <f t="shared" si="1"/>
        <v>CENTRO OESTE</v>
      </c>
    </row>
    <row r="292" ht="14.25" customHeight="1">
      <c r="G292" s="174" t="s">
        <v>2023</v>
      </c>
      <c r="H292" s="174" t="s">
        <v>1690</v>
      </c>
      <c r="I292" s="174" t="str">
        <f t="shared" si="1"/>
        <v>NORDESTE</v>
      </c>
    </row>
    <row r="293" ht="14.25" customHeight="1">
      <c r="G293" s="174" t="s">
        <v>2024</v>
      </c>
      <c r="H293" s="174" t="s">
        <v>1706</v>
      </c>
      <c r="I293" s="174" t="str">
        <f t="shared" si="1"/>
        <v>SUL</v>
      </c>
    </row>
    <row r="294" ht="14.25" customHeight="1">
      <c r="G294" s="174" t="s">
        <v>2025</v>
      </c>
      <c r="H294" s="174" t="s">
        <v>1719</v>
      </c>
      <c r="I294" s="174" t="str">
        <f t="shared" si="1"/>
        <v>NORDESTE</v>
      </c>
    </row>
    <row r="295" ht="14.25" customHeight="1">
      <c r="G295" s="174" t="s">
        <v>2026</v>
      </c>
      <c r="H295" s="174" t="s">
        <v>1666</v>
      </c>
      <c r="I295" s="174" t="str">
        <f t="shared" si="1"/>
        <v>SUDESTE</v>
      </c>
    </row>
    <row r="296" ht="14.25" customHeight="1">
      <c r="G296" s="174" t="s">
        <v>2027</v>
      </c>
      <c r="H296" s="174" t="s">
        <v>1747</v>
      </c>
      <c r="I296" s="174" t="str">
        <f t="shared" si="1"/>
        <v>NORDESTE</v>
      </c>
    </row>
    <row r="297" ht="14.25" customHeight="1">
      <c r="G297" s="174" t="s">
        <v>2028</v>
      </c>
      <c r="H297" s="174" t="s">
        <v>1750</v>
      </c>
      <c r="I297" s="174" t="str">
        <f t="shared" si="1"/>
        <v>SUDESTE</v>
      </c>
    </row>
    <row r="298" ht="14.25" customHeight="1">
      <c r="G298" s="174" t="s">
        <v>2029</v>
      </c>
      <c r="H298" s="174" t="s">
        <v>1685</v>
      </c>
      <c r="I298" s="174" t="str">
        <f t="shared" si="1"/>
        <v>NORDESTE</v>
      </c>
    </row>
    <row r="299" ht="14.25" customHeight="1">
      <c r="G299" s="174" t="s">
        <v>2030</v>
      </c>
      <c r="H299" s="174" t="s">
        <v>1690</v>
      </c>
      <c r="I299" s="174" t="str">
        <f t="shared" si="1"/>
        <v>NORDESTE</v>
      </c>
    </row>
    <row r="300" ht="14.25" customHeight="1">
      <c r="G300" s="174" t="s">
        <v>2031</v>
      </c>
      <c r="H300" s="174" t="s">
        <v>1685</v>
      </c>
      <c r="I300" s="174" t="str">
        <f t="shared" si="1"/>
        <v>NORDESTE</v>
      </c>
    </row>
    <row r="301" ht="14.25" customHeight="1">
      <c r="G301" s="174" t="s">
        <v>2032</v>
      </c>
      <c r="H301" s="174" t="s">
        <v>1750</v>
      </c>
      <c r="I301" s="174" t="str">
        <f t="shared" si="1"/>
        <v>SUDESTE</v>
      </c>
    </row>
    <row r="302" ht="14.25" customHeight="1">
      <c r="G302" s="174" t="s">
        <v>2033</v>
      </c>
      <c r="H302" s="174" t="s">
        <v>1685</v>
      </c>
      <c r="I302" s="174" t="str">
        <f t="shared" si="1"/>
        <v>NORDESTE</v>
      </c>
    </row>
    <row r="303" ht="14.25" customHeight="1">
      <c r="G303" s="174" t="s">
        <v>2034</v>
      </c>
      <c r="H303" s="174" t="s">
        <v>1666</v>
      </c>
      <c r="I303" s="174" t="str">
        <f t="shared" si="1"/>
        <v>SUDESTE</v>
      </c>
    </row>
    <row r="304" ht="14.25" customHeight="1">
      <c r="G304" s="174" t="s">
        <v>2035</v>
      </c>
      <c r="H304" s="174" t="s">
        <v>1690</v>
      </c>
      <c r="I304" s="174" t="str">
        <f t="shared" si="1"/>
        <v>NORDESTE</v>
      </c>
    </row>
    <row r="305" ht="14.25" customHeight="1">
      <c r="G305" s="174" t="s">
        <v>2036</v>
      </c>
      <c r="H305" s="174" t="s">
        <v>1717</v>
      </c>
      <c r="I305" s="174" t="str">
        <f t="shared" si="1"/>
        <v>NORDESTE</v>
      </c>
    </row>
    <row r="306" ht="14.25" customHeight="1">
      <c r="G306" s="174" t="s">
        <v>2037</v>
      </c>
      <c r="H306" s="174" t="s">
        <v>1750</v>
      </c>
      <c r="I306" s="174" t="str">
        <f t="shared" si="1"/>
        <v>SUDESTE</v>
      </c>
    </row>
    <row r="307" ht="14.25" customHeight="1">
      <c r="G307" s="174" t="s">
        <v>2038</v>
      </c>
      <c r="H307" s="174" t="s">
        <v>1698</v>
      </c>
      <c r="I307" s="174" t="str">
        <f t="shared" si="1"/>
        <v>SUDESTE</v>
      </c>
    </row>
    <row r="308" ht="14.25" customHeight="1">
      <c r="G308" s="174" t="s">
        <v>2039</v>
      </c>
      <c r="H308" s="174" t="s">
        <v>1658</v>
      </c>
      <c r="I308" s="174" t="str">
        <f t="shared" si="1"/>
        <v>CENTRO OESTE</v>
      </c>
    </row>
    <row r="309" ht="14.25" customHeight="1">
      <c r="G309" s="174" t="s">
        <v>2040</v>
      </c>
      <c r="H309" s="174" t="s">
        <v>1666</v>
      </c>
      <c r="I309" s="174" t="str">
        <f t="shared" si="1"/>
        <v>SUDESTE</v>
      </c>
    </row>
    <row r="310" ht="14.25" customHeight="1">
      <c r="G310" s="174" t="s">
        <v>2041</v>
      </c>
      <c r="H310" s="174" t="s">
        <v>1658</v>
      </c>
      <c r="I310" s="174" t="str">
        <f t="shared" si="1"/>
        <v>CENTRO OESTE</v>
      </c>
    </row>
    <row r="311" ht="14.25" customHeight="1">
      <c r="G311" s="174" t="s">
        <v>2042</v>
      </c>
      <c r="H311" s="174" t="s">
        <v>1658</v>
      </c>
      <c r="I311" s="174" t="str">
        <f t="shared" si="1"/>
        <v>CENTRO OESTE</v>
      </c>
    </row>
    <row r="312" ht="14.25" customHeight="1">
      <c r="G312" s="174" t="s">
        <v>2043</v>
      </c>
      <c r="H312" s="174" t="s">
        <v>1721</v>
      </c>
      <c r="I312" s="174" t="str">
        <f t="shared" si="1"/>
        <v>NORTE</v>
      </c>
    </row>
    <row r="313" ht="14.25" customHeight="1">
      <c r="G313" s="174" t="s">
        <v>2044</v>
      </c>
      <c r="H313" s="174" t="s">
        <v>1721</v>
      </c>
      <c r="I313" s="174" t="str">
        <f t="shared" si="1"/>
        <v>NORTE</v>
      </c>
    </row>
    <row r="314" ht="14.25" customHeight="1">
      <c r="G314" s="174" t="s">
        <v>2045</v>
      </c>
      <c r="H314" s="174" t="s">
        <v>1721</v>
      </c>
      <c r="I314" s="174" t="str">
        <f t="shared" si="1"/>
        <v>NORTE</v>
      </c>
    </row>
    <row r="315" ht="14.25" customHeight="1">
      <c r="G315" s="174" t="s">
        <v>2046</v>
      </c>
      <c r="H315" s="174" t="s">
        <v>1713</v>
      </c>
      <c r="I315" s="174" t="str">
        <f t="shared" si="1"/>
        <v>CENTRO OESTE</v>
      </c>
    </row>
    <row r="316" ht="14.25" customHeight="1">
      <c r="G316" s="174" t="s">
        <v>2047</v>
      </c>
      <c r="H316" s="174" t="s">
        <v>1721</v>
      </c>
      <c r="I316" s="174" t="str">
        <f t="shared" si="1"/>
        <v>NORTE</v>
      </c>
    </row>
    <row r="317" ht="14.25" customHeight="1">
      <c r="G317" s="174" t="s">
        <v>2048</v>
      </c>
      <c r="H317" s="174" t="s">
        <v>1713</v>
      </c>
      <c r="I317" s="174" t="str">
        <f t="shared" si="1"/>
        <v>CENTRO OESTE</v>
      </c>
    </row>
    <row r="318" ht="14.25" customHeight="1">
      <c r="G318" s="174" t="s">
        <v>2049</v>
      </c>
      <c r="H318" s="174" t="s">
        <v>1721</v>
      </c>
      <c r="I318" s="174" t="str">
        <f t="shared" si="1"/>
        <v>NORTE</v>
      </c>
    </row>
    <row r="319" ht="14.25" customHeight="1">
      <c r="G319" s="174" t="s">
        <v>2049</v>
      </c>
      <c r="H319" s="174" t="s">
        <v>1704</v>
      </c>
      <c r="I319" s="174" t="str">
        <f t="shared" si="1"/>
        <v>NORDESTE</v>
      </c>
    </row>
    <row r="320" ht="14.25" customHeight="1">
      <c r="G320" s="174" t="s">
        <v>2050</v>
      </c>
      <c r="H320" s="174" t="s">
        <v>1658</v>
      </c>
      <c r="I320" s="174" t="str">
        <f t="shared" si="1"/>
        <v>CENTRO OESTE</v>
      </c>
    </row>
    <row r="321" ht="14.25" customHeight="1">
      <c r="G321" s="174" t="s">
        <v>2051</v>
      </c>
      <c r="H321" s="174" t="s">
        <v>1666</v>
      </c>
      <c r="I321" s="174" t="str">
        <f t="shared" si="1"/>
        <v>SUDESTE</v>
      </c>
    </row>
    <row r="322" ht="14.25" customHeight="1">
      <c r="G322" s="174" t="s">
        <v>2052</v>
      </c>
      <c r="H322" s="174" t="s">
        <v>1721</v>
      </c>
      <c r="I322" s="174" t="str">
        <f t="shared" si="1"/>
        <v>NORTE</v>
      </c>
    </row>
    <row r="323" ht="14.25" customHeight="1">
      <c r="G323" s="174" t="s">
        <v>2053</v>
      </c>
      <c r="H323" s="174" t="s">
        <v>1704</v>
      </c>
      <c r="I323" s="174" t="str">
        <f t="shared" si="1"/>
        <v>NORDESTE</v>
      </c>
    </row>
    <row r="324" ht="14.25" customHeight="1">
      <c r="G324" s="174" t="s">
        <v>2054</v>
      </c>
      <c r="H324" s="174" t="s">
        <v>1710</v>
      </c>
      <c r="I324" s="174" t="str">
        <f t="shared" si="1"/>
        <v>CENTRO OESTE</v>
      </c>
    </row>
    <row r="325" ht="14.25" customHeight="1">
      <c r="G325" s="174" t="s">
        <v>2055</v>
      </c>
      <c r="H325" s="174" t="s">
        <v>1685</v>
      </c>
      <c r="I325" s="174" t="str">
        <f t="shared" si="1"/>
        <v>NORDESTE</v>
      </c>
    </row>
    <row r="326" ht="14.25" customHeight="1">
      <c r="G326" s="174" t="s">
        <v>2056</v>
      </c>
      <c r="H326" s="174" t="s">
        <v>1742</v>
      </c>
      <c r="I326" s="174" t="str">
        <f t="shared" si="1"/>
        <v>SUL</v>
      </c>
    </row>
    <row r="327" ht="14.25" customHeight="1">
      <c r="G327" s="174" t="s">
        <v>2057</v>
      </c>
      <c r="H327" s="174" t="s">
        <v>1704</v>
      </c>
      <c r="I327" s="174" t="str">
        <f t="shared" si="1"/>
        <v>NORDESTE</v>
      </c>
    </row>
    <row r="328" ht="14.25" customHeight="1">
      <c r="G328" s="174" t="s">
        <v>2058</v>
      </c>
      <c r="H328" s="174" t="s">
        <v>1750</v>
      </c>
      <c r="I328" s="174" t="str">
        <f t="shared" si="1"/>
        <v>SUDESTE</v>
      </c>
    </row>
    <row r="329" ht="14.25" customHeight="1">
      <c r="G329" s="174" t="s">
        <v>2059</v>
      </c>
      <c r="H329" s="174" t="s">
        <v>1750</v>
      </c>
      <c r="I329" s="174" t="str">
        <f t="shared" si="1"/>
        <v>SUDESTE</v>
      </c>
    </row>
    <row r="330" ht="14.25" customHeight="1">
      <c r="G330" s="174" t="s">
        <v>2060</v>
      </c>
      <c r="H330" s="174" t="s">
        <v>1666</v>
      </c>
      <c r="I330" s="174" t="str">
        <f t="shared" si="1"/>
        <v>SUDESTE</v>
      </c>
    </row>
    <row r="331" ht="14.25" customHeight="1">
      <c r="G331" s="174" t="s">
        <v>2061</v>
      </c>
      <c r="H331" s="174" t="s">
        <v>1750</v>
      </c>
      <c r="I331" s="174" t="str">
        <f t="shared" si="1"/>
        <v>SUDESTE</v>
      </c>
    </row>
    <row r="332" ht="14.25" customHeight="1">
      <c r="G332" s="174" t="s">
        <v>2062</v>
      </c>
      <c r="H332" s="174" t="s">
        <v>1664</v>
      </c>
      <c r="I332" s="174" t="str">
        <f t="shared" si="1"/>
        <v>NORDESTE</v>
      </c>
    </row>
    <row r="333" ht="14.25" customHeight="1">
      <c r="G333" s="174" t="s">
        <v>2063</v>
      </c>
      <c r="H333" s="174" t="s">
        <v>1721</v>
      </c>
      <c r="I333" s="174" t="str">
        <f t="shared" si="1"/>
        <v>NORTE</v>
      </c>
    </row>
    <row r="334" ht="14.25" customHeight="1">
      <c r="G334" s="174" t="s">
        <v>2064</v>
      </c>
      <c r="H334" s="174" t="s">
        <v>1666</v>
      </c>
      <c r="I334" s="174" t="str">
        <f t="shared" si="1"/>
        <v>SUDESTE</v>
      </c>
    </row>
    <row r="335" ht="14.25" customHeight="1">
      <c r="G335" s="174" t="s">
        <v>2065</v>
      </c>
      <c r="H335" s="174" t="s">
        <v>1702</v>
      </c>
      <c r="I335" s="174" t="str">
        <f t="shared" si="1"/>
        <v>SUL</v>
      </c>
    </row>
    <row r="336" ht="14.25" customHeight="1">
      <c r="G336" s="174" t="s">
        <v>2066</v>
      </c>
      <c r="H336" s="174" t="s">
        <v>1666</v>
      </c>
      <c r="I336" s="174" t="str">
        <f t="shared" si="1"/>
        <v>SUDESTE</v>
      </c>
    </row>
    <row r="337" ht="14.25" customHeight="1">
      <c r="G337" s="174" t="s">
        <v>2067</v>
      </c>
      <c r="H337" s="174" t="s">
        <v>1702</v>
      </c>
      <c r="I337" s="174" t="str">
        <f t="shared" si="1"/>
        <v>SUL</v>
      </c>
    </row>
    <row r="338" ht="14.25" customHeight="1">
      <c r="G338" s="174" t="s">
        <v>2068</v>
      </c>
      <c r="H338" s="174" t="s">
        <v>1666</v>
      </c>
      <c r="I338" s="174" t="str">
        <f t="shared" si="1"/>
        <v>SUDESTE</v>
      </c>
    </row>
    <row r="339" ht="14.25" customHeight="1">
      <c r="G339" s="174" t="s">
        <v>2069</v>
      </c>
      <c r="H339" s="174" t="s">
        <v>1702</v>
      </c>
      <c r="I339" s="174" t="str">
        <f t="shared" si="1"/>
        <v>SUL</v>
      </c>
    </row>
    <row r="340" ht="14.25" customHeight="1">
      <c r="G340" s="174" t="s">
        <v>2070</v>
      </c>
      <c r="H340" s="174" t="s">
        <v>1713</v>
      </c>
      <c r="I340" s="174" t="str">
        <f t="shared" si="1"/>
        <v>CENTRO OESTE</v>
      </c>
    </row>
    <row r="341" ht="14.25" customHeight="1">
      <c r="G341" s="174" t="s">
        <v>2071</v>
      </c>
      <c r="H341" s="174" t="s">
        <v>1706</v>
      </c>
      <c r="I341" s="174" t="str">
        <f t="shared" si="1"/>
        <v>SUL</v>
      </c>
    </row>
    <row r="342" ht="14.25" customHeight="1">
      <c r="G342" s="174" t="s">
        <v>2072</v>
      </c>
      <c r="H342" s="174" t="s">
        <v>1719</v>
      </c>
      <c r="I342" s="174" t="str">
        <f t="shared" si="1"/>
        <v>NORDESTE</v>
      </c>
    </row>
    <row r="343" ht="14.25" customHeight="1">
      <c r="G343" s="174" t="s">
        <v>2073</v>
      </c>
      <c r="H343" s="174" t="s">
        <v>1706</v>
      </c>
      <c r="I343" s="174" t="str">
        <f t="shared" si="1"/>
        <v>SUL</v>
      </c>
    </row>
    <row r="344" ht="14.25" customHeight="1">
      <c r="G344" s="174" t="s">
        <v>2074</v>
      </c>
      <c r="H344" s="174" t="s">
        <v>1750</v>
      </c>
      <c r="I344" s="174" t="str">
        <f t="shared" si="1"/>
        <v>SUDESTE</v>
      </c>
    </row>
    <row r="345" ht="14.25" customHeight="1">
      <c r="G345" s="174" t="s">
        <v>2075</v>
      </c>
      <c r="H345" s="174" t="s">
        <v>1750</v>
      </c>
      <c r="I345" s="174" t="str">
        <f t="shared" si="1"/>
        <v>SUDESTE</v>
      </c>
    </row>
    <row r="346" ht="14.25" customHeight="1">
      <c r="G346" s="174" t="s">
        <v>2076</v>
      </c>
      <c r="H346" s="174" t="s">
        <v>1690</v>
      </c>
      <c r="I346" s="174" t="str">
        <f t="shared" si="1"/>
        <v>NORDESTE</v>
      </c>
    </row>
    <row r="347" ht="14.25" customHeight="1">
      <c r="G347" s="174" t="s">
        <v>2077</v>
      </c>
      <c r="H347" s="174" t="s">
        <v>1704</v>
      </c>
      <c r="I347" s="174" t="str">
        <f t="shared" si="1"/>
        <v>NORDESTE</v>
      </c>
    </row>
    <row r="348" ht="14.25" customHeight="1">
      <c r="G348" s="174" t="s">
        <v>2078</v>
      </c>
      <c r="H348" s="174" t="s">
        <v>1742</v>
      </c>
      <c r="I348" s="174" t="str">
        <f t="shared" si="1"/>
        <v>SUL</v>
      </c>
    </row>
    <row r="349" ht="14.25" customHeight="1">
      <c r="G349" s="174" t="s">
        <v>2079</v>
      </c>
      <c r="H349" s="174" t="s">
        <v>1690</v>
      </c>
      <c r="I349" s="174" t="str">
        <f t="shared" si="1"/>
        <v>NORDESTE</v>
      </c>
    </row>
    <row r="350" ht="14.25" customHeight="1">
      <c r="G350" s="174" t="s">
        <v>2080</v>
      </c>
      <c r="H350" s="174" t="s">
        <v>1717</v>
      </c>
      <c r="I350" s="174" t="str">
        <f t="shared" si="1"/>
        <v>NORDESTE</v>
      </c>
    </row>
    <row r="351" ht="14.25" customHeight="1">
      <c r="G351" s="174" t="s">
        <v>2081</v>
      </c>
      <c r="H351" s="174" t="s">
        <v>1730</v>
      </c>
      <c r="I351" s="174" t="str">
        <f t="shared" si="1"/>
        <v>SUDESTE</v>
      </c>
    </row>
    <row r="352" ht="14.25" customHeight="1">
      <c r="G352" s="174" t="s">
        <v>2082</v>
      </c>
      <c r="H352" s="174" t="s">
        <v>1719</v>
      </c>
      <c r="I352" s="174" t="str">
        <f t="shared" si="1"/>
        <v>NORDESTE</v>
      </c>
    </row>
    <row r="353" ht="14.25" customHeight="1">
      <c r="G353" s="174" t="s">
        <v>2082</v>
      </c>
      <c r="H353" s="174" t="s">
        <v>1702</v>
      </c>
      <c r="I353" s="174" t="str">
        <f t="shared" si="1"/>
        <v>SUL</v>
      </c>
    </row>
    <row r="354" ht="14.25" customHeight="1">
      <c r="G354" s="174" t="s">
        <v>2083</v>
      </c>
      <c r="H354" s="174" t="s">
        <v>1685</v>
      </c>
      <c r="I354" s="174" t="str">
        <f t="shared" si="1"/>
        <v>NORDESTE</v>
      </c>
    </row>
    <row r="355" ht="14.25" customHeight="1">
      <c r="G355" s="174" t="s">
        <v>2084</v>
      </c>
      <c r="H355" s="174" t="s">
        <v>1742</v>
      </c>
      <c r="I355" s="174" t="str">
        <f t="shared" si="1"/>
        <v>SUL</v>
      </c>
    </row>
    <row r="356" ht="14.25" customHeight="1">
      <c r="G356" s="174" t="s">
        <v>2085</v>
      </c>
      <c r="H356" s="174" t="s">
        <v>1690</v>
      </c>
      <c r="I356" s="174" t="str">
        <f t="shared" si="1"/>
        <v>NORDESTE</v>
      </c>
    </row>
    <row r="357" ht="14.25" customHeight="1">
      <c r="G357" s="174" t="s">
        <v>2086</v>
      </c>
      <c r="H357" s="174" t="s">
        <v>1685</v>
      </c>
      <c r="I357" s="174" t="str">
        <f t="shared" si="1"/>
        <v>NORDESTE</v>
      </c>
    </row>
    <row r="358" ht="14.25" customHeight="1">
      <c r="G358" s="174" t="s">
        <v>2087</v>
      </c>
      <c r="H358" s="174" t="s">
        <v>1747</v>
      </c>
      <c r="I358" s="174" t="str">
        <f t="shared" si="1"/>
        <v>NORDESTE</v>
      </c>
    </row>
    <row r="359" ht="14.25" customHeight="1">
      <c r="G359" s="174" t="s">
        <v>2088</v>
      </c>
      <c r="H359" s="174" t="s">
        <v>1702</v>
      </c>
      <c r="I359" s="174" t="str">
        <f t="shared" si="1"/>
        <v>SUL</v>
      </c>
    </row>
    <row r="360" ht="14.25" customHeight="1">
      <c r="G360" s="174" t="s">
        <v>2089</v>
      </c>
      <c r="H360" s="174" t="s">
        <v>1666</v>
      </c>
      <c r="I360" s="174" t="str">
        <f t="shared" si="1"/>
        <v>SUDESTE</v>
      </c>
    </row>
    <row r="361" ht="14.25" customHeight="1">
      <c r="G361" s="174" t="s">
        <v>2090</v>
      </c>
      <c r="H361" s="174" t="s">
        <v>1666</v>
      </c>
      <c r="I361" s="174" t="str">
        <f t="shared" si="1"/>
        <v>SUDESTE</v>
      </c>
    </row>
    <row r="362" ht="14.25" customHeight="1">
      <c r="G362" s="174" t="s">
        <v>2091</v>
      </c>
      <c r="H362" s="174" t="s">
        <v>1666</v>
      </c>
      <c r="I362" s="174" t="str">
        <f t="shared" si="1"/>
        <v>SUDESTE</v>
      </c>
    </row>
    <row r="363" ht="14.25" customHeight="1">
      <c r="G363" s="174" t="s">
        <v>2092</v>
      </c>
      <c r="H363" s="174" t="s">
        <v>1750</v>
      </c>
      <c r="I363" s="174" t="str">
        <f t="shared" si="1"/>
        <v>SUDESTE</v>
      </c>
    </row>
    <row r="364" ht="14.25" customHeight="1">
      <c r="G364" s="174" t="s">
        <v>2093</v>
      </c>
      <c r="H364" s="174" t="s">
        <v>1666</v>
      </c>
      <c r="I364" s="174" t="str">
        <f t="shared" si="1"/>
        <v>SUDESTE</v>
      </c>
    </row>
    <row r="365" ht="14.25" customHeight="1">
      <c r="G365" s="174" t="s">
        <v>2094</v>
      </c>
      <c r="H365" s="174" t="s">
        <v>1717</v>
      </c>
      <c r="I365" s="174" t="str">
        <f t="shared" si="1"/>
        <v>NORDESTE</v>
      </c>
    </row>
    <row r="366" ht="14.25" customHeight="1">
      <c r="G366" s="174" t="s">
        <v>2095</v>
      </c>
      <c r="H366" s="174" t="s">
        <v>1666</v>
      </c>
      <c r="I366" s="174" t="str">
        <f t="shared" si="1"/>
        <v>SUDESTE</v>
      </c>
    </row>
    <row r="367" ht="14.25" customHeight="1">
      <c r="G367" s="174" t="s">
        <v>2096</v>
      </c>
      <c r="H367" s="174" t="s">
        <v>1730</v>
      </c>
      <c r="I367" s="174" t="str">
        <f t="shared" si="1"/>
        <v>SUDESTE</v>
      </c>
    </row>
    <row r="368" ht="14.25" customHeight="1">
      <c r="G368" s="174" t="s">
        <v>2097</v>
      </c>
      <c r="H368" s="174" t="s">
        <v>1750</v>
      </c>
      <c r="I368" s="174" t="str">
        <f t="shared" si="1"/>
        <v>SUDESTE</v>
      </c>
    </row>
    <row r="369" ht="14.25" customHeight="1">
      <c r="G369" s="174" t="s">
        <v>2098</v>
      </c>
      <c r="H369" s="174" t="s">
        <v>1719</v>
      </c>
      <c r="I369" s="174" t="str">
        <f t="shared" si="1"/>
        <v>NORDESTE</v>
      </c>
    </row>
    <row r="370" ht="14.25" customHeight="1">
      <c r="G370" s="174" t="s">
        <v>2099</v>
      </c>
      <c r="H370" s="174" t="s">
        <v>1733</v>
      </c>
      <c r="I370" s="174" t="str">
        <f t="shared" si="1"/>
        <v>NORDESTE</v>
      </c>
    </row>
    <row r="371" ht="14.25" customHeight="1">
      <c r="G371" s="174" t="s">
        <v>2099</v>
      </c>
      <c r="H371" s="174" t="s">
        <v>1747</v>
      </c>
      <c r="I371" s="174" t="str">
        <f t="shared" si="1"/>
        <v>NORDESTE</v>
      </c>
    </row>
    <row r="372" ht="14.25" customHeight="1">
      <c r="G372" s="174" t="s">
        <v>2100</v>
      </c>
      <c r="H372" s="174" t="s">
        <v>1719</v>
      </c>
      <c r="I372" s="174" t="str">
        <f t="shared" si="1"/>
        <v>NORDESTE</v>
      </c>
    </row>
    <row r="373" ht="14.25" customHeight="1">
      <c r="G373" s="174" t="s">
        <v>2101</v>
      </c>
      <c r="H373" s="174" t="s">
        <v>1719</v>
      </c>
      <c r="I373" s="174" t="str">
        <f t="shared" si="1"/>
        <v>NORDESTE</v>
      </c>
    </row>
    <row r="374" ht="14.25" customHeight="1">
      <c r="G374" s="174" t="s">
        <v>2102</v>
      </c>
      <c r="H374" s="174" t="s">
        <v>1750</v>
      </c>
      <c r="I374" s="174" t="str">
        <f t="shared" si="1"/>
        <v>SUDESTE</v>
      </c>
    </row>
    <row r="375" ht="14.25" customHeight="1">
      <c r="G375" s="174" t="s">
        <v>2103</v>
      </c>
      <c r="H375" s="174" t="s">
        <v>1750</v>
      </c>
      <c r="I375" s="174" t="str">
        <f t="shared" si="1"/>
        <v>SUDESTE</v>
      </c>
    </row>
    <row r="376" ht="14.25" customHeight="1">
      <c r="G376" s="174" t="s">
        <v>2104</v>
      </c>
      <c r="H376" s="174" t="s">
        <v>1713</v>
      </c>
      <c r="I376" s="174" t="str">
        <f t="shared" si="1"/>
        <v>CENTRO OESTE</v>
      </c>
    </row>
    <row r="377" ht="14.25" customHeight="1">
      <c r="G377" s="174" t="s">
        <v>2105</v>
      </c>
      <c r="H377" s="174" t="s">
        <v>1658</v>
      </c>
      <c r="I377" s="174" t="str">
        <f t="shared" si="1"/>
        <v>CENTRO OESTE</v>
      </c>
    </row>
    <row r="378" ht="14.25" customHeight="1">
      <c r="G378" s="174" t="s">
        <v>2106</v>
      </c>
      <c r="H378" s="174" t="s">
        <v>1733</v>
      </c>
      <c r="I378" s="174" t="str">
        <f t="shared" si="1"/>
        <v>NORDESTE</v>
      </c>
    </row>
    <row r="379" ht="14.25" customHeight="1">
      <c r="G379" s="174" t="s">
        <v>2107</v>
      </c>
      <c r="H379" s="174" t="s">
        <v>1666</v>
      </c>
      <c r="I379" s="174" t="str">
        <f t="shared" si="1"/>
        <v>SUDESTE</v>
      </c>
    </row>
    <row r="380" ht="14.25" customHeight="1">
      <c r="G380" s="174" t="s">
        <v>2108</v>
      </c>
      <c r="H380" s="174" t="s">
        <v>1666</v>
      </c>
      <c r="I380" s="174" t="str">
        <f t="shared" si="1"/>
        <v>SUDESTE</v>
      </c>
    </row>
    <row r="381" ht="14.25" customHeight="1">
      <c r="G381" s="174" t="s">
        <v>2109</v>
      </c>
      <c r="H381" s="174" t="s">
        <v>1666</v>
      </c>
      <c r="I381" s="174" t="str">
        <f t="shared" si="1"/>
        <v>SUDESTE</v>
      </c>
    </row>
    <row r="382" ht="14.25" customHeight="1">
      <c r="G382" s="174" t="s">
        <v>2110</v>
      </c>
      <c r="H382" s="174" t="s">
        <v>1713</v>
      </c>
      <c r="I382" s="174" t="str">
        <f t="shared" si="1"/>
        <v>CENTRO OESTE</v>
      </c>
    </row>
    <row r="383" ht="14.25" customHeight="1">
      <c r="G383" s="174" t="s">
        <v>2111</v>
      </c>
      <c r="H383" s="174" t="s">
        <v>1736</v>
      </c>
      <c r="I383" s="174" t="str">
        <f t="shared" si="1"/>
        <v>NORTE</v>
      </c>
    </row>
    <row r="384" ht="14.25" customHeight="1">
      <c r="G384" s="174" t="s">
        <v>2112</v>
      </c>
      <c r="H384" s="174" t="s">
        <v>1750</v>
      </c>
      <c r="I384" s="174" t="str">
        <f t="shared" si="1"/>
        <v>SUDESTE</v>
      </c>
    </row>
    <row r="385" ht="14.25" customHeight="1">
      <c r="G385" s="174" t="s">
        <v>2113</v>
      </c>
      <c r="H385" s="174" t="s">
        <v>1702</v>
      </c>
      <c r="I385" s="174" t="str">
        <f t="shared" si="1"/>
        <v>SUL</v>
      </c>
    </row>
    <row r="386" ht="14.25" customHeight="1">
      <c r="G386" s="174" t="s">
        <v>2114</v>
      </c>
      <c r="H386" s="174" t="s">
        <v>1730</v>
      </c>
      <c r="I386" s="174" t="str">
        <f t="shared" si="1"/>
        <v>SUDESTE</v>
      </c>
    </row>
    <row r="387" ht="14.25" customHeight="1">
      <c r="G387" s="174" t="s">
        <v>2115</v>
      </c>
      <c r="H387" s="174" t="s">
        <v>1706</v>
      </c>
      <c r="I387" s="174" t="str">
        <f t="shared" si="1"/>
        <v>SUL</v>
      </c>
    </row>
    <row r="388" ht="14.25" customHeight="1">
      <c r="G388" s="174" t="s">
        <v>2116</v>
      </c>
      <c r="H388" s="174" t="s">
        <v>1690</v>
      </c>
      <c r="I388" s="174" t="str">
        <f t="shared" si="1"/>
        <v>NORDESTE</v>
      </c>
    </row>
    <row r="389" ht="14.25" customHeight="1">
      <c r="G389" s="174" t="s">
        <v>2117</v>
      </c>
      <c r="H389" s="174" t="s">
        <v>1725</v>
      </c>
      <c r="I389" s="174" t="str">
        <f t="shared" si="1"/>
        <v>NORDESTE</v>
      </c>
    </row>
    <row r="390" ht="14.25" customHeight="1">
      <c r="G390" s="174" t="s">
        <v>2118</v>
      </c>
      <c r="H390" s="174" t="s">
        <v>1719</v>
      </c>
      <c r="I390" s="174" t="str">
        <f t="shared" si="1"/>
        <v>NORDESTE</v>
      </c>
    </row>
    <row r="391" ht="14.25" customHeight="1">
      <c r="G391" s="174" t="s">
        <v>2119</v>
      </c>
      <c r="H391" s="174" t="s">
        <v>1725</v>
      </c>
      <c r="I391" s="174" t="str">
        <f t="shared" si="1"/>
        <v>NORDESTE</v>
      </c>
    </row>
    <row r="392" ht="14.25" customHeight="1">
      <c r="G392" s="174" t="s">
        <v>2120</v>
      </c>
      <c r="H392" s="174" t="s">
        <v>1725</v>
      </c>
      <c r="I392" s="174" t="str">
        <f t="shared" si="1"/>
        <v>NORDESTE</v>
      </c>
    </row>
    <row r="393" ht="14.25" customHeight="1">
      <c r="G393" s="174" t="s">
        <v>2121</v>
      </c>
      <c r="H393" s="174" t="s">
        <v>1730</v>
      </c>
      <c r="I393" s="174" t="str">
        <f t="shared" si="1"/>
        <v>SUDESTE</v>
      </c>
    </row>
    <row r="394" ht="14.25" customHeight="1">
      <c r="G394" s="174" t="s">
        <v>2122</v>
      </c>
      <c r="H394" s="174" t="s">
        <v>1721</v>
      </c>
      <c r="I394" s="174" t="str">
        <f t="shared" si="1"/>
        <v>NORTE</v>
      </c>
    </row>
    <row r="395" ht="14.25" customHeight="1">
      <c r="G395" s="174" t="s">
        <v>2123</v>
      </c>
      <c r="H395" s="174" t="s">
        <v>1742</v>
      </c>
      <c r="I395" s="174" t="str">
        <f t="shared" si="1"/>
        <v>SUL</v>
      </c>
    </row>
    <row r="396" ht="14.25" customHeight="1">
      <c r="G396" s="174" t="s">
        <v>2124</v>
      </c>
      <c r="H396" s="174" t="s">
        <v>1742</v>
      </c>
      <c r="I396" s="174" t="str">
        <f t="shared" si="1"/>
        <v>SUL</v>
      </c>
    </row>
    <row r="397" ht="14.25" customHeight="1">
      <c r="G397" s="174" t="s">
        <v>2125</v>
      </c>
      <c r="H397" s="174" t="s">
        <v>1742</v>
      </c>
      <c r="I397" s="174" t="str">
        <f t="shared" si="1"/>
        <v>SUL</v>
      </c>
    </row>
    <row r="398" ht="14.25" customHeight="1">
      <c r="G398" s="174" t="s">
        <v>2126</v>
      </c>
      <c r="H398" s="174" t="s">
        <v>1742</v>
      </c>
      <c r="I398" s="174" t="str">
        <f t="shared" si="1"/>
        <v>SUL</v>
      </c>
    </row>
    <row r="399" ht="14.25" customHeight="1">
      <c r="G399" s="174" t="s">
        <v>2127</v>
      </c>
      <c r="H399" s="174" t="s">
        <v>1742</v>
      </c>
      <c r="I399" s="174" t="str">
        <f t="shared" si="1"/>
        <v>SUL</v>
      </c>
    </row>
    <row r="400" ht="14.25" customHeight="1">
      <c r="G400" s="174" t="s">
        <v>2128</v>
      </c>
      <c r="H400" s="174" t="s">
        <v>1742</v>
      </c>
      <c r="I400" s="174" t="str">
        <f t="shared" si="1"/>
        <v>SUL</v>
      </c>
    </row>
    <row r="401" ht="14.25" customHeight="1">
      <c r="G401" s="174" t="s">
        <v>2129</v>
      </c>
      <c r="H401" s="174" t="s">
        <v>1706</v>
      </c>
      <c r="I401" s="174" t="str">
        <f t="shared" si="1"/>
        <v>SUL</v>
      </c>
    </row>
    <row r="402" ht="14.25" customHeight="1">
      <c r="G402" s="174" t="s">
        <v>2130</v>
      </c>
      <c r="H402" s="174" t="s">
        <v>1750</v>
      </c>
      <c r="I402" s="174" t="str">
        <f t="shared" si="1"/>
        <v>SUDESTE</v>
      </c>
    </row>
    <row r="403" ht="14.25" customHeight="1">
      <c r="G403" s="174" t="s">
        <v>2131</v>
      </c>
      <c r="H403" s="174" t="s">
        <v>1658</v>
      </c>
      <c r="I403" s="174" t="str">
        <f t="shared" si="1"/>
        <v>CENTRO OESTE</v>
      </c>
    </row>
    <row r="404" ht="14.25" customHeight="1">
      <c r="G404" s="174" t="s">
        <v>2132</v>
      </c>
      <c r="H404" s="174" t="s">
        <v>1750</v>
      </c>
      <c r="I404" s="174" t="str">
        <f t="shared" si="1"/>
        <v>SUDESTE</v>
      </c>
    </row>
    <row r="405" ht="14.25" customHeight="1">
      <c r="G405" s="174" t="s">
        <v>2133</v>
      </c>
      <c r="H405" s="174" t="s">
        <v>1706</v>
      </c>
      <c r="I405" s="174" t="str">
        <f t="shared" si="1"/>
        <v>SUL</v>
      </c>
    </row>
    <row r="406" ht="14.25" customHeight="1">
      <c r="G406" s="174" t="s">
        <v>2134</v>
      </c>
      <c r="H406" s="174" t="s">
        <v>1742</v>
      </c>
      <c r="I406" s="174" t="str">
        <f t="shared" si="1"/>
        <v>SUL</v>
      </c>
    </row>
    <row r="407" ht="14.25" customHeight="1">
      <c r="G407" s="174" t="s">
        <v>2135</v>
      </c>
      <c r="H407" s="174" t="s">
        <v>1706</v>
      </c>
      <c r="I407" s="174" t="str">
        <f t="shared" si="1"/>
        <v>SUL</v>
      </c>
    </row>
    <row r="408" ht="14.25" customHeight="1">
      <c r="G408" s="174" t="s">
        <v>2136</v>
      </c>
      <c r="H408" s="174" t="s">
        <v>1750</v>
      </c>
      <c r="I408" s="174" t="str">
        <f t="shared" si="1"/>
        <v>SUDESTE</v>
      </c>
    </row>
    <row r="409" ht="14.25" customHeight="1">
      <c r="G409" s="174" t="s">
        <v>2137</v>
      </c>
      <c r="H409" s="174" t="s">
        <v>1702</v>
      </c>
      <c r="I409" s="174" t="str">
        <f t="shared" si="1"/>
        <v>SUL</v>
      </c>
    </row>
    <row r="410" ht="14.25" customHeight="1">
      <c r="G410" s="174" t="s">
        <v>2138</v>
      </c>
      <c r="H410" s="174" t="s">
        <v>1690</v>
      </c>
      <c r="I410" s="174" t="str">
        <f t="shared" si="1"/>
        <v>NORDESTE</v>
      </c>
    </row>
    <row r="411" ht="14.25" customHeight="1">
      <c r="G411" s="174" t="s">
        <v>2139</v>
      </c>
      <c r="H411" s="174" t="s">
        <v>1750</v>
      </c>
      <c r="I411" s="174" t="str">
        <f t="shared" si="1"/>
        <v>SUDESTE</v>
      </c>
    </row>
    <row r="412" ht="14.25" customHeight="1">
      <c r="G412" s="174" t="s">
        <v>2140</v>
      </c>
      <c r="H412" s="174" t="s">
        <v>1656</v>
      </c>
      <c r="I412" s="174" t="str">
        <f t="shared" si="1"/>
        <v>NORTE</v>
      </c>
    </row>
    <row r="413" ht="14.25" customHeight="1">
      <c r="G413" s="174" t="s">
        <v>2141</v>
      </c>
      <c r="H413" s="174" t="s">
        <v>1702</v>
      </c>
      <c r="I413" s="174" t="str">
        <f t="shared" si="1"/>
        <v>SUL</v>
      </c>
    </row>
    <row r="414" ht="14.25" customHeight="1">
      <c r="G414" s="174" t="s">
        <v>2142</v>
      </c>
      <c r="H414" s="174" t="s">
        <v>1719</v>
      </c>
      <c r="I414" s="174" t="str">
        <f t="shared" si="1"/>
        <v>NORDESTE</v>
      </c>
    </row>
    <row r="415" ht="14.25" customHeight="1">
      <c r="G415" s="174" t="s">
        <v>2143</v>
      </c>
      <c r="H415" s="174" t="s">
        <v>1725</v>
      </c>
      <c r="I415" s="174" t="str">
        <f t="shared" si="1"/>
        <v>NORDESTE</v>
      </c>
    </row>
    <row r="416" ht="14.25" customHeight="1">
      <c r="G416" s="174" t="s">
        <v>2144</v>
      </c>
      <c r="H416" s="174" t="s">
        <v>1666</v>
      </c>
      <c r="I416" s="174" t="str">
        <f t="shared" si="1"/>
        <v>SUDESTE</v>
      </c>
    </row>
    <row r="417" ht="14.25" customHeight="1">
      <c r="G417" s="174" t="s">
        <v>2145</v>
      </c>
      <c r="H417" s="174" t="s">
        <v>1702</v>
      </c>
      <c r="I417" s="174" t="str">
        <f t="shared" si="1"/>
        <v>SUL</v>
      </c>
    </row>
    <row r="418" ht="14.25" customHeight="1">
      <c r="G418" s="174" t="s">
        <v>2146</v>
      </c>
      <c r="H418" s="174" t="s">
        <v>1664</v>
      </c>
      <c r="I418" s="174" t="str">
        <f t="shared" si="1"/>
        <v>NORDESTE</v>
      </c>
    </row>
    <row r="419" ht="14.25" customHeight="1">
      <c r="G419" s="174" t="s">
        <v>2146</v>
      </c>
      <c r="H419" s="174" t="s">
        <v>1702</v>
      </c>
      <c r="I419" s="174" t="str">
        <f t="shared" si="1"/>
        <v>SUL</v>
      </c>
    </row>
    <row r="420" ht="14.25" customHeight="1">
      <c r="G420" s="174" t="s">
        <v>2147</v>
      </c>
      <c r="H420" s="174" t="s">
        <v>1672</v>
      </c>
      <c r="I420" s="174" t="str">
        <f t="shared" si="1"/>
        <v>NORTE</v>
      </c>
    </row>
    <row r="421" ht="14.25" customHeight="1">
      <c r="G421" s="174" t="s">
        <v>2148</v>
      </c>
      <c r="H421" s="174" t="s">
        <v>1706</v>
      </c>
      <c r="I421" s="174" t="str">
        <f t="shared" si="1"/>
        <v>SUL</v>
      </c>
    </row>
    <row r="422" ht="14.25" customHeight="1">
      <c r="G422" s="174" t="s">
        <v>2149</v>
      </c>
      <c r="H422" s="174" t="s">
        <v>1666</v>
      </c>
      <c r="I422" s="174" t="str">
        <f t="shared" si="1"/>
        <v>SUDESTE</v>
      </c>
    </row>
    <row r="423" ht="14.25" customHeight="1">
      <c r="G423" s="174" t="s">
        <v>2150</v>
      </c>
      <c r="H423" s="174" t="s">
        <v>1750</v>
      </c>
      <c r="I423" s="174" t="str">
        <f t="shared" si="1"/>
        <v>SUDESTE</v>
      </c>
    </row>
    <row r="424" ht="14.25" customHeight="1">
      <c r="G424" s="174" t="s">
        <v>2151</v>
      </c>
      <c r="H424" s="174" t="s">
        <v>1698</v>
      </c>
      <c r="I424" s="174" t="str">
        <f t="shared" si="1"/>
        <v>SUDESTE</v>
      </c>
    </row>
    <row r="425" ht="14.25" customHeight="1">
      <c r="G425" s="174" t="s">
        <v>2152</v>
      </c>
      <c r="H425" s="174" t="s">
        <v>1721</v>
      </c>
      <c r="I425" s="174" t="str">
        <f t="shared" si="1"/>
        <v>NORTE</v>
      </c>
    </row>
    <row r="426" ht="14.25" customHeight="1">
      <c r="G426" s="174" t="s">
        <v>2153</v>
      </c>
      <c r="H426" s="174" t="s">
        <v>1687</v>
      </c>
      <c r="I426" s="174" t="str">
        <f t="shared" si="1"/>
        <v>NORTE</v>
      </c>
    </row>
    <row r="427" ht="14.25" customHeight="1">
      <c r="G427" s="174" t="s">
        <v>2154</v>
      </c>
      <c r="H427" s="174" t="s">
        <v>1666</v>
      </c>
      <c r="I427" s="174" t="str">
        <f t="shared" si="1"/>
        <v>SUDESTE</v>
      </c>
    </row>
    <row r="428" ht="14.25" customHeight="1">
      <c r="G428" s="174" t="s">
        <v>2155</v>
      </c>
      <c r="H428" s="174" t="s">
        <v>1742</v>
      </c>
      <c r="I428" s="174" t="str">
        <f t="shared" si="1"/>
        <v>SUL</v>
      </c>
    </row>
    <row r="429" ht="14.25" customHeight="1">
      <c r="G429" s="174" t="s">
        <v>2156</v>
      </c>
      <c r="H429" s="174" t="s">
        <v>1733</v>
      </c>
      <c r="I429" s="174" t="str">
        <f t="shared" si="1"/>
        <v>NORDESTE</v>
      </c>
    </row>
    <row r="430" ht="14.25" customHeight="1">
      <c r="G430" s="174" t="s">
        <v>2157</v>
      </c>
      <c r="H430" s="174" t="s">
        <v>1742</v>
      </c>
      <c r="I430" s="174" t="str">
        <f t="shared" si="1"/>
        <v>SUL</v>
      </c>
    </row>
    <row r="431" ht="14.25" customHeight="1">
      <c r="G431" s="174" t="s">
        <v>2158</v>
      </c>
      <c r="H431" s="174" t="s">
        <v>1685</v>
      </c>
      <c r="I431" s="174" t="str">
        <f t="shared" si="1"/>
        <v>NORDESTE</v>
      </c>
    </row>
    <row r="432" ht="14.25" customHeight="1">
      <c r="G432" s="174" t="s">
        <v>2159</v>
      </c>
      <c r="H432" s="174" t="s">
        <v>1750</v>
      </c>
      <c r="I432" s="174" t="str">
        <f t="shared" si="1"/>
        <v>SUDESTE</v>
      </c>
    </row>
    <row r="433" ht="14.25" customHeight="1">
      <c r="G433" s="174" t="s">
        <v>2160</v>
      </c>
      <c r="H433" s="174" t="s">
        <v>1658</v>
      </c>
      <c r="I433" s="174" t="str">
        <f t="shared" si="1"/>
        <v>CENTRO OESTE</v>
      </c>
    </row>
    <row r="434" ht="14.25" customHeight="1">
      <c r="G434" s="174" t="s">
        <v>2161</v>
      </c>
      <c r="H434" s="174" t="s">
        <v>1690</v>
      </c>
      <c r="I434" s="174" t="str">
        <f t="shared" si="1"/>
        <v>NORDESTE</v>
      </c>
    </row>
    <row r="435" ht="14.25" customHeight="1">
      <c r="G435" s="174" t="s">
        <v>2161</v>
      </c>
      <c r="H435" s="174" t="s">
        <v>1706</v>
      </c>
      <c r="I435" s="174" t="str">
        <f t="shared" si="1"/>
        <v>SUL</v>
      </c>
    </row>
    <row r="436" ht="14.25" customHeight="1">
      <c r="G436" s="174" t="s">
        <v>2162</v>
      </c>
      <c r="H436" s="174" t="s">
        <v>1687</v>
      </c>
      <c r="I436" s="174" t="str">
        <f t="shared" si="1"/>
        <v>NORTE</v>
      </c>
    </row>
    <row r="437" ht="14.25" customHeight="1">
      <c r="G437" s="174" t="s">
        <v>2163</v>
      </c>
      <c r="H437" s="174" t="s">
        <v>1721</v>
      </c>
      <c r="I437" s="174" t="str">
        <f t="shared" si="1"/>
        <v>NORTE</v>
      </c>
    </row>
    <row r="438" ht="14.25" customHeight="1">
      <c r="G438" s="174" t="s">
        <v>2164</v>
      </c>
      <c r="H438" s="174" t="s">
        <v>1672</v>
      </c>
      <c r="I438" s="174" t="str">
        <f t="shared" si="1"/>
        <v>NORTE</v>
      </c>
    </row>
    <row r="439" ht="14.25" customHeight="1">
      <c r="G439" s="174" t="s">
        <v>2165</v>
      </c>
      <c r="H439" s="174" t="s">
        <v>1750</v>
      </c>
      <c r="I439" s="174" t="str">
        <f t="shared" si="1"/>
        <v>SUDESTE</v>
      </c>
    </row>
    <row r="440" ht="14.25" customHeight="1">
      <c r="G440" s="174" t="s">
        <v>2166</v>
      </c>
      <c r="H440" s="174" t="s">
        <v>1750</v>
      </c>
      <c r="I440" s="174" t="str">
        <f t="shared" si="1"/>
        <v>SUDESTE</v>
      </c>
    </row>
    <row r="441" ht="14.25" customHeight="1">
      <c r="G441" s="174" t="s">
        <v>2167</v>
      </c>
      <c r="H441" s="174" t="s">
        <v>1750</v>
      </c>
      <c r="I441" s="174" t="str">
        <f t="shared" si="1"/>
        <v>SUDESTE</v>
      </c>
    </row>
    <row r="442" ht="14.25" customHeight="1">
      <c r="G442" s="174" t="s">
        <v>2168</v>
      </c>
      <c r="H442" s="174" t="s">
        <v>1687</v>
      </c>
      <c r="I442" s="174" t="str">
        <f t="shared" si="1"/>
        <v>NORTE</v>
      </c>
    </row>
    <row r="443" ht="14.25" customHeight="1">
      <c r="G443" s="174" t="s">
        <v>2169</v>
      </c>
      <c r="H443" s="174" t="s">
        <v>1725</v>
      </c>
      <c r="I443" s="174" t="str">
        <f t="shared" si="1"/>
        <v>NORDESTE</v>
      </c>
    </row>
    <row r="444" ht="14.25" customHeight="1">
      <c r="G444" s="174" t="s">
        <v>2170</v>
      </c>
      <c r="H444" s="174" t="s">
        <v>1658</v>
      </c>
      <c r="I444" s="174" t="str">
        <f t="shared" si="1"/>
        <v>CENTRO OESTE</v>
      </c>
    </row>
    <row r="445" ht="14.25" customHeight="1">
      <c r="G445" s="174" t="s">
        <v>2171</v>
      </c>
      <c r="H445" s="174" t="s">
        <v>1704</v>
      </c>
      <c r="I445" s="174" t="str">
        <f t="shared" si="1"/>
        <v>NORDESTE</v>
      </c>
    </row>
    <row r="446" ht="14.25" customHeight="1">
      <c r="G446" s="174" t="s">
        <v>2172</v>
      </c>
      <c r="H446" s="174" t="s">
        <v>1721</v>
      </c>
      <c r="I446" s="174" t="str">
        <f t="shared" si="1"/>
        <v>NORTE</v>
      </c>
    </row>
    <row r="447" ht="14.25" customHeight="1">
      <c r="G447" s="174" t="s">
        <v>2173</v>
      </c>
      <c r="H447" s="174" t="s">
        <v>1721</v>
      </c>
      <c r="I447" s="174" t="str">
        <f t="shared" si="1"/>
        <v>NORTE</v>
      </c>
    </row>
    <row r="448" ht="14.25" customHeight="1">
      <c r="G448" s="174" t="s">
        <v>2174</v>
      </c>
      <c r="H448" s="174" t="s">
        <v>1704</v>
      </c>
      <c r="I448" s="174" t="str">
        <f t="shared" si="1"/>
        <v>NORDESTE</v>
      </c>
    </row>
    <row r="449" ht="14.25" customHeight="1">
      <c r="G449" s="174" t="s">
        <v>2175</v>
      </c>
      <c r="H449" s="174" t="s">
        <v>1704</v>
      </c>
      <c r="I449" s="174" t="str">
        <f t="shared" si="1"/>
        <v>NORDESTE</v>
      </c>
    </row>
    <row r="450" ht="14.25" customHeight="1">
      <c r="G450" s="174" t="s">
        <v>2176</v>
      </c>
      <c r="H450" s="174" t="s">
        <v>1704</v>
      </c>
      <c r="I450" s="174" t="str">
        <f t="shared" si="1"/>
        <v>NORDESTE</v>
      </c>
    </row>
    <row r="451" ht="14.25" customHeight="1">
      <c r="G451" s="174" t="s">
        <v>2177</v>
      </c>
      <c r="H451" s="174" t="s">
        <v>1704</v>
      </c>
      <c r="I451" s="174" t="str">
        <f t="shared" si="1"/>
        <v>NORDESTE</v>
      </c>
    </row>
    <row r="452" ht="14.25" customHeight="1">
      <c r="G452" s="174" t="s">
        <v>2178</v>
      </c>
      <c r="H452" s="174" t="s">
        <v>1750</v>
      </c>
      <c r="I452" s="174" t="str">
        <f t="shared" si="1"/>
        <v>SUDESTE</v>
      </c>
    </row>
    <row r="453" ht="14.25" customHeight="1">
      <c r="G453" s="174" t="s">
        <v>2179</v>
      </c>
      <c r="H453" s="174" t="s">
        <v>1666</v>
      </c>
      <c r="I453" s="174" t="str">
        <f t="shared" si="1"/>
        <v>SUDESTE</v>
      </c>
    </row>
    <row r="454" ht="14.25" customHeight="1">
      <c r="G454" s="174" t="s">
        <v>2180</v>
      </c>
      <c r="H454" s="174" t="s">
        <v>1742</v>
      </c>
      <c r="I454" s="174" t="str">
        <f t="shared" si="1"/>
        <v>SUL</v>
      </c>
    </row>
    <row r="455" ht="14.25" customHeight="1">
      <c r="G455" s="174" t="s">
        <v>2181</v>
      </c>
      <c r="H455" s="174" t="s">
        <v>1687</v>
      </c>
      <c r="I455" s="174" t="str">
        <f t="shared" si="1"/>
        <v>NORTE</v>
      </c>
    </row>
    <row r="456" ht="14.25" customHeight="1">
      <c r="G456" s="174" t="s">
        <v>2182</v>
      </c>
      <c r="H456" s="174" t="s">
        <v>1719</v>
      </c>
      <c r="I456" s="174" t="str">
        <f t="shared" si="1"/>
        <v>NORDESTE</v>
      </c>
    </row>
    <row r="457" ht="14.25" customHeight="1">
      <c r="G457" s="174" t="s">
        <v>2183</v>
      </c>
      <c r="H457" s="174" t="s">
        <v>1733</v>
      </c>
      <c r="I457" s="174" t="str">
        <f t="shared" si="1"/>
        <v>NORDESTE</v>
      </c>
    </row>
    <row r="458" ht="14.25" customHeight="1">
      <c r="G458" s="174" t="s">
        <v>2184</v>
      </c>
      <c r="H458" s="174" t="s">
        <v>1685</v>
      </c>
      <c r="I458" s="174" t="str">
        <f t="shared" si="1"/>
        <v>NORDESTE</v>
      </c>
    </row>
    <row r="459" ht="14.25" customHeight="1">
      <c r="G459" s="174" t="s">
        <v>2185</v>
      </c>
      <c r="H459" s="174" t="s">
        <v>1687</v>
      </c>
      <c r="I459" s="174" t="str">
        <f t="shared" si="1"/>
        <v>NORTE</v>
      </c>
    </row>
    <row r="460" ht="14.25" customHeight="1">
      <c r="G460" s="174" t="s">
        <v>2186</v>
      </c>
      <c r="H460" s="174" t="s">
        <v>1685</v>
      </c>
      <c r="I460" s="174" t="str">
        <f t="shared" si="1"/>
        <v>NORDESTE</v>
      </c>
    </row>
    <row r="461" ht="14.25" customHeight="1">
      <c r="G461" s="174" t="s">
        <v>2187</v>
      </c>
      <c r="H461" s="174" t="s">
        <v>1725</v>
      </c>
      <c r="I461" s="174" t="str">
        <f t="shared" si="1"/>
        <v>NORDESTE</v>
      </c>
    </row>
    <row r="462" ht="14.25" customHeight="1">
      <c r="G462" s="174" t="s">
        <v>2188</v>
      </c>
      <c r="H462" s="174" t="s">
        <v>1690</v>
      </c>
      <c r="I462" s="174" t="str">
        <f t="shared" si="1"/>
        <v>NORDESTE</v>
      </c>
    </row>
    <row r="463" ht="14.25" customHeight="1">
      <c r="G463" s="174" t="s">
        <v>2189</v>
      </c>
      <c r="H463" s="174" t="s">
        <v>1698</v>
      </c>
      <c r="I463" s="174" t="str">
        <f t="shared" si="1"/>
        <v>SUDESTE</v>
      </c>
    </row>
    <row r="464" ht="14.25" customHeight="1">
      <c r="G464" s="174" t="s">
        <v>2190</v>
      </c>
      <c r="H464" s="174" t="s">
        <v>1750</v>
      </c>
      <c r="I464" s="174" t="str">
        <f t="shared" si="1"/>
        <v>SUDESTE</v>
      </c>
    </row>
    <row r="465" ht="14.25" customHeight="1">
      <c r="G465" s="174" t="s">
        <v>2191</v>
      </c>
      <c r="H465" s="174" t="s">
        <v>1666</v>
      </c>
      <c r="I465" s="174" t="str">
        <f t="shared" si="1"/>
        <v>SUDESTE</v>
      </c>
    </row>
    <row r="466" ht="14.25" customHeight="1">
      <c r="G466" s="174" t="s">
        <v>2192</v>
      </c>
      <c r="H466" s="174" t="s">
        <v>1658</v>
      </c>
      <c r="I466" s="174" t="str">
        <f t="shared" si="1"/>
        <v>CENTRO OESTE</v>
      </c>
    </row>
    <row r="467" ht="14.25" customHeight="1">
      <c r="G467" s="174" t="s">
        <v>2193</v>
      </c>
      <c r="H467" s="174" t="s">
        <v>1706</v>
      </c>
      <c r="I467" s="174" t="str">
        <f t="shared" si="1"/>
        <v>SUL</v>
      </c>
    </row>
    <row r="468" ht="14.25" customHeight="1">
      <c r="G468" s="174" t="s">
        <v>2194</v>
      </c>
      <c r="H468" s="174" t="s">
        <v>1706</v>
      </c>
      <c r="I468" s="174" t="str">
        <f t="shared" si="1"/>
        <v>SUL</v>
      </c>
    </row>
    <row r="469" ht="14.25" customHeight="1">
      <c r="G469" s="174" t="s">
        <v>2195</v>
      </c>
      <c r="H469" s="174" t="s">
        <v>1706</v>
      </c>
      <c r="I469" s="174" t="str">
        <f t="shared" si="1"/>
        <v>SUL</v>
      </c>
    </row>
    <row r="470" ht="14.25" customHeight="1">
      <c r="G470" s="174" t="s">
        <v>2196</v>
      </c>
      <c r="H470" s="174" t="s">
        <v>1706</v>
      </c>
      <c r="I470" s="174" t="str">
        <f t="shared" si="1"/>
        <v>SUL</v>
      </c>
    </row>
    <row r="471" ht="14.25" customHeight="1">
      <c r="G471" s="174" t="s">
        <v>2197</v>
      </c>
      <c r="H471" s="174" t="s">
        <v>1742</v>
      </c>
      <c r="I471" s="174" t="str">
        <f t="shared" si="1"/>
        <v>SUL</v>
      </c>
    </row>
    <row r="472" ht="14.25" customHeight="1">
      <c r="G472" s="174" t="s">
        <v>2198</v>
      </c>
      <c r="H472" s="174" t="s">
        <v>1706</v>
      </c>
      <c r="I472" s="174" t="str">
        <f t="shared" si="1"/>
        <v>SUL</v>
      </c>
    </row>
    <row r="473" ht="14.25" customHeight="1">
      <c r="G473" s="174" t="s">
        <v>2199</v>
      </c>
      <c r="H473" s="174" t="s">
        <v>1702</v>
      </c>
      <c r="I473" s="174" t="str">
        <f t="shared" si="1"/>
        <v>SUL</v>
      </c>
    </row>
    <row r="474" ht="14.25" customHeight="1">
      <c r="G474" s="174" t="s">
        <v>2200</v>
      </c>
      <c r="H474" s="174" t="s">
        <v>1750</v>
      </c>
      <c r="I474" s="174" t="str">
        <f t="shared" si="1"/>
        <v>SUDESTE</v>
      </c>
    </row>
    <row r="475" ht="14.25" customHeight="1">
      <c r="G475" s="174" t="s">
        <v>2201</v>
      </c>
      <c r="H475" s="174" t="s">
        <v>1704</v>
      </c>
      <c r="I475" s="174" t="str">
        <f t="shared" si="1"/>
        <v>NORDESTE</v>
      </c>
    </row>
    <row r="476" ht="14.25" customHeight="1">
      <c r="G476" s="174" t="s">
        <v>2202</v>
      </c>
      <c r="H476" s="174" t="s">
        <v>1666</v>
      </c>
      <c r="I476" s="174" t="str">
        <f t="shared" si="1"/>
        <v>SUDESTE</v>
      </c>
    </row>
    <row r="477" ht="14.25" customHeight="1">
      <c r="G477" s="174" t="s">
        <v>2203</v>
      </c>
      <c r="H477" s="174" t="s">
        <v>1690</v>
      </c>
      <c r="I477" s="174" t="str">
        <f t="shared" si="1"/>
        <v>NORDESTE</v>
      </c>
    </row>
    <row r="478" ht="14.25" customHeight="1">
      <c r="G478" s="174" t="s">
        <v>2204</v>
      </c>
      <c r="H478" s="174" t="s">
        <v>1750</v>
      </c>
      <c r="I478" s="174" t="str">
        <f t="shared" si="1"/>
        <v>SUDESTE</v>
      </c>
    </row>
    <row r="479" ht="14.25" customHeight="1">
      <c r="G479" s="174" t="s">
        <v>2205</v>
      </c>
      <c r="H479" s="174" t="s">
        <v>1719</v>
      </c>
      <c r="I479" s="174" t="str">
        <f t="shared" si="1"/>
        <v>NORDESTE</v>
      </c>
    </row>
    <row r="480" ht="14.25" customHeight="1">
      <c r="G480" s="174" t="s">
        <v>2206</v>
      </c>
      <c r="H480" s="174" t="s">
        <v>1666</v>
      </c>
      <c r="I480" s="174" t="str">
        <f t="shared" si="1"/>
        <v>SUDESTE</v>
      </c>
    </row>
    <row r="481" ht="14.25" customHeight="1">
      <c r="G481" s="174" t="s">
        <v>2207</v>
      </c>
      <c r="H481" s="174" t="s">
        <v>1666</v>
      </c>
      <c r="I481" s="174" t="str">
        <f t="shared" si="1"/>
        <v>SUDESTE</v>
      </c>
    </row>
    <row r="482" ht="14.25" customHeight="1">
      <c r="G482" s="174" t="s">
        <v>2208</v>
      </c>
      <c r="H482" s="174" t="s">
        <v>1706</v>
      </c>
      <c r="I482" s="174" t="str">
        <f t="shared" si="1"/>
        <v>SUL</v>
      </c>
    </row>
    <row r="483" ht="14.25" customHeight="1">
      <c r="G483" s="174" t="s">
        <v>2209</v>
      </c>
      <c r="H483" s="174" t="s">
        <v>1702</v>
      </c>
      <c r="I483" s="174" t="str">
        <f t="shared" si="1"/>
        <v>SUL</v>
      </c>
    </row>
    <row r="484" ht="14.25" customHeight="1">
      <c r="G484" s="174" t="s">
        <v>2209</v>
      </c>
      <c r="H484" s="174" t="s">
        <v>1710</v>
      </c>
      <c r="I484" s="174" t="str">
        <f t="shared" si="1"/>
        <v>CENTRO OESTE</v>
      </c>
    </row>
    <row r="485" ht="14.25" customHeight="1">
      <c r="G485" s="174" t="s">
        <v>2210</v>
      </c>
      <c r="H485" s="174" t="s">
        <v>1721</v>
      </c>
      <c r="I485" s="174" t="str">
        <f t="shared" si="1"/>
        <v>NORTE</v>
      </c>
    </row>
    <row r="486" ht="14.25" customHeight="1">
      <c r="G486" s="174" t="s">
        <v>2211</v>
      </c>
      <c r="H486" s="174" t="s">
        <v>1687</v>
      </c>
      <c r="I486" s="174" t="str">
        <f t="shared" si="1"/>
        <v>NORTE</v>
      </c>
    </row>
    <row r="487" ht="14.25" customHeight="1">
      <c r="G487" s="174" t="s">
        <v>2212</v>
      </c>
      <c r="H487" s="174" t="s">
        <v>1685</v>
      </c>
      <c r="I487" s="174" t="str">
        <f t="shared" si="1"/>
        <v>NORDESTE</v>
      </c>
    </row>
    <row r="488" ht="14.25" customHeight="1">
      <c r="G488" s="174" t="s">
        <v>2213</v>
      </c>
      <c r="H488" s="174" t="s">
        <v>1742</v>
      </c>
      <c r="I488" s="174" t="str">
        <f t="shared" si="1"/>
        <v>SUL</v>
      </c>
    </row>
    <row r="489" ht="14.25" customHeight="1">
      <c r="G489" s="174" t="s">
        <v>2214</v>
      </c>
      <c r="H489" s="174" t="s">
        <v>1750</v>
      </c>
      <c r="I489" s="174" t="str">
        <f t="shared" si="1"/>
        <v>SUDESTE</v>
      </c>
    </row>
    <row r="490" ht="14.25" customHeight="1">
      <c r="G490" s="174" t="s">
        <v>2215</v>
      </c>
      <c r="H490" s="174" t="s">
        <v>1666</v>
      </c>
      <c r="I490" s="174" t="str">
        <f t="shared" si="1"/>
        <v>SUDESTE</v>
      </c>
    </row>
    <row r="491" ht="14.25" customHeight="1">
      <c r="G491" s="174" t="s">
        <v>2216</v>
      </c>
      <c r="H491" s="174" t="s">
        <v>1742</v>
      </c>
      <c r="I491" s="174" t="str">
        <f t="shared" si="1"/>
        <v>SUL</v>
      </c>
    </row>
    <row r="492" ht="14.25" customHeight="1">
      <c r="G492" s="174" t="s">
        <v>2217</v>
      </c>
      <c r="H492" s="174" t="s">
        <v>1704</v>
      </c>
      <c r="I492" s="174" t="str">
        <f t="shared" si="1"/>
        <v>NORDESTE</v>
      </c>
    </row>
    <row r="493" ht="14.25" customHeight="1">
      <c r="G493" s="174" t="s">
        <v>2218</v>
      </c>
      <c r="H493" s="174" t="s">
        <v>1713</v>
      </c>
      <c r="I493" s="174" t="str">
        <f t="shared" si="1"/>
        <v>CENTRO OESTE</v>
      </c>
    </row>
    <row r="494" ht="14.25" customHeight="1">
      <c r="G494" s="174" t="s">
        <v>2219</v>
      </c>
      <c r="H494" s="174" t="s">
        <v>1666</v>
      </c>
      <c r="I494" s="174" t="str">
        <f t="shared" si="1"/>
        <v>SUDESTE</v>
      </c>
    </row>
    <row r="495" ht="14.25" customHeight="1">
      <c r="G495" s="174" t="s">
        <v>2220</v>
      </c>
      <c r="H495" s="174" t="s">
        <v>1742</v>
      </c>
      <c r="I495" s="174" t="str">
        <f t="shared" si="1"/>
        <v>SUL</v>
      </c>
    </row>
    <row r="496" ht="14.25" customHeight="1">
      <c r="G496" s="174" t="s">
        <v>2221</v>
      </c>
      <c r="H496" s="174" t="s">
        <v>1733</v>
      </c>
      <c r="I496" s="174" t="str">
        <f t="shared" si="1"/>
        <v>NORDESTE</v>
      </c>
    </row>
    <row r="497" ht="14.25" customHeight="1">
      <c r="G497" s="174" t="s">
        <v>2221</v>
      </c>
      <c r="H497" s="174" t="s">
        <v>1719</v>
      </c>
      <c r="I497" s="174" t="str">
        <f t="shared" si="1"/>
        <v>NORDESTE</v>
      </c>
    </row>
    <row r="498" ht="14.25" customHeight="1">
      <c r="G498" s="174" t="s">
        <v>2222</v>
      </c>
      <c r="H498" s="174" t="s">
        <v>1666</v>
      </c>
      <c r="I498" s="174" t="str">
        <f t="shared" si="1"/>
        <v>SUDESTE</v>
      </c>
    </row>
    <row r="499" ht="14.25" customHeight="1">
      <c r="G499" s="174" t="s">
        <v>2223</v>
      </c>
      <c r="H499" s="174" t="s">
        <v>1690</v>
      </c>
      <c r="I499" s="174" t="str">
        <f t="shared" si="1"/>
        <v>NORDESTE</v>
      </c>
    </row>
    <row r="500" ht="14.25" customHeight="1">
      <c r="G500" s="174" t="s">
        <v>2224</v>
      </c>
      <c r="H500" s="174" t="s">
        <v>1750</v>
      </c>
      <c r="I500" s="174" t="str">
        <f t="shared" si="1"/>
        <v>SUDESTE</v>
      </c>
    </row>
    <row r="501" ht="14.25" customHeight="1">
      <c r="G501" s="174" t="s">
        <v>2225</v>
      </c>
      <c r="H501" s="174" t="s">
        <v>1702</v>
      </c>
      <c r="I501" s="174" t="str">
        <f t="shared" si="1"/>
        <v>SUL</v>
      </c>
    </row>
    <row r="502" ht="14.25" customHeight="1">
      <c r="G502" s="174" t="s">
        <v>2226</v>
      </c>
      <c r="H502" s="174" t="s">
        <v>1687</v>
      </c>
      <c r="I502" s="174" t="str">
        <f t="shared" si="1"/>
        <v>NORTE</v>
      </c>
    </row>
    <row r="503" ht="14.25" customHeight="1">
      <c r="G503" s="174" t="s">
        <v>2227</v>
      </c>
      <c r="H503" s="174" t="s">
        <v>1733</v>
      </c>
      <c r="I503" s="174" t="str">
        <f t="shared" si="1"/>
        <v>NORDESTE</v>
      </c>
    </row>
    <row r="504" ht="14.25" customHeight="1">
      <c r="G504" s="174" t="s">
        <v>2228</v>
      </c>
      <c r="H504" s="174" t="s">
        <v>1672</v>
      </c>
      <c r="I504" s="174" t="str">
        <f t="shared" si="1"/>
        <v>NORTE</v>
      </c>
    </row>
    <row r="505" ht="14.25" customHeight="1">
      <c r="G505" s="174" t="s">
        <v>2229</v>
      </c>
      <c r="H505" s="174" t="s">
        <v>1750</v>
      </c>
      <c r="I505" s="174" t="str">
        <f t="shared" si="1"/>
        <v>SUDESTE</v>
      </c>
    </row>
    <row r="506" ht="14.25" customHeight="1">
      <c r="G506" s="174" t="s">
        <v>2230</v>
      </c>
      <c r="H506" s="174" t="s">
        <v>1685</v>
      </c>
      <c r="I506" s="174" t="str">
        <f t="shared" si="1"/>
        <v>NORDESTE</v>
      </c>
    </row>
    <row r="507" ht="14.25" customHeight="1">
      <c r="G507" s="174" t="s">
        <v>2231</v>
      </c>
      <c r="H507" s="174" t="s">
        <v>1750</v>
      </c>
      <c r="I507" s="174" t="str">
        <f t="shared" si="1"/>
        <v>SUDESTE</v>
      </c>
    </row>
    <row r="508" ht="14.25" customHeight="1">
      <c r="G508" s="174" t="s">
        <v>2231</v>
      </c>
      <c r="H508" s="174" t="s">
        <v>1706</v>
      </c>
      <c r="I508" s="174" t="str">
        <f t="shared" si="1"/>
        <v>SUL</v>
      </c>
    </row>
    <row r="509" ht="14.25" customHeight="1">
      <c r="G509" s="174" t="s">
        <v>2232</v>
      </c>
      <c r="H509" s="174" t="s">
        <v>1725</v>
      </c>
      <c r="I509" s="174" t="str">
        <f t="shared" si="1"/>
        <v>NORDESTE</v>
      </c>
    </row>
    <row r="510" ht="14.25" customHeight="1">
      <c r="G510" s="174" t="s">
        <v>2233</v>
      </c>
      <c r="H510" s="174" t="s">
        <v>1685</v>
      </c>
      <c r="I510" s="174" t="str">
        <f t="shared" si="1"/>
        <v>NORDESTE</v>
      </c>
    </row>
    <row r="511" ht="14.25" customHeight="1">
      <c r="G511" s="174" t="s">
        <v>2234</v>
      </c>
      <c r="H511" s="174" t="s">
        <v>1717</v>
      </c>
      <c r="I511" s="174" t="str">
        <f t="shared" si="1"/>
        <v>NORDESTE</v>
      </c>
    </row>
    <row r="512" ht="14.25" customHeight="1">
      <c r="G512" s="174" t="s">
        <v>2235</v>
      </c>
      <c r="H512" s="174" t="s">
        <v>1719</v>
      </c>
      <c r="I512" s="174" t="str">
        <f t="shared" si="1"/>
        <v>NORDESTE</v>
      </c>
    </row>
    <row r="513" ht="14.25" customHeight="1">
      <c r="G513" s="174" t="s">
        <v>2236</v>
      </c>
      <c r="H513" s="174" t="s">
        <v>1719</v>
      </c>
      <c r="I513" s="174" t="str">
        <f t="shared" si="1"/>
        <v>NORDESTE</v>
      </c>
    </row>
    <row r="514" ht="14.25" customHeight="1">
      <c r="G514" s="174" t="s">
        <v>2237</v>
      </c>
      <c r="H514" s="174" t="s">
        <v>1664</v>
      </c>
      <c r="I514" s="174" t="str">
        <f t="shared" si="1"/>
        <v>NORDESTE</v>
      </c>
    </row>
    <row r="515" ht="14.25" customHeight="1">
      <c r="G515" s="174" t="s">
        <v>2238</v>
      </c>
      <c r="H515" s="174" t="s">
        <v>1698</v>
      </c>
      <c r="I515" s="174" t="str">
        <f t="shared" si="1"/>
        <v>SUDESTE</v>
      </c>
    </row>
    <row r="516" ht="14.25" customHeight="1">
      <c r="G516" s="174" t="s">
        <v>2239</v>
      </c>
      <c r="H516" s="174" t="s">
        <v>1719</v>
      </c>
      <c r="I516" s="174" t="str">
        <f t="shared" si="1"/>
        <v>NORDESTE</v>
      </c>
    </row>
    <row r="517" ht="14.25" customHeight="1">
      <c r="G517" s="174" t="s">
        <v>2239</v>
      </c>
      <c r="H517" s="174" t="s">
        <v>1664</v>
      </c>
      <c r="I517" s="174" t="str">
        <f t="shared" si="1"/>
        <v>NORDESTE</v>
      </c>
    </row>
    <row r="518" ht="14.25" customHeight="1">
      <c r="G518" s="174" t="s">
        <v>2240</v>
      </c>
      <c r="H518" s="174" t="s">
        <v>1713</v>
      </c>
      <c r="I518" s="174" t="str">
        <f t="shared" si="1"/>
        <v>CENTRO OESTE</v>
      </c>
    </row>
    <row r="519" ht="14.25" customHeight="1">
      <c r="G519" s="174" t="s">
        <v>2241</v>
      </c>
      <c r="H519" s="174" t="s">
        <v>1750</v>
      </c>
      <c r="I519" s="174" t="str">
        <f t="shared" si="1"/>
        <v>SUDESTE</v>
      </c>
    </row>
    <row r="520" ht="14.25" customHeight="1">
      <c r="G520" s="174" t="s">
        <v>2242</v>
      </c>
      <c r="H520" s="174" t="s">
        <v>1685</v>
      </c>
      <c r="I520" s="174" t="str">
        <f t="shared" si="1"/>
        <v>NORDESTE</v>
      </c>
    </row>
    <row r="521" ht="14.25" customHeight="1">
      <c r="G521" s="174" t="s">
        <v>2243</v>
      </c>
      <c r="H521" s="174" t="s">
        <v>1704</v>
      </c>
      <c r="I521" s="174" t="str">
        <f t="shared" si="1"/>
        <v>NORDESTE</v>
      </c>
    </row>
    <row r="522" ht="14.25" customHeight="1">
      <c r="G522" s="174" t="s">
        <v>2244</v>
      </c>
      <c r="H522" s="174" t="s">
        <v>1713</v>
      </c>
      <c r="I522" s="174" t="str">
        <f t="shared" si="1"/>
        <v>CENTRO OESTE</v>
      </c>
    </row>
    <row r="523" ht="14.25" customHeight="1">
      <c r="G523" s="174" t="s">
        <v>2245</v>
      </c>
      <c r="H523" s="174" t="s">
        <v>1742</v>
      </c>
      <c r="I523" s="174" t="str">
        <f t="shared" si="1"/>
        <v>SUL</v>
      </c>
    </row>
    <row r="524" ht="14.25" customHeight="1">
      <c r="G524" s="174" t="s">
        <v>2246</v>
      </c>
      <c r="H524" s="174" t="s">
        <v>1702</v>
      </c>
      <c r="I524" s="174" t="str">
        <f t="shared" si="1"/>
        <v>SUL</v>
      </c>
    </row>
    <row r="525" ht="14.25" customHeight="1">
      <c r="G525" s="174" t="s">
        <v>2247</v>
      </c>
      <c r="H525" s="174" t="s">
        <v>1685</v>
      </c>
      <c r="I525" s="174" t="str">
        <f t="shared" si="1"/>
        <v>NORDESTE</v>
      </c>
    </row>
    <row r="526" ht="14.25" customHeight="1">
      <c r="G526" s="174" t="s">
        <v>2248</v>
      </c>
      <c r="H526" s="174" t="s">
        <v>1721</v>
      </c>
      <c r="I526" s="174" t="str">
        <f t="shared" si="1"/>
        <v>NORTE</v>
      </c>
    </row>
    <row r="527" ht="14.25" customHeight="1">
      <c r="G527" s="174" t="s">
        <v>2249</v>
      </c>
      <c r="H527" s="174" t="s">
        <v>1730</v>
      </c>
      <c r="I527" s="174" t="str">
        <f t="shared" si="1"/>
        <v>SUDESTE</v>
      </c>
    </row>
    <row r="528" ht="14.25" customHeight="1">
      <c r="G528" s="174" t="s">
        <v>2250</v>
      </c>
      <c r="H528" s="174" t="s">
        <v>1742</v>
      </c>
      <c r="I528" s="174" t="str">
        <f t="shared" si="1"/>
        <v>SUL</v>
      </c>
    </row>
    <row r="529" ht="14.25" customHeight="1">
      <c r="G529" s="174" t="s">
        <v>2251</v>
      </c>
      <c r="H529" s="174" t="s">
        <v>1742</v>
      </c>
      <c r="I529" s="174" t="str">
        <f t="shared" si="1"/>
        <v>SUL</v>
      </c>
    </row>
    <row r="530" ht="14.25" customHeight="1">
      <c r="G530" s="174" t="s">
        <v>2252</v>
      </c>
      <c r="H530" s="174" t="s">
        <v>1742</v>
      </c>
      <c r="I530" s="174" t="str">
        <f t="shared" si="1"/>
        <v>SUL</v>
      </c>
    </row>
    <row r="531" ht="14.25" customHeight="1">
      <c r="G531" s="174" t="s">
        <v>2253</v>
      </c>
      <c r="H531" s="174" t="s">
        <v>1685</v>
      </c>
      <c r="I531" s="174" t="str">
        <f t="shared" si="1"/>
        <v>NORDESTE</v>
      </c>
    </row>
    <row r="532" ht="14.25" customHeight="1">
      <c r="G532" s="174" t="s">
        <v>2254</v>
      </c>
      <c r="H532" s="174" t="s">
        <v>1750</v>
      </c>
      <c r="I532" s="174" t="str">
        <f t="shared" si="1"/>
        <v>SUDESTE</v>
      </c>
    </row>
    <row r="533" ht="14.25" customHeight="1">
      <c r="G533" s="174" t="s">
        <v>2255</v>
      </c>
      <c r="H533" s="174" t="s">
        <v>1747</v>
      </c>
      <c r="I533" s="174" t="str">
        <f t="shared" si="1"/>
        <v>NORDESTE</v>
      </c>
    </row>
    <row r="534" ht="14.25" customHeight="1">
      <c r="G534" s="174" t="s">
        <v>2256</v>
      </c>
      <c r="H534" s="174" t="s">
        <v>1742</v>
      </c>
      <c r="I534" s="174" t="str">
        <f t="shared" si="1"/>
        <v>SUL</v>
      </c>
    </row>
    <row r="535" ht="14.25" customHeight="1">
      <c r="G535" s="174" t="s">
        <v>2257</v>
      </c>
      <c r="H535" s="174" t="s">
        <v>1666</v>
      </c>
      <c r="I535" s="174" t="str">
        <f t="shared" si="1"/>
        <v>SUDESTE</v>
      </c>
    </row>
    <row r="536" ht="14.25" customHeight="1">
      <c r="G536" s="174" t="s">
        <v>2258</v>
      </c>
      <c r="H536" s="174" t="s">
        <v>1730</v>
      </c>
      <c r="I536" s="174" t="str">
        <f t="shared" si="1"/>
        <v>SUDESTE</v>
      </c>
    </row>
    <row r="537" ht="14.25" customHeight="1">
      <c r="G537" s="174" t="s">
        <v>2259</v>
      </c>
      <c r="H537" s="174" t="s">
        <v>1706</v>
      </c>
      <c r="I537" s="174" t="str">
        <f t="shared" si="1"/>
        <v>SUL</v>
      </c>
    </row>
    <row r="538" ht="14.25" customHeight="1">
      <c r="G538" s="174" t="s">
        <v>2260</v>
      </c>
      <c r="H538" s="174" t="s">
        <v>1702</v>
      </c>
      <c r="I538" s="174" t="str">
        <f t="shared" si="1"/>
        <v>SUL</v>
      </c>
    </row>
    <row r="539" ht="14.25" customHeight="1">
      <c r="G539" s="174" t="s">
        <v>2260</v>
      </c>
      <c r="H539" s="174" t="s">
        <v>1742</v>
      </c>
      <c r="I539" s="174" t="str">
        <f t="shared" si="1"/>
        <v>SUL</v>
      </c>
    </row>
    <row r="540" ht="14.25" customHeight="1">
      <c r="G540" s="174" t="s">
        <v>2261</v>
      </c>
      <c r="H540" s="174" t="s">
        <v>1725</v>
      </c>
      <c r="I540" s="174" t="str">
        <f t="shared" si="1"/>
        <v>NORDESTE</v>
      </c>
    </row>
    <row r="541" ht="14.25" customHeight="1">
      <c r="G541" s="174" t="s">
        <v>2262</v>
      </c>
      <c r="H541" s="174" t="s">
        <v>1690</v>
      </c>
      <c r="I541" s="174" t="str">
        <f t="shared" si="1"/>
        <v>NORDESTE</v>
      </c>
    </row>
    <row r="542" ht="14.25" customHeight="1">
      <c r="G542" s="174" t="s">
        <v>2263</v>
      </c>
      <c r="H542" s="174" t="s">
        <v>1685</v>
      </c>
      <c r="I542" s="174" t="str">
        <f t="shared" si="1"/>
        <v>NORDESTE</v>
      </c>
    </row>
    <row r="543" ht="14.25" customHeight="1">
      <c r="G543" s="174" t="s">
        <v>2264</v>
      </c>
      <c r="H543" s="174" t="s">
        <v>1725</v>
      </c>
      <c r="I543" s="174" t="str">
        <f t="shared" si="1"/>
        <v>NORDESTE</v>
      </c>
    </row>
    <row r="544" ht="14.25" customHeight="1">
      <c r="G544" s="174" t="s">
        <v>2265</v>
      </c>
      <c r="H544" s="174" t="s">
        <v>1672</v>
      </c>
      <c r="I544" s="174" t="str">
        <f t="shared" si="1"/>
        <v>NORTE</v>
      </c>
    </row>
    <row r="545" ht="14.25" customHeight="1">
      <c r="G545" s="174" t="s">
        <v>2266</v>
      </c>
      <c r="H545" s="174" t="s">
        <v>1704</v>
      </c>
      <c r="I545" s="174" t="str">
        <f t="shared" si="1"/>
        <v>NORDESTE</v>
      </c>
    </row>
    <row r="546" ht="14.25" customHeight="1">
      <c r="G546" s="174" t="s">
        <v>2267</v>
      </c>
      <c r="H546" s="174" t="s">
        <v>1717</v>
      </c>
      <c r="I546" s="174" t="str">
        <f t="shared" si="1"/>
        <v>NORDESTE</v>
      </c>
    </row>
    <row r="547" ht="14.25" customHeight="1">
      <c r="G547" s="174" t="s">
        <v>2268</v>
      </c>
      <c r="H547" s="174" t="s">
        <v>1750</v>
      </c>
      <c r="I547" s="174" t="str">
        <f t="shared" si="1"/>
        <v>SUDESTE</v>
      </c>
    </row>
    <row r="548" ht="14.25" customHeight="1">
      <c r="G548" s="174" t="s">
        <v>2269</v>
      </c>
      <c r="H548" s="174" t="s">
        <v>1750</v>
      </c>
      <c r="I548" s="174" t="str">
        <f t="shared" si="1"/>
        <v>SUDESTE</v>
      </c>
    </row>
    <row r="549" ht="14.25" customHeight="1">
      <c r="G549" s="174" t="s">
        <v>2270</v>
      </c>
      <c r="H549" s="174" t="s">
        <v>1690</v>
      </c>
      <c r="I549" s="174" t="str">
        <f t="shared" si="1"/>
        <v>NORDESTE</v>
      </c>
    </row>
    <row r="550" ht="14.25" customHeight="1">
      <c r="G550" s="174" t="s">
        <v>2271</v>
      </c>
      <c r="H550" s="174" t="s">
        <v>1685</v>
      </c>
      <c r="I550" s="174" t="str">
        <f t="shared" si="1"/>
        <v>NORDESTE</v>
      </c>
    </row>
    <row r="551" ht="14.25" customHeight="1">
      <c r="G551" s="174" t="s">
        <v>2271</v>
      </c>
      <c r="H551" s="174" t="s">
        <v>1658</v>
      </c>
      <c r="I551" s="174" t="str">
        <f t="shared" si="1"/>
        <v>CENTRO OESTE</v>
      </c>
    </row>
    <row r="552" ht="14.25" customHeight="1">
      <c r="G552" s="174" t="s">
        <v>2272</v>
      </c>
      <c r="H552" s="174" t="s">
        <v>1725</v>
      </c>
      <c r="I552" s="174" t="str">
        <f t="shared" si="1"/>
        <v>NORDESTE</v>
      </c>
    </row>
    <row r="553" ht="14.25" customHeight="1">
      <c r="G553" s="174" t="s">
        <v>2273</v>
      </c>
      <c r="H553" s="174" t="s">
        <v>1685</v>
      </c>
      <c r="I553" s="174" t="str">
        <f t="shared" si="1"/>
        <v>NORDESTE</v>
      </c>
    </row>
    <row r="554" ht="14.25" customHeight="1">
      <c r="G554" s="174" t="s">
        <v>2274</v>
      </c>
      <c r="H554" s="174" t="s">
        <v>1721</v>
      </c>
      <c r="I554" s="174" t="str">
        <f t="shared" si="1"/>
        <v>NORTE</v>
      </c>
    </row>
    <row r="555" ht="14.25" customHeight="1">
      <c r="G555" s="174" t="s">
        <v>2275</v>
      </c>
      <c r="H555" s="174" t="s">
        <v>1690</v>
      </c>
      <c r="I555" s="174" t="str">
        <f t="shared" si="1"/>
        <v>NORDESTE</v>
      </c>
    </row>
    <row r="556" ht="14.25" customHeight="1">
      <c r="G556" s="174" t="s">
        <v>2276</v>
      </c>
      <c r="H556" s="174" t="s">
        <v>1742</v>
      </c>
      <c r="I556" s="174" t="str">
        <f t="shared" si="1"/>
        <v>SUL</v>
      </c>
    </row>
    <row r="557" ht="14.25" customHeight="1">
      <c r="G557" s="174" t="s">
        <v>2277</v>
      </c>
      <c r="H557" s="174" t="s">
        <v>1666</v>
      </c>
      <c r="I557" s="174" t="str">
        <f t="shared" si="1"/>
        <v>SUDESTE</v>
      </c>
    </row>
    <row r="558" ht="14.25" customHeight="1">
      <c r="G558" s="174" t="s">
        <v>2278</v>
      </c>
      <c r="H558" s="174" t="s">
        <v>1750</v>
      </c>
      <c r="I558" s="174" t="str">
        <f t="shared" si="1"/>
        <v>SUDESTE</v>
      </c>
    </row>
    <row r="559" ht="14.25" customHeight="1">
      <c r="G559" s="174" t="s">
        <v>2279</v>
      </c>
      <c r="H559" s="174" t="s">
        <v>1750</v>
      </c>
      <c r="I559" s="174" t="str">
        <f t="shared" si="1"/>
        <v>SUDESTE</v>
      </c>
    </row>
    <row r="560" ht="14.25" customHeight="1">
      <c r="G560" s="174" t="s">
        <v>2280</v>
      </c>
      <c r="H560" s="174" t="s">
        <v>1710</v>
      </c>
      <c r="I560" s="174" t="str">
        <f t="shared" si="1"/>
        <v>CENTRO OESTE</v>
      </c>
    </row>
    <row r="561" ht="14.25" customHeight="1">
      <c r="G561" s="174" t="s">
        <v>2281</v>
      </c>
      <c r="H561" s="174" t="s">
        <v>1725</v>
      </c>
      <c r="I561" s="174" t="str">
        <f t="shared" si="1"/>
        <v>NORDESTE</v>
      </c>
    </row>
    <row r="562" ht="14.25" customHeight="1">
      <c r="G562" s="174" t="s">
        <v>2281</v>
      </c>
      <c r="H562" s="174" t="s">
        <v>1664</v>
      </c>
      <c r="I562" s="174" t="str">
        <f t="shared" si="1"/>
        <v>NORDESTE</v>
      </c>
    </row>
    <row r="563" ht="14.25" customHeight="1">
      <c r="G563" s="174" t="s">
        <v>2282</v>
      </c>
      <c r="H563" s="174" t="s">
        <v>1750</v>
      </c>
      <c r="I563" s="174" t="str">
        <f t="shared" si="1"/>
        <v>SUDESTE</v>
      </c>
    </row>
    <row r="564" ht="14.25" customHeight="1">
      <c r="G564" s="174" t="s">
        <v>2283</v>
      </c>
      <c r="H564" s="174" t="s">
        <v>1710</v>
      </c>
      <c r="I564" s="174" t="str">
        <f t="shared" si="1"/>
        <v>CENTRO OESTE</v>
      </c>
    </row>
    <row r="565" ht="14.25" customHeight="1">
      <c r="G565" s="174" t="s">
        <v>2284</v>
      </c>
      <c r="H565" s="174" t="s">
        <v>1690</v>
      </c>
      <c r="I565" s="174" t="str">
        <f t="shared" si="1"/>
        <v>NORDESTE</v>
      </c>
    </row>
    <row r="566" ht="14.25" customHeight="1">
      <c r="G566" s="174" t="s">
        <v>2285</v>
      </c>
      <c r="H566" s="174" t="s">
        <v>1750</v>
      </c>
      <c r="I566" s="174" t="str">
        <f t="shared" si="1"/>
        <v>SUDESTE</v>
      </c>
    </row>
    <row r="567" ht="14.25" customHeight="1">
      <c r="G567" s="174" t="s">
        <v>2286</v>
      </c>
      <c r="H567" s="174" t="s">
        <v>1719</v>
      </c>
      <c r="I567" s="174" t="str">
        <f t="shared" si="1"/>
        <v>NORDESTE</v>
      </c>
    </row>
    <row r="568" ht="14.25" customHeight="1">
      <c r="G568" s="174" t="s">
        <v>2287</v>
      </c>
      <c r="H568" s="174" t="s">
        <v>1750</v>
      </c>
      <c r="I568" s="174" t="str">
        <f t="shared" si="1"/>
        <v>SUDESTE</v>
      </c>
    </row>
    <row r="569" ht="14.25" customHeight="1">
      <c r="G569" s="174" t="s">
        <v>2288</v>
      </c>
      <c r="H569" s="174" t="s">
        <v>1690</v>
      </c>
      <c r="I569" s="174" t="str">
        <f t="shared" si="1"/>
        <v>NORDESTE</v>
      </c>
    </row>
    <row r="570" ht="14.25" customHeight="1">
      <c r="G570" s="174" t="s">
        <v>2289</v>
      </c>
      <c r="H570" s="174" t="s">
        <v>1690</v>
      </c>
      <c r="I570" s="174" t="str">
        <f t="shared" si="1"/>
        <v>NORDESTE</v>
      </c>
    </row>
    <row r="571" ht="14.25" customHeight="1">
      <c r="G571" s="174" t="s">
        <v>2290</v>
      </c>
      <c r="H571" s="174" t="s">
        <v>1710</v>
      </c>
      <c r="I571" s="174" t="str">
        <f t="shared" si="1"/>
        <v>CENTRO OESTE</v>
      </c>
    </row>
    <row r="572" ht="14.25" customHeight="1">
      <c r="G572" s="174" t="s">
        <v>2291</v>
      </c>
      <c r="H572" s="174" t="s">
        <v>1702</v>
      </c>
      <c r="I572" s="174" t="str">
        <f t="shared" si="1"/>
        <v>SUL</v>
      </c>
    </row>
    <row r="573" ht="14.25" customHeight="1">
      <c r="G573" s="174" t="s">
        <v>2292</v>
      </c>
      <c r="H573" s="174" t="s">
        <v>1658</v>
      </c>
      <c r="I573" s="174" t="str">
        <f t="shared" si="1"/>
        <v>CENTRO OESTE</v>
      </c>
    </row>
    <row r="574" ht="14.25" customHeight="1">
      <c r="G574" s="174" t="s">
        <v>2293</v>
      </c>
      <c r="H574" s="174" t="s">
        <v>1666</v>
      </c>
      <c r="I574" s="174" t="str">
        <f t="shared" si="1"/>
        <v>SUDESTE</v>
      </c>
    </row>
    <row r="575" ht="14.25" customHeight="1">
      <c r="G575" s="174" t="s">
        <v>2294</v>
      </c>
      <c r="H575" s="174" t="s">
        <v>1704</v>
      </c>
      <c r="I575" s="174" t="str">
        <f t="shared" si="1"/>
        <v>NORDESTE</v>
      </c>
    </row>
    <row r="576" ht="14.25" customHeight="1">
      <c r="G576" s="174" t="s">
        <v>2295</v>
      </c>
      <c r="H576" s="174" t="s">
        <v>1702</v>
      </c>
      <c r="I576" s="174" t="str">
        <f t="shared" si="1"/>
        <v>SUL</v>
      </c>
    </row>
    <row r="577" ht="14.25" customHeight="1">
      <c r="G577" s="174" t="s">
        <v>2296</v>
      </c>
      <c r="H577" s="174" t="s">
        <v>1725</v>
      </c>
      <c r="I577" s="174" t="str">
        <f t="shared" si="1"/>
        <v>NORDESTE</v>
      </c>
    </row>
    <row r="578" ht="14.25" customHeight="1">
      <c r="G578" s="174" t="s">
        <v>2297</v>
      </c>
      <c r="H578" s="174" t="s">
        <v>1706</v>
      </c>
      <c r="I578" s="174" t="str">
        <f t="shared" si="1"/>
        <v>SUL</v>
      </c>
    </row>
    <row r="579" ht="14.25" customHeight="1">
      <c r="G579" s="174" t="s">
        <v>2298</v>
      </c>
      <c r="H579" s="174" t="s">
        <v>1704</v>
      </c>
      <c r="I579" s="174" t="str">
        <f t="shared" si="1"/>
        <v>NORDESTE</v>
      </c>
    </row>
    <row r="580" ht="14.25" customHeight="1">
      <c r="G580" s="174" t="s">
        <v>2299</v>
      </c>
      <c r="H580" s="174" t="s">
        <v>1687</v>
      </c>
      <c r="I580" s="174" t="str">
        <f t="shared" si="1"/>
        <v>NORTE</v>
      </c>
    </row>
    <row r="581" ht="14.25" customHeight="1">
      <c r="G581" s="174" t="s">
        <v>2299</v>
      </c>
      <c r="H581" s="174" t="s">
        <v>1719</v>
      </c>
      <c r="I581" s="174" t="str">
        <f t="shared" si="1"/>
        <v>NORDESTE</v>
      </c>
    </row>
    <row r="582" ht="14.25" customHeight="1">
      <c r="G582" s="174" t="s">
        <v>2299</v>
      </c>
      <c r="H582" s="174" t="s">
        <v>1664</v>
      </c>
      <c r="I582" s="174" t="str">
        <f t="shared" si="1"/>
        <v>NORDESTE</v>
      </c>
    </row>
    <row r="583" ht="14.25" customHeight="1">
      <c r="G583" s="174" t="s">
        <v>2300</v>
      </c>
      <c r="H583" s="174" t="s">
        <v>1717</v>
      </c>
      <c r="I583" s="174" t="str">
        <f t="shared" si="1"/>
        <v>NORDESTE</v>
      </c>
    </row>
    <row r="584" ht="14.25" customHeight="1">
      <c r="G584" s="174" t="s">
        <v>2301</v>
      </c>
      <c r="H584" s="174" t="s">
        <v>1717</v>
      </c>
      <c r="I584" s="174" t="str">
        <f t="shared" si="1"/>
        <v>NORDESTE</v>
      </c>
    </row>
    <row r="585" ht="14.25" customHeight="1">
      <c r="G585" s="174" t="s">
        <v>2302</v>
      </c>
      <c r="H585" s="174" t="s">
        <v>1719</v>
      </c>
      <c r="I585" s="174" t="str">
        <f t="shared" si="1"/>
        <v>NORDESTE</v>
      </c>
    </row>
    <row r="586" ht="14.25" customHeight="1">
      <c r="G586" s="174" t="s">
        <v>2303</v>
      </c>
      <c r="H586" s="174" t="s">
        <v>1725</v>
      </c>
      <c r="I586" s="174" t="str">
        <f t="shared" si="1"/>
        <v>NORDESTE</v>
      </c>
    </row>
    <row r="587" ht="14.25" customHeight="1">
      <c r="G587" s="174" t="s">
        <v>2304</v>
      </c>
      <c r="H587" s="174" t="s">
        <v>1730</v>
      </c>
      <c r="I587" s="174" t="str">
        <f t="shared" si="1"/>
        <v>SUDESTE</v>
      </c>
    </row>
    <row r="588" ht="14.25" customHeight="1">
      <c r="G588" s="174" t="s">
        <v>2305</v>
      </c>
      <c r="H588" s="174" t="s">
        <v>1666</v>
      </c>
      <c r="I588" s="174" t="str">
        <f t="shared" si="1"/>
        <v>SUDESTE</v>
      </c>
    </row>
    <row r="589" ht="14.25" customHeight="1">
      <c r="G589" s="174" t="s">
        <v>2306</v>
      </c>
      <c r="H589" s="174" t="s">
        <v>1685</v>
      </c>
      <c r="I589" s="174" t="str">
        <f t="shared" si="1"/>
        <v>NORDESTE</v>
      </c>
    </row>
    <row r="590" ht="14.25" customHeight="1">
      <c r="G590" s="174" t="s">
        <v>2306</v>
      </c>
      <c r="H590" s="174" t="s">
        <v>1706</v>
      </c>
      <c r="I590" s="174" t="str">
        <f t="shared" si="1"/>
        <v>SUL</v>
      </c>
    </row>
    <row r="591" ht="14.25" customHeight="1">
      <c r="G591" s="174" t="s">
        <v>2307</v>
      </c>
      <c r="H591" s="174" t="s">
        <v>1685</v>
      </c>
      <c r="I591" s="174" t="str">
        <f t="shared" si="1"/>
        <v>NORDESTE</v>
      </c>
    </row>
    <row r="592" ht="14.25" customHeight="1">
      <c r="G592" s="174" t="s">
        <v>2308</v>
      </c>
      <c r="H592" s="174" t="s">
        <v>1666</v>
      </c>
      <c r="I592" s="174" t="str">
        <f t="shared" si="1"/>
        <v>SUDESTE</v>
      </c>
    </row>
    <row r="593" ht="14.25" customHeight="1">
      <c r="G593" s="174" t="s">
        <v>2309</v>
      </c>
      <c r="H593" s="174" t="s">
        <v>1717</v>
      </c>
      <c r="I593" s="174" t="str">
        <f t="shared" si="1"/>
        <v>NORDESTE</v>
      </c>
    </row>
    <row r="594" ht="14.25" customHeight="1">
      <c r="G594" s="174" t="s">
        <v>2310</v>
      </c>
      <c r="H594" s="174" t="s">
        <v>1664</v>
      </c>
      <c r="I594" s="174" t="str">
        <f t="shared" si="1"/>
        <v>NORDESTE</v>
      </c>
    </row>
    <row r="595" ht="14.25" customHeight="1">
      <c r="G595" s="174" t="s">
        <v>2311</v>
      </c>
      <c r="H595" s="174" t="s">
        <v>1666</v>
      </c>
      <c r="I595" s="174" t="str">
        <f t="shared" si="1"/>
        <v>SUDESTE</v>
      </c>
    </row>
    <row r="596" ht="14.25" customHeight="1">
      <c r="G596" s="174" t="s">
        <v>2312</v>
      </c>
      <c r="H596" s="174" t="s">
        <v>1666</v>
      </c>
      <c r="I596" s="174" t="str">
        <f t="shared" si="1"/>
        <v>SUDESTE</v>
      </c>
    </row>
    <row r="597" ht="14.25" customHeight="1">
      <c r="G597" s="174" t="s">
        <v>2313</v>
      </c>
      <c r="H597" s="174" t="s">
        <v>1687</v>
      </c>
      <c r="I597" s="174" t="str">
        <f t="shared" si="1"/>
        <v>NORTE</v>
      </c>
    </row>
    <row r="598" ht="14.25" customHeight="1">
      <c r="G598" s="174" t="s">
        <v>2314</v>
      </c>
      <c r="H598" s="174" t="s">
        <v>1725</v>
      </c>
      <c r="I598" s="174" t="str">
        <f t="shared" si="1"/>
        <v>NORDESTE</v>
      </c>
    </row>
    <row r="599" ht="14.25" customHeight="1">
      <c r="G599" s="174" t="s">
        <v>2315</v>
      </c>
      <c r="H599" s="174" t="s">
        <v>1704</v>
      </c>
      <c r="I599" s="174" t="str">
        <f t="shared" si="1"/>
        <v>NORDESTE</v>
      </c>
    </row>
    <row r="600" ht="14.25" customHeight="1">
      <c r="G600" s="174" t="s">
        <v>2316</v>
      </c>
      <c r="H600" s="174" t="s">
        <v>1706</v>
      </c>
      <c r="I600" s="174" t="str">
        <f t="shared" si="1"/>
        <v>SUL</v>
      </c>
    </row>
    <row r="601" ht="14.25" customHeight="1">
      <c r="G601" s="174" t="s">
        <v>2317</v>
      </c>
      <c r="H601" s="174" t="s">
        <v>1687</v>
      </c>
      <c r="I601" s="174" t="str">
        <f t="shared" si="1"/>
        <v>NORTE</v>
      </c>
    </row>
    <row r="602" ht="14.25" customHeight="1">
      <c r="G602" s="174" t="s">
        <v>2318</v>
      </c>
      <c r="H602" s="174" t="s">
        <v>1672</v>
      </c>
      <c r="I602" s="174" t="str">
        <f t="shared" si="1"/>
        <v>NORTE</v>
      </c>
    </row>
    <row r="603" ht="14.25" customHeight="1">
      <c r="G603" s="174" t="s">
        <v>2319</v>
      </c>
      <c r="H603" s="174" t="s">
        <v>1742</v>
      </c>
      <c r="I603" s="174" t="str">
        <f t="shared" si="1"/>
        <v>SUL</v>
      </c>
    </row>
    <row r="604" ht="14.25" customHeight="1">
      <c r="G604" s="174" t="s">
        <v>2320</v>
      </c>
      <c r="H604" s="174" t="s">
        <v>1750</v>
      </c>
      <c r="I604" s="174" t="str">
        <f t="shared" si="1"/>
        <v>SUDESTE</v>
      </c>
    </row>
    <row r="605" ht="14.25" customHeight="1">
      <c r="G605" s="174" t="s">
        <v>2321</v>
      </c>
      <c r="H605" s="174" t="s">
        <v>1733</v>
      </c>
      <c r="I605" s="174" t="str">
        <f t="shared" si="1"/>
        <v>NORDESTE</v>
      </c>
    </row>
    <row r="606" ht="14.25" customHeight="1">
      <c r="G606" s="174" t="s">
        <v>2322</v>
      </c>
      <c r="H606" s="174" t="s">
        <v>1742</v>
      </c>
      <c r="I606" s="174" t="str">
        <f t="shared" si="1"/>
        <v>SUL</v>
      </c>
    </row>
    <row r="607" ht="14.25" customHeight="1">
      <c r="G607" s="174" t="s">
        <v>2323</v>
      </c>
      <c r="H607" s="174" t="s">
        <v>1704</v>
      </c>
      <c r="I607" s="174" t="str">
        <f t="shared" si="1"/>
        <v>NORDESTE</v>
      </c>
    </row>
    <row r="608" ht="14.25" customHeight="1">
      <c r="G608" s="174" t="s">
        <v>2324</v>
      </c>
      <c r="H608" s="174" t="s">
        <v>1666</v>
      </c>
      <c r="I608" s="174" t="str">
        <f t="shared" si="1"/>
        <v>SUDESTE</v>
      </c>
    </row>
    <row r="609" ht="14.25" customHeight="1">
      <c r="G609" s="174" t="s">
        <v>2325</v>
      </c>
      <c r="H609" s="174" t="s">
        <v>1666</v>
      </c>
      <c r="I609" s="174" t="str">
        <f t="shared" si="1"/>
        <v>SUDESTE</v>
      </c>
    </row>
    <row r="610" ht="14.25" customHeight="1">
      <c r="G610" s="174" t="s">
        <v>2326</v>
      </c>
      <c r="H610" s="174" t="s">
        <v>1719</v>
      </c>
      <c r="I610" s="174" t="str">
        <f t="shared" si="1"/>
        <v>NORDESTE</v>
      </c>
    </row>
    <row r="611" ht="14.25" customHeight="1">
      <c r="G611" s="174" t="s">
        <v>2327</v>
      </c>
      <c r="H611" s="174" t="s">
        <v>1750</v>
      </c>
      <c r="I611" s="174" t="str">
        <f t="shared" si="1"/>
        <v>SUDESTE</v>
      </c>
    </row>
    <row r="612" ht="14.25" customHeight="1">
      <c r="G612" s="174" t="s">
        <v>2328</v>
      </c>
      <c r="H612" s="174" t="s">
        <v>1704</v>
      </c>
      <c r="I612" s="174" t="str">
        <f t="shared" si="1"/>
        <v>NORDESTE</v>
      </c>
    </row>
    <row r="613" ht="14.25" customHeight="1">
      <c r="G613" s="174" t="s">
        <v>2329</v>
      </c>
      <c r="H613" s="174" t="s">
        <v>1721</v>
      </c>
      <c r="I613" s="174" t="str">
        <f t="shared" si="1"/>
        <v>NORTE</v>
      </c>
    </row>
    <row r="614" ht="14.25" customHeight="1">
      <c r="G614" s="174" t="s">
        <v>2330</v>
      </c>
      <c r="H614" s="174" t="s">
        <v>1750</v>
      </c>
      <c r="I614" s="174" t="str">
        <f t="shared" si="1"/>
        <v>SUDESTE</v>
      </c>
    </row>
    <row r="615" ht="14.25" customHeight="1">
      <c r="G615" s="174" t="s">
        <v>2331</v>
      </c>
      <c r="H615" s="174" t="s">
        <v>1725</v>
      </c>
      <c r="I615" s="174" t="str">
        <f t="shared" si="1"/>
        <v>NORDESTE</v>
      </c>
    </row>
    <row r="616" ht="14.25" customHeight="1">
      <c r="G616" s="174" t="s">
        <v>2332</v>
      </c>
      <c r="H616" s="174" t="s">
        <v>1666</v>
      </c>
      <c r="I616" s="174" t="str">
        <f t="shared" si="1"/>
        <v>SUDESTE</v>
      </c>
    </row>
    <row r="617" ht="14.25" customHeight="1">
      <c r="G617" s="174" t="s">
        <v>2333</v>
      </c>
      <c r="H617" s="174" t="s">
        <v>1672</v>
      </c>
      <c r="I617" s="174" t="str">
        <f t="shared" si="1"/>
        <v>NORTE</v>
      </c>
    </row>
    <row r="618" ht="14.25" customHeight="1">
      <c r="G618" s="174" t="s">
        <v>2334</v>
      </c>
      <c r="H618" s="174" t="s">
        <v>1717</v>
      </c>
      <c r="I618" s="174" t="str">
        <f t="shared" si="1"/>
        <v>NORDESTE</v>
      </c>
    </row>
    <row r="619" ht="14.25" customHeight="1">
      <c r="G619" s="174" t="s">
        <v>2335</v>
      </c>
      <c r="H619" s="174" t="s">
        <v>1725</v>
      </c>
      <c r="I619" s="174" t="str">
        <f t="shared" si="1"/>
        <v>NORDESTE</v>
      </c>
    </row>
    <row r="620" ht="14.25" customHeight="1">
      <c r="G620" s="174" t="s">
        <v>2336</v>
      </c>
      <c r="H620" s="174" t="s">
        <v>1666</v>
      </c>
      <c r="I620" s="174" t="str">
        <f t="shared" si="1"/>
        <v>SUDESTE</v>
      </c>
    </row>
    <row r="621" ht="14.25" customHeight="1">
      <c r="G621" s="174" t="s">
        <v>2337</v>
      </c>
      <c r="H621" s="174" t="s">
        <v>1717</v>
      </c>
      <c r="I621" s="174" t="str">
        <f t="shared" si="1"/>
        <v>NORDESTE</v>
      </c>
    </row>
    <row r="622" ht="14.25" customHeight="1">
      <c r="G622" s="174" t="s">
        <v>2338</v>
      </c>
      <c r="H622" s="174" t="s">
        <v>1666</v>
      </c>
      <c r="I622" s="174" t="str">
        <f t="shared" si="1"/>
        <v>SUDESTE</v>
      </c>
    </row>
    <row r="623" ht="14.25" customHeight="1">
      <c r="G623" s="174" t="s">
        <v>2339</v>
      </c>
      <c r="H623" s="174" t="s">
        <v>1666</v>
      </c>
      <c r="I623" s="174" t="str">
        <f t="shared" si="1"/>
        <v>SUDESTE</v>
      </c>
    </row>
    <row r="624" ht="14.25" customHeight="1">
      <c r="G624" s="174" t="s">
        <v>2340</v>
      </c>
      <c r="H624" s="174" t="s">
        <v>1706</v>
      </c>
      <c r="I624" s="174" t="str">
        <f t="shared" si="1"/>
        <v>SUL</v>
      </c>
    </row>
    <row r="625" ht="14.25" customHeight="1">
      <c r="G625" s="174" t="s">
        <v>2341</v>
      </c>
      <c r="H625" s="174" t="s">
        <v>1750</v>
      </c>
      <c r="I625" s="174" t="str">
        <f t="shared" si="1"/>
        <v>SUDESTE</v>
      </c>
    </row>
    <row r="626" ht="14.25" customHeight="1">
      <c r="G626" s="174" t="s">
        <v>2342</v>
      </c>
      <c r="H626" s="174" t="s">
        <v>1666</v>
      </c>
      <c r="I626" s="174" t="str">
        <f t="shared" si="1"/>
        <v>SUDESTE</v>
      </c>
    </row>
    <row r="627" ht="14.25" customHeight="1">
      <c r="G627" s="174" t="s">
        <v>2343</v>
      </c>
      <c r="H627" s="174" t="s">
        <v>1750</v>
      </c>
      <c r="I627" s="174" t="str">
        <f t="shared" si="1"/>
        <v>SUDESTE</v>
      </c>
    </row>
    <row r="628" ht="14.25" customHeight="1">
      <c r="G628" s="174" t="s">
        <v>2344</v>
      </c>
      <c r="H628" s="174" t="s">
        <v>1750</v>
      </c>
      <c r="I628" s="174" t="str">
        <f t="shared" si="1"/>
        <v>SUDESTE</v>
      </c>
    </row>
    <row r="629" ht="14.25" customHeight="1">
      <c r="G629" s="174" t="s">
        <v>2345</v>
      </c>
      <c r="H629" s="174" t="s">
        <v>1685</v>
      </c>
      <c r="I629" s="174" t="str">
        <f t="shared" si="1"/>
        <v>NORDESTE</v>
      </c>
    </row>
    <row r="630" ht="14.25" customHeight="1">
      <c r="G630" s="174" t="s">
        <v>2346</v>
      </c>
      <c r="H630" s="174" t="s">
        <v>1702</v>
      </c>
      <c r="I630" s="174" t="str">
        <f t="shared" si="1"/>
        <v>SUL</v>
      </c>
    </row>
    <row r="631" ht="14.25" customHeight="1">
      <c r="G631" s="174" t="s">
        <v>2347</v>
      </c>
      <c r="H631" s="174" t="s">
        <v>1706</v>
      </c>
      <c r="I631" s="174" t="str">
        <f t="shared" si="1"/>
        <v>SUL</v>
      </c>
    </row>
    <row r="632" ht="14.25" customHeight="1">
      <c r="G632" s="174" t="s">
        <v>2348</v>
      </c>
      <c r="H632" s="174" t="s">
        <v>1666</v>
      </c>
      <c r="I632" s="174" t="str">
        <f t="shared" si="1"/>
        <v>SUDESTE</v>
      </c>
    </row>
    <row r="633" ht="14.25" customHeight="1">
      <c r="G633" s="174" t="s">
        <v>2348</v>
      </c>
      <c r="H633" s="174" t="s">
        <v>1698</v>
      </c>
      <c r="I633" s="174" t="str">
        <f t="shared" si="1"/>
        <v>SUDESTE</v>
      </c>
    </row>
    <row r="634" ht="14.25" customHeight="1">
      <c r="G634" s="174" t="s">
        <v>2348</v>
      </c>
      <c r="H634" s="174" t="s">
        <v>1702</v>
      </c>
      <c r="I634" s="174" t="str">
        <f t="shared" si="1"/>
        <v>SUL</v>
      </c>
    </row>
    <row r="635" ht="14.25" customHeight="1">
      <c r="G635" s="174" t="s">
        <v>2349</v>
      </c>
      <c r="H635" s="174" t="s">
        <v>1702</v>
      </c>
      <c r="I635" s="174" t="str">
        <f t="shared" si="1"/>
        <v>SUL</v>
      </c>
    </row>
    <row r="636" ht="14.25" customHeight="1">
      <c r="G636" s="174" t="s">
        <v>2350</v>
      </c>
      <c r="H636" s="174" t="s">
        <v>1750</v>
      </c>
      <c r="I636" s="174" t="str">
        <f t="shared" si="1"/>
        <v>SUDESTE</v>
      </c>
    </row>
    <row r="637" ht="14.25" customHeight="1">
      <c r="G637" s="174" t="s">
        <v>2351</v>
      </c>
      <c r="H637" s="174" t="s">
        <v>1725</v>
      </c>
      <c r="I637" s="174" t="str">
        <f t="shared" si="1"/>
        <v>NORDESTE</v>
      </c>
    </row>
    <row r="638" ht="14.25" customHeight="1">
      <c r="G638" s="174" t="s">
        <v>2352</v>
      </c>
      <c r="H638" s="174" t="s">
        <v>1685</v>
      </c>
      <c r="I638" s="174" t="str">
        <f t="shared" si="1"/>
        <v>NORDESTE</v>
      </c>
    </row>
    <row r="639" ht="14.25" customHeight="1">
      <c r="G639" s="174" t="s">
        <v>2353</v>
      </c>
      <c r="H639" s="174" t="s">
        <v>1719</v>
      </c>
      <c r="I639" s="174" t="str">
        <f t="shared" si="1"/>
        <v>NORDESTE</v>
      </c>
    </row>
    <row r="640" ht="14.25" customHeight="1">
      <c r="G640" s="174" t="s">
        <v>2354</v>
      </c>
      <c r="H640" s="174" t="s">
        <v>1702</v>
      </c>
      <c r="I640" s="174" t="str">
        <f t="shared" si="1"/>
        <v>SUL</v>
      </c>
    </row>
    <row r="641" ht="14.25" customHeight="1">
      <c r="G641" s="174" t="s">
        <v>2355</v>
      </c>
      <c r="H641" s="174" t="s">
        <v>1690</v>
      </c>
      <c r="I641" s="174" t="str">
        <f t="shared" si="1"/>
        <v>NORDESTE</v>
      </c>
    </row>
    <row r="642" ht="14.25" customHeight="1">
      <c r="G642" s="174" t="s">
        <v>2356</v>
      </c>
      <c r="H642" s="174" t="s">
        <v>1739</v>
      </c>
      <c r="I642" s="174" t="str">
        <f t="shared" si="1"/>
        <v>NORTE</v>
      </c>
    </row>
    <row r="643" ht="14.25" customHeight="1">
      <c r="G643" s="174" t="s">
        <v>2356</v>
      </c>
      <c r="H643" s="174" t="s">
        <v>1719</v>
      </c>
      <c r="I643" s="174" t="str">
        <f t="shared" si="1"/>
        <v>NORDESTE</v>
      </c>
    </row>
    <row r="644" ht="14.25" customHeight="1">
      <c r="G644" s="174" t="s">
        <v>2357</v>
      </c>
      <c r="H644" s="174" t="s">
        <v>1702</v>
      </c>
      <c r="I644" s="174" t="str">
        <f t="shared" si="1"/>
        <v>SUL</v>
      </c>
    </row>
    <row r="645" ht="14.25" customHeight="1">
      <c r="G645" s="174" t="s">
        <v>2358</v>
      </c>
      <c r="H645" s="174" t="s">
        <v>1742</v>
      </c>
      <c r="I645" s="174" t="str">
        <f t="shared" si="1"/>
        <v>SUL</v>
      </c>
    </row>
    <row r="646" ht="14.25" customHeight="1">
      <c r="G646" s="174" t="s">
        <v>2359</v>
      </c>
      <c r="H646" s="174" t="s">
        <v>1742</v>
      </c>
      <c r="I646" s="174" t="str">
        <f t="shared" si="1"/>
        <v>SUL</v>
      </c>
    </row>
    <row r="647" ht="14.25" customHeight="1">
      <c r="G647" s="174" t="s">
        <v>2360</v>
      </c>
      <c r="H647" s="174" t="s">
        <v>1742</v>
      </c>
      <c r="I647" s="174" t="str">
        <f t="shared" si="1"/>
        <v>SUL</v>
      </c>
    </row>
    <row r="648" ht="14.25" customHeight="1">
      <c r="G648" s="174" t="s">
        <v>2361</v>
      </c>
      <c r="H648" s="174" t="s">
        <v>1704</v>
      </c>
      <c r="I648" s="174" t="str">
        <f t="shared" si="1"/>
        <v>NORDESTE</v>
      </c>
    </row>
    <row r="649" ht="14.25" customHeight="1">
      <c r="G649" s="174" t="s">
        <v>2362</v>
      </c>
      <c r="H649" s="174" t="s">
        <v>1742</v>
      </c>
      <c r="I649" s="174" t="str">
        <f t="shared" si="1"/>
        <v>SUL</v>
      </c>
    </row>
    <row r="650" ht="14.25" customHeight="1">
      <c r="G650" s="174" t="s">
        <v>2363</v>
      </c>
      <c r="H650" s="174" t="s">
        <v>1672</v>
      </c>
      <c r="I650" s="174" t="str">
        <f t="shared" si="1"/>
        <v>NORTE</v>
      </c>
    </row>
    <row r="651" ht="14.25" customHeight="1">
      <c r="G651" s="174" t="s">
        <v>2364</v>
      </c>
      <c r="H651" s="174" t="s">
        <v>1742</v>
      </c>
      <c r="I651" s="174" t="str">
        <f t="shared" si="1"/>
        <v>SUL</v>
      </c>
    </row>
    <row r="652" ht="14.25" customHeight="1">
      <c r="G652" s="174" t="s">
        <v>2365</v>
      </c>
      <c r="H652" s="174" t="s">
        <v>1685</v>
      </c>
      <c r="I652" s="174" t="str">
        <f t="shared" si="1"/>
        <v>NORDESTE</v>
      </c>
    </row>
    <row r="653" ht="14.25" customHeight="1">
      <c r="G653" s="174" t="s">
        <v>2366</v>
      </c>
      <c r="H653" s="174" t="s">
        <v>1664</v>
      </c>
      <c r="I653" s="174" t="str">
        <f t="shared" si="1"/>
        <v>NORDESTE</v>
      </c>
    </row>
    <row r="654" ht="14.25" customHeight="1">
      <c r="G654" s="174" t="s">
        <v>2367</v>
      </c>
      <c r="H654" s="174" t="s">
        <v>1672</v>
      </c>
      <c r="I654" s="174" t="str">
        <f t="shared" si="1"/>
        <v>NORTE</v>
      </c>
    </row>
    <row r="655" ht="14.25" customHeight="1">
      <c r="G655" s="174" t="s">
        <v>2368</v>
      </c>
      <c r="H655" s="174" t="s">
        <v>1725</v>
      </c>
      <c r="I655" s="174" t="str">
        <f t="shared" si="1"/>
        <v>NORDESTE</v>
      </c>
    </row>
    <row r="656" ht="14.25" customHeight="1">
      <c r="G656" s="174" t="s">
        <v>2368</v>
      </c>
      <c r="H656" s="174" t="s">
        <v>1750</v>
      </c>
      <c r="I656" s="174" t="str">
        <f t="shared" si="1"/>
        <v>SUDESTE</v>
      </c>
    </row>
    <row r="657" ht="14.25" customHeight="1">
      <c r="G657" s="174" t="s">
        <v>2369</v>
      </c>
      <c r="H657" s="174" t="s">
        <v>1666</v>
      </c>
      <c r="I657" s="174" t="str">
        <f t="shared" si="1"/>
        <v>SUDESTE</v>
      </c>
    </row>
    <row r="658" ht="14.25" customHeight="1">
      <c r="G658" s="174" t="s">
        <v>2370</v>
      </c>
      <c r="H658" s="174" t="s">
        <v>1706</v>
      </c>
      <c r="I658" s="174" t="str">
        <f t="shared" si="1"/>
        <v>SUL</v>
      </c>
    </row>
    <row r="659" ht="14.25" customHeight="1">
      <c r="G659" s="174" t="s">
        <v>2371</v>
      </c>
      <c r="H659" s="174" t="s">
        <v>1666</v>
      </c>
      <c r="I659" s="174" t="str">
        <f t="shared" si="1"/>
        <v>SUDESTE</v>
      </c>
    </row>
    <row r="660" ht="14.25" customHeight="1">
      <c r="G660" s="174" t="s">
        <v>2372</v>
      </c>
      <c r="H660" s="174" t="s">
        <v>1702</v>
      </c>
      <c r="I660" s="174" t="str">
        <f t="shared" si="1"/>
        <v>SUL</v>
      </c>
    </row>
    <row r="661" ht="14.25" customHeight="1">
      <c r="G661" s="174" t="s">
        <v>2373</v>
      </c>
      <c r="H661" s="174" t="s">
        <v>1733</v>
      </c>
      <c r="I661" s="174" t="str">
        <f t="shared" si="1"/>
        <v>NORDESTE</v>
      </c>
    </row>
    <row r="662" ht="14.25" customHeight="1">
      <c r="G662" s="174" t="s">
        <v>2374</v>
      </c>
      <c r="H662" s="174" t="s">
        <v>1717</v>
      </c>
      <c r="I662" s="174" t="str">
        <f t="shared" si="1"/>
        <v>NORDESTE</v>
      </c>
    </row>
    <row r="663" ht="14.25" customHeight="1">
      <c r="G663" s="174" t="s">
        <v>2375</v>
      </c>
      <c r="H663" s="174" t="s">
        <v>1710</v>
      </c>
      <c r="I663" s="174" t="str">
        <f t="shared" si="1"/>
        <v>CENTRO OESTE</v>
      </c>
    </row>
    <row r="664" ht="14.25" customHeight="1">
      <c r="G664" s="174" t="s">
        <v>2376</v>
      </c>
      <c r="H664" s="174" t="s">
        <v>1750</v>
      </c>
      <c r="I664" s="174" t="str">
        <f t="shared" si="1"/>
        <v>SUDESTE</v>
      </c>
    </row>
    <row r="665" ht="14.25" customHeight="1">
      <c r="G665" s="174" t="s">
        <v>2377</v>
      </c>
      <c r="H665" s="174" t="s">
        <v>1750</v>
      </c>
      <c r="I665" s="174" t="str">
        <f t="shared" si="1"/>
        <v>SUDESTE</v>
      </c>
    </row>
    <row r="666" ht="14.25" customHeight="1">
      <c r="G666" s="174" t="s">
        <v>2378</v>
      </c>
      <c r="H666" s="174" t="s">
        <v>1717</v>
      </c>
      <c r="I666" s="174" t="str">
        <f t="shared" si="1"/>
        <v>NORDESTE</v>
      </c>
    </row>
    <row r="667" ht="14.25" customHeight="1">
      <c r="G667" s="174" t="s">
        <v>2379</v>
      </c>
      <c r="H667" s="174" t="s">
        <v>1666</v>
      </c>
      <c r="I667" s="174" t="str">
        <f t="shared" si="1"/>
        <v>SUDESTE</v>
      </c>
    </row>
    <row r="668" ht="14.25" customHeight="1">
      <c r="G668" s="174" t="s">
        <v>2380</v>
      </c>
      <c r="H668" s="174" t="s">
        <v>1704</v>
      </c>
      <c r="I668" s="174" t="str">
        <f t="shared" si="1"/>
        <v>NORDESTE</v>
      </c>
    </row>
    <row r="669" ht="14.25" customHeight="1">
      <c r="G669" s="174" t="s">
        <v>2380</v>
      </c>
      <c r="H669" s="174" t="s">
        <v>1717</v>
      </c>
      <c r="I669" s="174" t="str">
        <f t="shared" si="1"/>
        <v>NORDESTE</v>
      </c>
    </row>
    <row r="670" ht="14.25" customHeight="1">
      <c r="G670" s="174" t="s">
        <v>2380</v>
      </c>
      <c r="H670" s="174" t="s">
        <v>1730</v>
      </c>
      <c r="I670" s="174" t="str">
        <f t="shared" si="1"/>
        <v>SUDESTE</v>
      </c>
    </row>
    <row r="671" ht="14.25" customHeight="1">
      <c r="G671" s="174" t="s">
        <v>2381</v>
      </c>
      <c r="H671" s="174" t="s">
        <v>1706</v>
      </c>
      <c r="I671" s="174" t="str">
        <f t="shared" si="1"/>
        <v>SUL</v>
      </c>
    </row>
    <row r="672" ht="14.25" customHeight="1">
      <c r="G672" s="174" t="s">
        <v>2382</v>
      </c>
      <c r="H672" s="174" t="s">
        <v>1658</v>
      </c>
      <c r="I672" s="174" t="str">
        <f t="shared" si="1"/>
        <v>CENTRO OESTE</v>
      </c>
    </row>
    <row r="673" ht="14.25" customHeight="1">
      <c r="G673" s="174" t="s">
        <v>2383</v>
      </c>
      <c r="H673" s="174" t="s">
        <v>1666</v>
      </c>
      <c r="I673" s="174" t="str">
        <f t="shared" si="1"/>
        <v>SUDESTE</v>
      </c>
    </row>
    <row r="674" ht="14.25" customHeight="1">
      <c r="G674" s="174" t="s">
        <v>2384</v>
      </c>
      <c r="H674" s="174" t="s">
        <v>1725</v>
      </c>
      <c r="I674" s="174" t="str">
        <f t="shared" si="1"/>
        <v>NORDESTE</v>
      </c>
    </row>
    <row r="675" ht="14.25" customHeight="1">
      <c r="G675" s="174" t="s">
        <v>2384</v>
      </c>
      <c r="H675" s="174" t="s">
        <v>1733</v>
      </c>
      <c r="I675" s="174" t="str">
        <f t="shared" si="1"/>
        <v>NORDESTE</v>
      </c>
    </row>
    <row r="676" ht="14.25" customHeight="1">
      <c r="G676" s="174" t="s">
        <v>2384</v>
      </c>
      <c r="H676" s="174" t="s">
        <v>1719</v>
      </c>
      <c r="I676" s="174" t="str">
        <f t="shared" si="1"/>
        <v>NORDESTE</v>
      </c>
    </row>
    <row r="677" ht="14.25" customHeight="1">
      <c r="G677" s="174" t="s">
        <v>2384</v>
      </c>
      <c r="H677" s="174" t="s">
        <v>1706</v>
      </c>
      <c r="I677" s="174" t="str">
        <f t="shared" si="1"/>
        <v>SUL</v>
      </c>
    </row>
    <row r="678" ht="14.25" customHeight="1">
      <c r="G678" s="174" t="s">
        <v>2384</v>
      </c>
      <c r="H678" s="174" t="s">
        <v>1742</v>
      </c>
      <c r="I678" s="174" t="str">
        <f t="shared" si="1"/>
        <v>SUL</v>
      </c>
    </row>
    <row r="679" ht="14.25" customHeight="1">
      <c r="G679" s="174" t="s">
        <v>2385</v>
      </c>
      <c r="H679" s="174" t="s">
        <v>1685</v>
      </c>
      <c r="I679" s="174" t="str">
        <f t="shared" si="1"/>
        <v>NORDESTE</v>
      </c>
    </row>
    <row r="680" ht="14.25" customHeight="1">
      <c r="G680" s="174" t="s">
        <v>2386</v>
      </c>
      <c r="H680" s="174" t="s">
        <v>1666</v>
      </c>
      <c r="I680" s="174" t="str">
        <f t="shared" si="1"/>
        <v>SUDESTE</v>
      </c>
    </row>
    <row r="681" ht="14.25" customHeight="1">
      <c r="G681" s="174" t="s">
        <v>2387</v>
      </c>
      <c r="H681" s="174" t="s">
        <v>1685</v>
      </c>
      <c r="I681" s="174" t="str">
        <f t="shared" si="1"/>
        <v>NORDESTE</v>
      </c>
    </row>
    <row r="682" ht="14.25" customHeight="1">
      <c r="G682" s="174" t="s">
        <v>2388</v>
      </c>
      <c r="H682" s="174" t="s">
        <v>1704</v>
      </c>
      <c r="I682" s="174" t="str">
        <f t="shared" si="1"/>
        <v>NORDESTE</v>
      </c>
    </row>
    <row r="683" ht="14.25" customHeight="1">
      <c r="G683" s="174" t="s">
        <v>2389</v>
      </c>
      <c r="H683" s="174" t="s">
        <v>1658</v>
      </c>
      <c r="I683" s="174" t="str">
        <f t="shared" si="1"/>
        <v>CENTRO OESTE</v>
      </c>
    </row>
    <row r="684" ht="14.25" customHeight="1">
      <c r="G684" s="174" t="s">
        <v>2390</v>
      </c>
      <c r="H684" s="174" t="s">
        <v>1666</v>
      </c>
      <c r="I684" s="174" t="str">
        <f t="shared" si="1"/>
        <v>SUDESTE</v>
      </c>
    </row>
    <row r="685" ht="14.25" customHeight="1">
      <c r="G685" s="174" t="s">
        <v>2391</v>
      </c>
      <c r="H685" s="174" t="s">
        <v>1713</v>
      </c>
      <c r="I685" s="174" t="str">
        <f t="shared" si="1"/>
        <v>CENTRO OESTE</v>
      </c>
    </row>
    <row r="686" ht="14.25" customHeight="1">
      <c r="G686" s="174" t="s">
        <v>2392</v>
      </c>
      <c r="H686" s="174" t="s">
        <v>1666</v>
      </c>
      <c r="I686" s="174" t="str">
        <f t="shared" si="1"/>
        <v>SUDESTE</v>
      </c>
    </row>
    <row r="687" ht="14.25" customHeight="1">
      <c r="G687" s="174" t="s">
        <v>2393</v>
      </c>
      <c r="H687" s="174" t="s">
        <v>1730</v>
      </c>
      <c r="I687" s="174" t="str">
        <f t="shared" si="1"/>
        <v>SUDESTE</v>
      </c>
    </row>
    <row r="688" ht="14.25" customHeight="1">
      <c r="G688" s="174" t="s">
        <v>2394</v>
      </c>
      <c r="H688" s="174" t="s">
        <v>1698</v>
      </c>
      <c r="I688" s="174" t="str">
        <f t="shared" si="1"/>
        <v>SUDESTE</v>
      </c>
    </row>
    <row r="689" ht="14.25" customHeight="1">
      <c r="G689" s="174" t="s">
        <v>2395</v>
      </c>
      <c r="H689" s="174" t="s">
        <v>1706</v>
      </c>
      <c r="I689" s="174" t="str">
        <f t="shared" si="1"/>
        <v>SUL</v>
      </c>
    </row>
    <row r="690" ht="14.25" customHeight="1">
      <c r="G690" s="174" t="s">
        <v>2396</v>
      </c>
      <c r="H690" s="174" t="s">
        <v>1702</v>
      </c>
      <c r="I690" s="174" t="str">
        <f t="shared" si="1"/>
        <v>SUL</v>
      </c>
    </row>
    <row r="691" ht="14.25" customHeight="1">
      <c r="G691" s="174" t="s">
        <v>2397</v>
      </c>
      <c r="H691" s="174" t="s">
        <v>1687</v>
      </c>
      <c r="I691" s="174" t="str">
        <f t="shared" si="1"/>
        <v>NORTE</v>
      </c>
    </row>
    <row r="692" ht="14.25" customHeight="1">
      <c r="G692" s="174" t="s">
        <v>2397</v>
      </c>
      <c r="H692" s="174" t="s">
        <v>1721</v>
      </c>
      <c r="I692" s="174" t="str">
        <f t="shared" si="1"/>
        <v>NORTE</v>
      </c>
    </row>
    <row r="693" ht="14.25" customHeight="1">
      <c r="G693" s="174" t="s">
        <v>2398</v>
      </c>
      <c r="H693" s="174" t="s">
        <v>1750</v>
      </c>
      <c r="I693" s="174" t="str">
        <f t="shared" si="1"/>
        <v>SUDESTE</v>
      </c>
    </row>
    <row r="694" ht="14.25" customHeight="1">
      <c r="G694" s="174" t="s">
        <v>2399</v>
      </c>
      <c r="H694" s="174" t="s">
        <v>1704</v>
      </c>
      <c r="I694" s="174" t="str">
        <f t="shared" si="1"/>
        <v>NORDESTE</v>
      </c>
    </row>
    <row r="695" ht="14.25" customHeight="1">
      <c r="G695" s="174" t="s">
        <v>2400</v>
      </c>
      <c r="H695" s="174" t="s">
        <v>1742</v>
      </c>
      <c r="I695" s="174" t="str">
        <f t="shared" si="1"/>
        <v>SUL</v>
      </c>
    </row>
    <row r="696" ht="14.25" customHeight="1">
      <c r="G696" s="174" t="s">
        <v>2401</v>
      </c>
      <c r="H696" s="174" t="s">
        <v>1725</v>
      </c>
      <c r="I696" s="174" t="str">
        <f t="shared" si="1"/>
        <v>NORDESTE</v>
      </c>
    </row>
    <row r="697" ht="14.25" customHeight="1">
      <c r="G697" s="174" t="s">
        <v>2402</v>
      </c>
      <c r="H697" s="174" t="s">
        <v>1742</v>
      </c>
      <c r="I697" s="174" t="str">
        <f t="shared" si="1"/>
        <v>SUL</v>
      </c>
    </row>
    <row r="698" ht="14.25" customHeight="1">
      <c r="G698" s="174" t="s">
        <v>2403</v>
      </c>
      <c r="H698" s="174" t="s">
        <v>1666</v>
      </c>
      <c r="I698" s="174" t="str">
        <f t="shared" si="1"/>
        <v>SUDESTE</v>
      </c>
    </row>
    <row r="699" ht="14.25" customHeight="1">
      <c r="G699" s="174" t="s">
        <v>2404</v>
      </c>
      <c r="H699" s="174" t="s">
        <v>1706</v>
      </c>
      <c r="I699" s="174" t="str">
        <f t="shared" si="1"/>
        <v>SUL</v>
      </c>
    </row>
    <row r="700" ht="14.25" customHeight="1">
      <c r="G700" s="174" t="s">
        <v>2405</v>
      </c>
      <c r="H700" s="174" t="s">
        <v>1742</v>
      </c>
      <c r="I700" s="174" t="str">
        <f t="shared" si="1"/>
        <v>SUL</v>
      </c>
    </row>
    <row r="701" ht="14.25" customHeight="1">
      <c r="G701" s="174" t="s">
        <v>2406</v>
      </c>
      <c r="H701" s="174" t="s">
        <v>1719</v>
      </c>
      <c r="I701" s="174" t="str">
        <f t="shared" si="1"/>
        <v>NORDESTE</v>
      </c>
    </row>
    <row r="702" ht="14.25" customHeight="1">
      <c r="G702" s="174" t="s">
        <v>2406</v>
      </c>
      <c r="H702" s="174" t="s">
        <v>1666</v>
      </c>
      <c r="I702" s="174" t="str">
        <f t="shared" si="1"/>
        <v>SUDESTE</v>
      </c>
    </row>
    <row r="703" ht="14.25" customHeight="1">
      <c r="G703" s="174" t="s">
        <v>2406</v>
      </c>
      <c r="H703" s="174" t="s">
        <v>1702</v>
      </c>
      <c r="I703" s="174" t="str">
        <f t="shared" si="1"/>
        <v>SUL</v>
      </c>
    </row>
    <row r="704" ht="14.25" customHeight="1">
      <c r="G704" s="174" t="s">
        <v>2407</v>
      </c>
      <c r="H704" s="174" t="s">
        <v>1750</v>
      </c>
      <c r="I704" s="174" t="str">
        <f t="shared" si="1"/>
        <v>SUDESTE</v>
      </c>
    </row>
    <row r="705" ht="14.25" customHeight="1">
      <c r="G705" s="174" t="s">
        <v>2408</v>
      </c>
      <c r="H705" s="174" t="s">
        <v>1702</v>
      </c>
      <c r="I705" s="174" t="str">
        <f t="shared" si="1"/>
        <v>SUL</v>
      </c>
    </row>
    <row r="706" ht="14.25" customHeight="1">
      <c r="G706" s="174" t="s">
        <v>2409</v>
      </c>
      <c r="H706" s="174" t="s">
        <v>1706</v>
      </c>
      <c r="I706" s="174" t="str">
        <f t="shared" si="1"/>
        <v>SUL</v>
      </c>
    </row>
    <row r="707" ht="14.25" customHeight="1">
      <c r="G707" s="174" t="s">
        <v>2410</v>
      </c>
      <c r="H707" s="174" t="s">
        <v>1739</v>
      </c>
      <c r="I707" s="174" t="str">
        <f t="shared" si="1"/>
        <v>NORTE</v>
      </c>
    </row>
    <row r="708" ht="14.25" customHeight="1">
      <c r="G708" s="174" t="s">
        <v>2410</v>
      </c>
      <c r="H708" s="174" t="s">
        <v>1666</v>
      </c>
      <c r="I708" s="174" t="str">
        <f t="shared" si="1"/>
        <v>SUDESTE</v>
      </c>
    </row>
    <row r="709" ht="14.25" customHeight="1">
      <c r="G709" s="174" t="s">
        <v>2411</v>
      </c>
      <c r="H709" s="174" t="s">
        <v>1725</v>
      </c>
      <c r="I709" s="174" t="str">
        <f t="shared" si="1"/>
        <v>NORDESTE</v>
      </c>
    </row>
    <row r="710" ht="14.25" customHeight="1">
      <c r="G710" s="174" t="s">
        <v>2412</v>
      </c>
      <c r="H710" s="174" t="s">
        <v>1658</v>
      </c>
      <c r="I710" s="174" t="str">
        <f t="shared" si="1"/>
        <v>CENTRO OESTE</v>
      </c>
    </row>
    <row r="711" ht="14.25" customHeight="1">
      <c r="G711" s="174" t="s">
        <v>2413</v>
      </c>
      <c r="H711" s="174" t="s">
        <v>1666</v>
      </c>
      <c r="I711" s="174" t="str">
        <f t="shared" si="1"/>
        <v>SUDESTE</v>
      </c>
    </row>
    <row r="712" ht="14.25" customHeight="1">
      <c r="G712" s="174" t="s">
        <v>2414</v>
      </c>
      <c r="H712" s="174" t="s">
        <v>1685</v>
      </c>
      <c r="I712" s="174" t="str">
        <f t="shared" si="1"/>
        <v>NORDESTE</v>
      </c>
    </row>
    <row r="713" ht="14.25" customHeight="1">
      <c r="G713" s="174" t="s">
        <v>2415</v>
      </c>
      <c r="H713" s="174" t="s">
        <v>1687</v>
      </c>
      <c r="I713" s="174" t="str">
        <f t="shared" si="1"/>
        <v>NORTE</v>
      </c>
    </row>
    <row r="714" ht="14.25" customHeight="1">
      <c r="G714" s="174" t="s">
        <v>2415</v>
      </c>
      <c r="H714" s="174" t="s">
        <v>1717</v>
      </c>
      <c r="I714" s="174" t="str">
        <f t="shared" si="1"/>
        <v>NORDESTE</v>
      </c>
    </row>
    <row r="715" ht="14.25" customHeight="1">
      <c r="G715" s="174" t="s">
        <v>2415</v>
      </c>
      <c r="H715" s="174" t="s">
        <v>1685</v>
      </c>
      <c r="I715" s="174" t="str">
        <f t="shared" si="1"/>
        <v>NORDESTE</v>
      </c>
    </row>
    <row r="716" ht="14.25" customHeight="1">
      <c r="G716" s="174" t="s">
        <v>2415</v>
      </c>
      <c r="H716" s="174" t="s">
        <v>1710</v>
      </c>
      <c r="I716" s="174" t="str">
        <f t="shared" si="1"/>
        <v>CENTRO OESTE</v>
      </c>
    </row>
    <row r="717" ht="14.25" customHeight="1">
      <c r="G717" s="174" t="s">
        <v>2416</v>
      </c>
      <c r="H717" s="174" t="s">
        <v>1666</v>
      </c>
      <c r="I717" s="174" t="str">
        <f t="shared" si="1"/>
        <v>SUDESTE</v>
      </c>
    </row>
    <row r="718" ht="14.25" customHeight="1">
      <c r="G718" s="174" t="s">
        <v>2417</v>
      </c>
      <c r="H718" s="174" t="s">
        <v>1719</v>
      </c>
      <c r="I718" s="174" t="str">
        <f t="shared" si="1"/>
        <v>NORDESTE</v>
      </c>
    </row>
    <row r="719" ht="14.25" customHeight="1">
      <c r="G719" s="174" t="s">
        <v>2418</v>
      </c>
      <c r="H719" s="174" t="s">
        <v>1658</v>
      </c>
      <c r="I719" s="174" t="str">
        <f t="shared" si="1"/>
        <v>CENTRO OESTE</v>
      </c>
    </row>
    <row r="720" ht="14.25" customHeight="1">
      <c r="G720" s="174" t="s">
        <v>2419</v>
      </c>
      <c r="H720" s="174" t="s">
        <v>1719</v>
      </c>
      <c r="I720" s="174" t="str">
        <f t="shared" si="1"/>
        <v>NORDESTE</v>
      </c>
    </row>
    <row r="721" ht="14.25" customHeight="1">
      <c r="G721" s="174" t="s">
        <v>2420</v>
      </c>
      <c r="H721" s="174" t="s">
        <v>1742</v>
      </c>
      <c r="I721" s="174" t="str">
        <f t="shared" si="1"/>
        <v>SUL</v>
      </c>
    </row>
    <row r="722" ht="14.25" customHeight="1">
      <c r="G722" s="174" t="s">
        <v>2421</v>
      </c>
      <c r="H722" s="174" t="s">
        <v>1725</v>
      </c>
      <c r="I722" s="174" t="str">
        <f t="shared" si="1"/>
        <v>NORDESTE</v>
      </c>
    </row>
    <row r="723" ht="14.25" customHeight="1">
      <c r="G723" s="174" t="s">
        <v>2422</v>
      </c>
      <c r="H723" s="174" t="s">
        <v>1747</v>
      </c>
      <c r="I723" s="174" t="str">
        <f t="shared" si="1"/>
        <v>NORDESTE</v>
      </c>
    </row>
    <row r="724" ht="14.25" customHeight="1">
      <c r="G724" s="174" t="s">
        <v>2423</v>
      </c>
      <c r="H724" s="174" t="s">
        <v>1685</v>
      </c>
      <c r="I724" s="174" t="str">
        <f t="shared" si="1"/>
        <v>NORDESTE</v>
      </c>
    </row>
    <row r="725" ht="14.25" customHeight="1">
      <c r="G725" s="174" t="s">
        <v>2424</v>
      </c>
      <c r="H725" s="174" t="s">
        <v>1750</v>
      </c>
      <c r="I725" s="174" t="str">
        <f t="shared" si="1"/>
        <v>SUDESTE</v>
      </c>
    </row>
    <row r="726" ht="14.25" customHeight="1">
      <c r="G726" s="174" t="s">
        <v>2425</v>
      </c>
      <c r="H726" s="174" t="s">
        <v>1750</v>
      </c>
      <c r="I726" s="174" t="str">
        <f t="shared" si="1"/>
        <v>SUDESTE</v>
      </c>
    </row>
    <row r="727" ht="14.25" customHeight="1">
      <c r="G727" s="174" t="s">
        <v>2426</v>
      </c>
      <c r="H727" s="174" t="s">
        <v>1672</v>
      </c>
      <c r="I727" s="174" t="str">
        <f t="shared" si="1"/>
        <v>NORTE</v>
      </c>
    </row>
    <row r="728" ht="14.25" customHeight="1">
      <c r="G728" s="174" t="s">
        <v>2427</v>
      </c>
      <c r="H728" s="174" t="s">
        <v>1719</v>
      </c>
      <c r="I728" s="174" t="str">
        <f t="shared" si="1"/>
        <v>NORDESTE</v>
      </c>
    </row>
    <row r="729" ht="14.25" customHeight="1">
      <c r="G729" s="174" t="s">
        <v>2427</v>
      </c>
      <c r="H729" s="174" t="s">
        <v>1750</v>
      </c>
      <c r="I729" s="174" t="str">
        <f t="shared" si="1"/>
        <v>SUDESTE</v>
      </c>
    </row>
    <row r="730" ht="14.25" customHeight="1">
      <c r="G730" s="174" t="s">
        <v>2428</v>
      </c>
      <c r="H730" s="174" t="s">
        <v>1666</v>
      </c>
      <c r="I730" s="174" t="str">
        <f t="shared" si="1"/>
        <v>SUDESTE</v>
      </c>
    </row>
    <row r="731" ht="14.25" customHeight="1">
      <c r="G731" s="174" t="s">
        <v>2429</v>
      </c>
      <c r="H731" s="174" t="s">
        <v>1750</v>
      </c>
      <c r="I731" s="174" t="str">
        <f t="shared" si="1"/>
        <v>SUDESTE</v>
      </c>
    </row>
    <row r="732" ht="14.25" customHeight="1">
      <c r="G732" s="174" t="s">
        <v>2430</v>
      </c>
      <c r="H732" s="174" t="s">
        <v>1702</v>
      </c>
      <c r="I732" s="174" t="str">
        <f t="shared" si="1"/>
        <v>SUL</v>
      </c>
    </row>
    <row r="733" ht="14.25" customHeight="1">
      <c r="G733" s="174" t="s">
        <v>2431</v>
      </c>
      <c r="H733" s="174" t="s">
        <v>1742</v>
      </c>
      <c r="I733" s="174" t="str">
        <f t="shared" si="1"/>
        <v>SUL</v>
      </c>
    </row>
    <row r="734" ht="14.25" customHeight="1">
      <c r="G734" s="174" t="s">
        <v>2432</v>
      </c>
      <c r="H734" s="174" t="s">
        <v>1666</v>
      </c>
      <c r="I734" s="174" t="str">
        <f t="shared" si="1"/>
        <v>SUDESTE</v>
      </c>
    </row>
    <row r="735" ht="14.25" customHeight="1">
      <c r="G735" s="174" t="s">
        <v>2433</v>
      </c>
      <c r="H735" s="174" t="s">
        <v>1750</v>
      </c>
      <c r="I735" s="174" t="str">
        <f t="shared" si="1"/>
        <v>SUDESTE</v>
      </c>
    </row>
    <row r="736" ht="14.25" customHeight="1">
      <c r="G736" s="174" t="s">
        <v>2434</v>
      </c>
      <c r="H736" s="174" t="s">
        <v>1666</v>
      </c>
      <c r="I736" s="174" t="str">
        <f t="shared" si="1"/>
        <v>SUDESTE</v>
      </c>
    </row>
    <row r="737" ht="14.25" customHeight="1">
      <c r="G737" s="174" t="s">
        <v>2435</v>
      </c>
      <c r="H737" s="174" t="s">
        <v>1685</v>
      </c>
      <c r="I737" s="174" t="str">
        <f t="shared" si="1"/>
        <v>NORDESTE</v>
      </c>
    </row>
    <row r="738" ht="14.25" customHeight="1">
      <c r="G738" s="174" t="s">
        <v>2436</v>
      </c>
      <c r="H738" s="174" t="s">
        <v>1706</v>
      </c>
      <c r="I738" s="174" t="str">
        <f t="shared" si="1"/>
        <v>SUL</v>
      </c>
    </row>
    <row r="739" ht="14.25" customHeight="1">
      <c r="G739" s="174" t="s">
        <v>2437</v>
      </c>
      <c r="H739" s="174" t="s">
        <v>1742</v>
      </c>
      <c r="I739" s="174" t="str">
        <f t="shared" si="1"/>
        <v>SUL</v>
      </c>
    </row>
    <row r="740" ht="14.25" customHeight="1">
      <c r="G740" s="174" t="s">
        <v>2438</v>
      </c>
      <c r="H740" s="174" t="s">
        <v>1706</v>
      </c>
      <c r="I740" s="174" t="str">
        <f t="shared" si="1"/>
        <v>SUL</v>
      </c>
    </row>
    <row r="741" ht="14.25" customHeight="1">
      <c r="G741" s="174" t="s">
        <v>2439</v>
      </c>
      <c r="H741" s="174" t="s">
        <v>1706</v>
      </c>
      <c r="I741" s="174" t="str">
        <f t="shared" si="1"/>
        <v>SUL</v>
      </c>
    </row>
    <row r="742" ht="14.25" customHeight="1">
      <c r="G742" s="174" t="s">
        <v>2440</v>
      </c>
      <c r="H742" s="174" t="s">
        <v>1742</v>
      </c>
      <c r="I742" s="174" t="str">
        <f t="shared" si="1"/>
        <v>SUL</v>
      </c>
    </row>
    <row r="743" ht="14.25" customHeight="1">
      <c r="G743" s="174" t="s">
        <v>2441</v>
      </c>
      <c r="H743" s="174" t="s">
        <v>1687</v>
      </c>
      <c r="I743" s="174" t="str">
        <f t="shared" si="1"/>
        <v>NORTE</v>
      </c>
    </row>
    <row r="744" ht="14.25" customHeight="1">
      <c r="G744" s="174" t="s">
        <v>2442</v>
      </c>
      <c r="H744" s="174" t="s">
        <v>1750</v>
      </c>
      <c r="I744" s="174" t="str">
        <f t="shared" si="1"/>
        <v>SUDESTE</v>
      </c>
    </row>
    <row r="745" ht="14.25" customHeight="1">
      <c r="G745" s="174" t="s">
        <v>2443</v>
      </c>
      <c r="H745" s="174" t="s">
        <v>1702</v>
      </c>
      <c r="I745" s="174" t="str">
        <f t="shared" si="1"/>
        <v>SUL</v>
      </c>
    </row>
    <row r="746" ht="14.25" customHeight="1">
      <c r="G746" s="174" t="s">
        <v>2444</v>
      </c>
      <c r="H746" s="174" t="s">
        <v>1664</v>
      </c>
      <c r="I746" s="174" t="str">
        <f t="shared" si="1"/>
        <v>NORDESTE</v>
      </c>
    </row>
    <row r="747" ht="14.25" customHeight="1">
      <c r="G747" s="174" t="s">
        <v>2445</v>
      </c>
      <c r="H747" s="174" t="s">
        <v>1666</v>
      </c>
      <c r="I747" s="174" t="str">
        <f t="shared" si="1"/>
        <v>SUDESTE</v>
      </c>
    </row>
    <row r="748" ht="14.25" customHeight="1">
      <c r="G748" s="174" t="s">
        <v>2446</v>
      </c>
      <c r="H748" s="174" t="s">
        <v>1687</v>
      </c>
      <c r="I748" s="174" t="str">
        <f t="shared" si="1"/>
        <v>NORTE</v>
      </c>
    </row>
    <row r="749" ht="14.25" customHeight="1">
      <c r="G749" s="174" t="s">
        <v>2447</v>
      </c>
      <c r="H749" s="174" t="s">
        <v>1710</v>
      </c>
      <c r="I749" s="174" t="str">
        <f t="shared" si="1"/>
        <v>CENTRO OESTE</v>
      </c>
    </row>
    <row r="750" ht="14.25" customHeight="1">
      <c r="G750" s="174" t="s">
        <v>2448</v>
      </c>
      <c r="H750" s="174" t="s">
        <v>1666</v>
      </c>
      <c r="I750" s="174" t="str">
        <f t="shared" si="1"/>
        <v>SUDESTE</v>
      </c>
    </row>
    <row r="751" ht="14.25" customHeight="1">
      <c r="G751" s="174" t="s">
        <v>2449</v>
      </c>
      <c r="H751" s="174" t="s">
        <v>1702</v>
      </c>
      <c r="I751" s="174" t="str">
        <f t="shared" si="1"/>
        <v>SUL</v>
      </c>
    </row>
    <row r="752" ht="14.25" customHeight="1">
      <c r="G752" s="174" t="s">
        <v>2450</v>
      </c>
      <c r="H752" s="174" t="s">
        <v>1721</v>
      </c>
      <c r="I752" s="174" t="str">
        <f t="shared" si="1"/>
        <v>NORTE</v>
      </c>
    </row>
    <row r="753" ht="14.25" customHeight="1">
      <c r="G753" s="174" t="s">
        <v>2451</v>
      </c>
      <c r="H753" s="174" t="s">
        <v>1656</v>
      </c>
      <c r="I753" s="174" t="str">
        <f t="shared" si="1"/>
        <v>NORTE</v>
      </c>
    </row>
    <row r="754" ht="14.25" customHeight="1">
      <c r="G754" s="174" t="s">
        <v>2452</v>
      </c>
      <c r="H754" s="174" t="s">
        <v>1725</v>
      </c>
      <c r="I754" s="174" t="str">
        <f t="shared" si="1"/>
        <v>NORDESTE</v>
      </c>
    </row>
    <row r="755" ht="14.25" customHeight="1">
      <c r="G755" s="174" t="s">
        <v>2453</v>
      </c>
      <c r="H755" s="174" t="s">
        <v>1694</v>
      </c>
      <c r="I755" s="174" t="str">
        <f t="shared" si="1"/>
        <v>CENTRO OESTE</v>
      </c>
    </row>
    <row r="756" ht="14.25" customHeight="1">
      <c r="G756" s="174" t="s">
        <v>2454</v>
      </c>
      <c r="H756" s="174" t="s">
        <v>1666</v>
      </c>
      <c r="I756" s="174" t="str">
        <f t="shared" si="1"/>
        <v>SUDESTE</v>
      </c>
    </row>
    <row r="757" ht="14.25" customHeight="1">
      <c r="G757" s="174" t="s">
        <v>2455</v>
      </c>
      <c r="H757" s="174" t="s">
        <v>1713</v>
      </c>
      <c r="I757" s="174" t="str">
        <f t="shared" si="1"/>
        <v>CENTRO OESTE</v>
      </c>
    </row>
    <row r="758" ht="14.25" customHeight="1">
      <c r="G758" s="174" t="s">
        <v>2456</v>
      </c>
      <c r="H758" s="174" t="s">
        <v>1666</v>
      </c>
      <c r="I758" s="174" t="str">
        <f t="shared" si="1"/>
        <v>SUDESTE</v>
      </c>
    </row>
    <row r="759" ht="14.25" customHeight="1">
      <c r="G759" s="174" t="s">
        <v>2457</v>
      </c>
      <c r="H759" s="174" t="s">
        <v>1750</v>
      </c>
      <c r="I759" s="174" t="str">
        <f t="shared" si="1"/>
        <v>SUDESTE</v>
      </c>
    </row>
    <row r="760" ht="14.25" customHeight="1">
      <c r="G760" s="174" t="s">
        <v>2458</v>
      </c>
      <c r="H760" s="174" t="s">
        <v>1666</v>
      </c>
      <c r="I760" s="174" t="str">
        <f t="shared" si="1"/>
        <v>SUDESTE</v>
      </c>
    </row>
    <row r="761" ht="14.25" customHeight="1">
      <c r="G761" s="174" t="s">
        <v>2459</v>
      </c>
      <c r="H761" s="174" t="s">
        <v>1658</v>
      </c>
      <c r="I761" s="174" t="str">
        <f t="shared" si="1"/>
        <v>CENTRO OESTE</v>
      </c>
    </row>
    <row r="762" ht="14.25" customHeight="1">
      <c r="G762" s="174" t="s">
        <v>2460</v>
      </c>
      <c r="H762" s="174" t="s">
        <v>1717</v>
      </c>
      <c r="I762" s="174" t="str">
        <f t="shared" si="1"/>
        <v>NORDESTE</v>
      </c>
    </row>
    <row r="763" ht="14.25" customHeight="1">
      <c r="G763" s="174" t="s">
        <v>2461</v>
      </c>
      <c r="H763" s="174" t="s">
        <v>1698</v>
      </c>
      <c r="I763" s="174" t="str">
        <f t="shared" si="1"/>
        <v>SUDESTE</v>
      </c>
    </row>
    <row r="764" ht="14.25" customHeight="1">
      <c r="G764" s="174" t="s">
        <v>2462</v>
      </c>
      <c r="H764" s="174" t="s">
        <v>1733</v>
      </c>
      <c r="I764" s="174" t="str">
        <f t="shared" si="1"/>
        <v>NORDESTE</v>
      </c>
    </row>
    <row r="765" ht="14.25" customHeight="1">
      <c r="G765" s="174" t="s">
        <v>2462</v>
      </c>
      <c r="H765" s="174" t="s">
        <v>1717</v>
      </c>
      <c r="I765" s="174" t="str">
        <f t="shared" si="1"/>
        <v>NORDESTE</v>
      </c>
    </row>
    <row r="766" ht="14.25" customHeight="1">
      <c r="G766" s="174" t="s">
        <v>2463</v>
      </c>
      <c r="H766" s="174" t="s">
        <v>1721</v>
      </c>
      <c r="I766" s="174" t="str">
        <f t="shared" si="1"/>
        <v>NORTE</v>
      </c>
    </row>
    <row r="767" ht="14.25" customHeight="1">
      <c r="G767" s="174" t="s">
        <v>2464</v>
      </c>
      <c r="H767" s="174" t="s">
        <v>1704</v>
      </c>
      <c r="I767" s="174" t="str">
        <f t="shared" si="1"/>
        <v>NORDESTE</v>
      </c>
    </row>
    <row r="768" ht="14.25" customHeight="1">
      <c r="G768" s="174" t="s">
        <v>2465</v>
      </c>
      <c r="H768" s="174" t="s">
        <v>1750</v>
      </c>
      <c r="I768" s="174" t="str">
        <f t="shared" si="1"/>
        <v>SUDESTE</v>
      </c>
    </row>
    <row r="769" ht="14.25" customHeight="1">
      <c r="G769" s="174" t="s">
        <v>2466</v>
      </c>
      <c r="H769" s="174" t="s">
        <v>1717</v>
      </c>
      <c r="I769" s="174" t="str">
        <f t="shared" si="1"/>
        <v>NORDESTE</v>
      </c>
    </row>
    <row r="770" ht="14.25" customHeight="1">
      <c r="G770" s="174" t="s">
        <v>2467</v>
      </c>
      <c r="H770" s="174" t="s">
        <v>1704</v>
      </c>
      <c r="I770" s="174" t="str">
        <f t="shared" si="1"/>
        <v>NORDESTE</v>
      </c>
    </row>
    <row r="771" ht="14.25" customHeight="1">
      <c r="G771" s="174" t="s">
        <v>2468</v>
      </c>
      <c r="H771" s="174" t="s">
        <v>1719</v>
      </c>
      <c r="I771" s="174" t="str">
        <f t="shared" si="1"/>
        <v>NORDESTE</v>
      </c>
    </row>
    <row r="772" ht="14.25" customHeight="1">
      <c r="G772" s="174" t="s">
        <v>2469</v>
      </c>
      <c r="H772" s="174" t="s">
        <v>1725</v>
      </c>
      <c r="I772" s="174" t="str">
        <f t="shared" si="1"/>
        <v>NORDESTE</v>
      </c>
    </row>
    <row r="773" ht="14.25" customHeight="1">
      <c r="G773" s="174" t="s">
        <v>2470</v>
      </c>
      <c r="H773" s="174" t="s">
        <v>1719</v>
      </c>
      <c r="I773" s="174" t="str">
        <f t="shared" si="1"/>
        <v>NORDESTE</v>
      </c>
    </row>
    <row r="774" ht="14.25" customHeight="1">
      <c r="G774" s="174" t="s">
        <v>2471</v>
      </c>
      <c r="H774" s="174" t="s">
        <v>1747</v>
      </c>
      <c r="I774" s="174" t="str">
        <f t="shared" si="1"/>
        <v>NORDESTE</v>
      </c>
    </row>
    <row r="775" ht="14.25" customHeight="1">
      <c r="G775" s="174" t="s">
        <v>2472</v>
      </c>
      <c r="H775" s="174" t="s">
        <v>1687</v>
      </c>
      <c r="I775" s="174" t="str">
        <f t="shared" si="1"/>
        <v>NORTE</v>
      </c>
    </row>
    <row r="776" ht="14.25" customHeight="1">
      <c r="G776" s="174" t="s">
        <v>2473</v>
      </c>
      <c r="H776" s="174" t="s">
        <v>1690</v>
      </c>
      <c r="I776" s="174" t="str">
        <f t="shared" si="1"/>
        <v>NORDESTE</v>
      </c>
    </row>
    <row r="777" ht="14.25" customHeight="1">
      <c r="G777" s="174" t="s">
        <v>2474</v>
      </c>
      <c r="H777" s="174" t="s">
        <v>1685</v>
      </c>
      <c r="I777" s="174" t="str">
        <f t="shared" si="1"/>
        <v>NORDESTE</v>
      </c>
    </row>
    <row r="778" ht="14.25" customHeight="1">
      <c r="G778" s="174" t="s">
        <v>2475</v>
      </c>
      <c r="H778" s="174" t="s">
        <v>1685</v>
      </c>
      <c r="I778" s="174" t="str">
        <f t="shared" si="1"/>
        <v>NORDESTE</v>
      </c>
    </row>
    <row r="779" ht="14.25" customHeight="1">
      <c r="G779" s="174" t="s">
        <v>2476</v>
      </c>
      <c r="H779" s="174" t="s">
        <v>1687</v>
      </c>
      <c r="I779" s="174" t="str">
        <f t="shared" si="1"/>
        <v>NORTE</v>
      </c>
    </row>
    <row r="780" ht="14.25" customHeight="1">
      <c r="G780" s="174" t="s">
        <v>2477</v>
      </c>
      <c r="H780" s="174" t="s">
        <v>1687</v>
      </c>
      <c r="I780" s="174" t="str">
        <f t="shared" si="1"/>
        <v>NORTE</v>
      </c>
    </row>
    <row r="781" ht="14.25" customHeight="1">
      <c r="G781" s="174" t="s">
        <v>2478</v>
      </c>
      <c r="H781" s="174" t="s">
        <v>1658</v>
      </c>
      <c r="I781" s="174" t="str">
        <f t="shared" si="1"/>
        <v>CENTRO OESTE</v>
      </c>
    </row>
    <row r="782" ht="14.25" customHeight="1">
      <c r="G782" s="174" t="s">
        <v>2479</v>
      </c>
      <c r="H782" s="174" t="s">
        <v>1742</v>
      </c>
      <c r="I782" s="174" t="str">
        <f t="shared" si="1"/>
        <v>SUL</v>
      </c>
    </row>
    <row r="783" ht="14.25" customHeight="1">
      <c r="G783" s="174" t="s">
        <v>2480</v>
      </c>
      <c r="H783" s="174" t="s">
        <v>1750</v>
      </c>
      <c r="I783" s="174" t="str">
        <f t="shared" si="1"/>
        <v>SUDESTE</v>
      </c>
    </row>
    <row r="784" ht="14.25" customHeight="1">
      <c r="G784" s="174" t="s">
        <v>2481</v>
      </c>
      <c r="H784" s="174" t="s">
        <v>1750</v>
      </c>
      <c r="I784" s="174" t="str">
        <f t="shared" si="1"/>
        <v>SUDESTE</v>
      </c>
    </row>
    <row r="785" ht="14.25" customHeight="1">
      <c r="G785" s="174" t="s">
        <v>2482</v>
      </c>
      <c r="H785" s="174" t="s">
        <v>1685</v>
      </c>
      <c r="I785" s="174" t="str">
        <f t="shared" si="1"/>
        <v>NORDESTE</v>
      </c>
    </row>
    <row r="786" ht="14.25" customHeight="1">
      <c r="G786" s="174" t="s">
        <v>2483</v>
      </c>
      <c r="H786" s="174" t="s">
        <v>1666</v>
      </c>
      <c r="I786" s="174" t="str">
        <f t="shared" si="1"/>
        <v>SUDESTE</v>
      </c>
    </row>
    <row r="787" ht="14.25" customHeight="1">
      <c r="G787" s="174" t="s">
        <v>2484</v>
      </c>
      <c r="H787" s="174" t="s">
        <v>1685</v>
      </c>
      <c r="I787" s="174" t="str">
        <f t="shared" si="1"/>
        <v>NORDESTE</v>
      </c>
    </row>
    <row r="788" ht="14.25" customHeight="1">
      <c r="G788" s="174" t="s">
        <v>2485</v>
      </c>
      <c r="H788" s="174" t="s">
        <v>1706</v>
      </c>
      <c r="I788" s="174" t="str">
        <f t="shared" si="1"/>
        <v>SUL</v>
      </c>
    </row>
    <row r="789" ht="14.25" customHeight="1">
      <c r="G789" s="174" t="s">
        <v>2486</v>
      </c>
      <c r="H789" s="174" t="s">
        <v>1706</v>
      </c>
      <c r="I789" s="174" t="str">
        <f t="shared" si="1"/>
        <v>SUL</v>
      </c>
    </row>
    <row r="790" ht="14.25" customHeight="1">
      <c r="G790" s="174" t="s">
        <v>2487</v>
      </c>
      <c r="H790" s="174" t="s">
        <v>1666</v>
      </c>
      <c r="I790" s="174" t="str">
        <f t="shared" si="1"/>
        <v>SUDESTE</v>
      </c>
    </row>
    <row r="791" ht="14.25" customHeight="1">
      <c r="G791" s="174" t="s">
        <v>2488</v>
      </c>
      <c r="H791" s="174" t="s">
        <v>1666</v>
      </c>
      <c r="I791" s="174" t="str">
        <f t="shared" si="1"/>
        <v>SUDESTE</v>
      </c>
    </row>
    <row r="792" ht="14.25" customHeight="1">
      <c r="G792" s="174" t="s">
        <v>2489</v>
      </c>
      <c r="H792" s="174" t="s">
        <v>1717</v>
      </c>
      <c r="I792" s="174" t="str">
        <f t="shared" si="1"/>
        <v>NORDESTE</v>
      </c>
    </row>
    <row r="793" ht="14.25" customHeight="1">
      <c r="G793" s="174" t="s">
        <v>2490</v>
      </c>
      <c r="H793" s="174" t="s">
        <v>1685</v>
      </c>
      <c r="I793" s="174" t="str">
        <f t="shared" si="1"/>
        <v>NORDESTE</v>
      </c>
    </row>
    <row r="794" ht="14.25" customHeight="1">
      <c r="G794" s="174" t="s">
        <v>2491</v>
      </c>
      <c r="H794" s="174" t="s">
        <v>1666</v>
      </c>
      <c r="I794" s="174" t="str">
        <f t="shared" si="1"/>
        <v>SUDESTE</v>
      </c>
    </row>
    <row r="795" ht="14.25" customHeight="1">
      <c r="G795" s="174" t="s">
        <v>2492</v>
      </c>
      <c r="H795" s="174" t="s">
        <v>1717</v>
      </c>
      <c r="I795" s="174" t="str">
        <f t="shared" si="1"/>
        <v>NORDESTE</v>
      </c>
    </row>
    <row r="796" ht="14.25" customHeight="1">
      <c r="G796" s="174" t="s">
        <v>2493</v>
      </c>
      <c r="H796" s="174" t="s">
        <v>1656</v>
      </c>
      <c r="I796" s="174" t="str">
        <f t="shared" si="1"/>
        <v>NORTE</v>
      </c>
    </row>
    <row r="797" ht="14.25" customHeight="1">
      <c r="G797" s="174" t="s">
        <v>2494</v>
      </c>
      <c r="H797" s="174" t="s">
        <v>1687</v>
      </c>
      <c r="I797" s="174" t="str">
        <f t="shared" si="1"/>
        <v>NORTE</v>
      </c>
    </row>
    <row r="798" ht="14.25" customHeight="1">
      <c r="G798" s="174" t="s">
        <v>2495</v>
      </c>
      <c r="H798" s="174" t="s">
        <v>1750</v>
      </c>
      <c r="I798" s="174" t="str">
        <f t="shared" si="1"/>
        <v>SUDESTE</v>
      </c>
    </row>
    <row r="799" ht="14.25" customHeight="1">
      <c r="G799" s="174" t="s">
        <v>2496</v>
      </c>
      <c r="H799" s="174" t="s">
        <v>1750</v>
      </c>
      <c r="I799" s="174" t="str">
        <f t="shared" si="1"/>
        <v>SUDESTE</v>
      </c>
    </row>
    <row r="800" ht="14.25" customHeight="1">
      <c r="G800" s="174" t="s">
        <v>2497</v>
      </c>
      <c r="H800" s="174" t="s">
        <v>1704</v>
      </c>
      <c r="I800" s="174" t="str">
        <f t="shared" si="1"/>
        <v>NORDESTE</v>
      </c>
    </row>
    <row r="801" ht="14.25" customHeight="1">
      <c r="G801" s="174" t="s">
        <v>2498</v>
      </c>
      <c r="H801" s="174" t="s">
        <v>1658</v>
      </c>
      <c r="I801" s="174" t="str">
        <f t="shared" si="1"/>
        <v>CENTRO OESTE</v>
      </c>
    </row>
    <row r="802" ht="14.25" customHeight="1">
      <c r="G802" s="174" t="s">
        <v>2499</v>
      </c>
      <c r="H802" s="174" t="s">
        <v>1704</v>
      </c>
      <c r="I802" s="174" t="str">
        <f t="shared" si="1"/>
        <v>NORDESTE</v>
      </c>
    </row>
    <row r="803" ht="14.25" customHeight="1">
      <c r="G803" s="174" t="s">
        <v>2500</v>
      </c>
      <c r="H803" s="174" t="s">
        <v>1658</v>
      </c>
      <c r="I803" s="174" t="str">
        <f t="shared" si="1"/>
        <v>CENTRO OESTE</v>
      </c>
    </row>
    <row r="804" ht="14.25" customHeight="1">
      <c r="G804" s="174" t="s">
        <v>2501</v>
      </c>
      <c r="H804" s="174" t="s">
        <v>1721</v>
      </c>
      <c r="I804" s="174" t="str">
        <f t="shared" si="1"/>
        <v>NORTE</v>
      </c>
    </row>
    <row r="805" ht="14.25" customHeight="1">
      <c r="G805" s="174" t="s">
        <v>2502</v>
      </c>
      <c r="H805" s="174" t="s">
        <v>1725</v>
      </c>
      <c r="I805" s="174" t="str">
        <f t="shared" si="1"/>
        <v>NORDESTE</v>
      </c>
    </row>
    <row r="806" ht="14.25" customHeight="1">
      <c r="G806" s="174" t="s">
        <v>2503</v>
      </c>
      <c r="H806" s="174" t="s">
        <v>1725</v>
      </c>
      <c r="I806" s="174" t="str">
        <f t="shared" si="1"/>
        <v>NORDESTE</v>
      </c>
    </row>
    <row r="807" ht="14.25" customHeight="1">
      <c r="G807" s="174" t="s">
        <v>2504</v>
      </c>
      <c r="H807" s="174" t="s">
        <v>1704</v>
      </c>
      <c r="I807" s="174" t="str">
        <f t="shared" si="1"/>
        <v>NORDESTE</v>
      </c>
    </row>
    <row r="808" ht="14.25" customHeight="1">
      <c r="G808" s="174" t="s">
        <v>2505</v>
      </c>
      <c r="H808" s="174" t="s">
        <v>1658</v>
      </c>
      <c r="I808" s="174" t="str">
        <f t="shared" si="1"/>
        <v>CENTRO OESTE</v>
      </c>
    </row>
    <row r="809" ht="14.25" customHeight="1">
      <c r="G809" s="174" t="s">
        <v>2506</v>
      </c>
      <c r="H809" s="174" t="s">
        <v>1685</v>
      </c>
      <c r="I809" s="174" t="str">
        <f t="shared" si="1"/>
        <v>NORDESTE</v>
      </c>
    </row>
    <row r="810" ht="14.25" customHeight="1">
      <c r="G810" s="174" t="s">
        <v>2507</v>
      </c>
      <c r="H810" s="174" t="s">
        <v>1704</v>
      </c>
      <c r="I810" s="174" t="str">
        <f t="shared" si="1"/>
        <v>NORDESTE</v>
      </c>
    </row>
    <row r="811" ht="14.25" customHeight="1">
      <c r="G811" s="174" t="s">
        <v>2508</v>
      </c>
      <c r="H811" s="174" t="s">
        <v>1736</v>
      </c>
      <c r="I811" s="174" t="str">
        <f t="shared" si="1"/>
        <v>NORTE</v>
      </c>
    </row>
    <row r="812" ht="14.25" customHeight="1">
      <c r="G812" s="174" t="s">
        <v>2508</v>
      </c>
      <c r="H812" s="174" t="s">
        <v>1666</v>
      </c>
      <c r="I812" s="174" t="str">
        <f t="shared" si="1"/>
        <v>SUDESTE</v>
      </c>
    </row>
    <row r="813" ht="14.25" customHeight="1">
      <c r="G813" s="174" t="s">
        <v>2509</v>
      </c>
      <c r="H813" s="174" t="s">
        <v>1750</v>
      </c>
      <c r="I813" s="174" t="str">
        <f t="shared" si="1"/>
        <v>SUDESTE</v>
      </c>
    </row>
    <row r="814" ht="14.25" customHeight="1">
      <c r="G814" s="174" t="s">
        <v>2510</v>
      </c>
      <c r="H814" s="174" t="s">
        <v>1666</v>
      </c>
      <c r="I814" s="174" t="str">
        <f t="shared" si="1"/>
        <v>SUDESTE</v>
      </c>
    </row>
    <row r="815" ht="14.25" customHeight="1">
      <c r="G815" s="174" t="s">
        <v>2511</v>
      </c>
      <c r="H815" s="174" t="s">
        <v>1742</v>
      </c>
      <c r="I815" s="174" t="str">
        <f t="shared" si="1"/>
        <v>SUL</v>
      </c>
    </row>
    <row r="816" ht="14.25" customHeight="1">
      <c r="G816" s="174" t="s">
        <v>2512</v>
      </c>
      <c r="H816" s="174" t="s">
        <v>1672</v>
      </c>
      <c r="I816" s="174" t="str">
        <f t="shared" si="1"/>
        <v>NORTE</v>
      </c>
    </row>
    <row r="817" ht="14.25" customHeight="1">
      <c r="G817" s="174" t="s">
        <v>2513</v>
      </c>
      <c r="H817" s="174" t="s">
        <v>1719</v>
      </c>
      <c r="I817" s="174" t="str">
        <f t="shared" si="1"/>
        <v>NORDESTE</v>
      </c>
    </row>
    <row r="818" ht="14.25" customHeight="1">
      <c r="G818" s="174" t="s">
        <v>2514</v>
      </c>
      <c r="H818" s="174" t="s">
        <v>1710</v>
      </c>
      <c r="I818" s="174" t="str">
        <f t="shared" si="1"/>
        <v>CENTRO OESTE</v>
      </c>
    </row>
    <row r="819" ht="14.25" customHeight="1">
      <c r="G819" s="174" t="s">
        <v>2515</v>
      </c>
      <c r="H819" s="174" t="s">
        <v>1685</v>
      </c>
      <c r="I819" s="174" t="str">
        <f t="shared" si="1"/>
        <v>NORDESTE</v>
      </c>
    </row>
    <row r="820" ht="14.25" customHeight="1">
      <c r="G820" s="174" t="s">
        <v>2516</v>
      </c>
      <c r="H820" s="174" t="s">
        <v>1719</v>
      </c>
      <c r="I820" s="174" t="str">
        <f t="shared" si="1"/>
        <v>NORDESTE</v>
      </c>
    </row>
    <row r="821" ht="14.25" customHeight="1">
      <c r="G821" s="174" t="s">
        <v>2517</v>
      </c>
      <c r="H821" s="174" t="s">
        <v>1685</v>
      </c>
      <c r="I821" s="174" t="str">
        <f t="shared" si="1"/>
        <v>NORDESTE</v>
      </c>
    </row>
    <row r="822" ht="14.25" customHeight="1">
      <c r="G822" s="174" t="s">
        <v>2518</v>
      </c>
      <c r="H822" s="174" t="s">
        <v>1666</v>
      </c>
      <c r="I822" s="174" t="str">
        <f t="shared" si="1"/>
        <v>SUDESTE</v>
      </c>
    </row>
    <row r="823" ht="14.25" customHeight="1">
      <c r="G823" s="174" t="s">
        <v>2519</v>
      </c>
      <c r="H823" s="174" t="s">
        <v>1658</v>
      </c>
      <c r="I823" s="174" t="str">
        <f t="shared" si="1"/>
        <v>CENTRO OESTE</v>
      </c>
    </row>
    <row r="824" ht="14.25" customHeight="1">
      <c r="G824" s="174" t="s">
        <v>2520</v>
      </c>
      <c r="H824" s="174" t="s">
        <v>1725</v>
      </c>
      <c r="I824" s="174" t="str">
        <f t="shared" si="1"/>
        <v>NORDESTE</v>
      </c>
    </row>
    <row r="825" ht="14.25" customHeight="1">
      <c r="G825" s="174" t="s">
        <v>2521</v>
      </c>
      <c r="H825" s="174" t="s">
        <v>1719</v>
      </c>
      <c r="I825" s="174" t="str">
        <f t="shared" si="1"/>
        <v>NORDESTE</v>
      </c>
    </row>
    <row r="826" ht="14.25" customHeight="1">
      <c r="G826" s="174" t="s">
        <v>2522</v>
      </c>
      <c r="H826" s="174" t="s">
        <v>1736</v>
      </c>
      <c r="I826" s="174" t="str">
        <f t="shared" si="1"/>
        <v>NORTE</v>
      </c>
    </row>
    <row r="827" ht="14.25" customHeight="1">
      <c r="G827" s="174" t="s">
        <v>2523</v>
      </c>
      <c r="H827" s="174" t="s">
        <v>1717</v>
      </c>
      <c r="I827" s="174" t="str">
        <f t="shared" si="1"/>
        <v>NORDESTE</v>
      </c>
    </row>
    <row r="828" ht="14.25" customHeight="1">
      <c r="G828" s="174" t="s">
        <v>2524</v>
      </c>
      <c r="H828" s="174" t="s">
        <v>1730</v>
      </c>
      <c r="I828" s="174" t="str">
        <f t="shared" si="1"/>
        <v>SUDESTE</v>
      </c>
    </row>
    <row r="829" ht="14.25" customHeight="1">
      <c r="G829" s="174" t="s">
        <v>2525</v>
      </c>
      <c r="H829" s="174" t="s">
        <v>1666</v>
      </c>
      <c r="I829" s="174" t="str">
        <f t="shared" si="1"/>
        <v>SUDESTE</v>
      </c>
    </row>
    <row r="830" ht="14.25" customHeight="1">
      <c r="G830" s="174" t="s">
        <v>2526</v>
      </c>
      <c r="H830" s="174" t="s">
        <v>1750</v>
      </c>
      <c r="I830" s="174" t="str">
        <f t="shared" si="1"/>
        <v>SUDESTE</v>
      </c>
    </row>
    <row r="831" ht="14.25" customHeight="1">
      <c r="G831" s="174" t="s">
        <v>2527</v>
      </c>
      <c r="H831" s="174" t="s">
        <v>1750</v>
      </c>
      <c r="I831" s="174" t="str">
        <f t="shared" si="1"/>
        <v>SUDESTE</v>
      </c>
    </row>
    <row r="832" ht="14.25" customHeight="1">
      <c r="G832" s="174" t="s">
        <v>2528</v>
      </c>
      <c r="H832" s="174" t="s">
        <v>1717</v>
      </c>
      <c r="I832" s="174" t="str">
        <f t="shared" si="1"/>
        <v>NORDESTE</v>
      </c>
    </row>
    <row r="833" ht="14.25" customHeight="1">
      <c r="G833" s="174" t="s">
        <v>2529</v>
      </c>
      <c r="H833" s="174" t="s">
        <v>1706</v>
      </c>
      <c r="I833" s="174" t="str">
        <f t="shared" si="1"/>
        <v>SUL</v>
      </c>
    </row>
    <row r="834" ht="14.25" customHeight="1">
      <c r="G834" s="174" t="s">
        <v>2530</v>
      </c>
      <c r="H834" s="174" t="s">
        <v>1750</v>
      </c>
      <c r="I834" s="174" t="str">
        <f t="shared" si="1"/>
        <v>SUDESTE</v>
      </c>
    </row>
    <row r="835" ht="14.25" customHeight="1">
      <c r="G835" s="174" t="s">
        <v>2531</v>
      </c>
      <c r="H835" s="174" t="s">
        <v>1742</v>
      </c>
      <c r="I835" s="174" t="str">
        <f t="shared" si="1"/>
        <v>SUL</v>
      </c>
    </row>
    <row r="836" ht="14.25" customHeight="1">
      <c r="G836" s="174" t="s">
        <v>2532</v>
      </c>
      <c r="H836" s="174" t="s">
        <v>1736</v>
      </c>
      <c r="I836" s="174" t="str">
        <f t="shared" si="1"/>
        <v>NORTE</v>
      </c>
    </row>
    <row r="837" ht="14.25" customHeight="1">
      <c r="G837" s="174" t="s">
        <v>2533</v>
      </c>
      <c r="H837" s="174" t="s">
        <v>1742</v>
      </c>
      <c r="I837" s="174" t="str">
        <f t="shared" si="1"/>
        <v>SUL</v>
      </c>
    </row>
    <row r="838" ht="14.25" customHeight="1">
      <c r="G838" s="174" t="s">
        <v>2534</v>
      </c>
      <c r="H838" s="174" t="s">
        <v>1713</v>
      </c>
      <c r="I838" s="174" t="str">
        <f t="shared" si="1"/>
        <v>CENTRO OESTE</v>
      </c>
    </row>
    <row r="839" ht="14.25" customHeight="1">
      <c r="G839" s="174" t="s">
        <v>2535</v>
      </c>
      <c r="H839" s="174" t="s">
        <v>1685</v>
      </c>
      <c r="I839" s="174" t="str">
        <f t="shared" si="1"/>
        <v>NORDESTE</v>
      </c>
    </row>
    <row r="840" ht="14.25" customHeight="1">
      <c r="G840" s="174" t="s">
        <v>2536</v>
      </c>
      <c r="H840" s="174" t="s">
        <v>1658</v>
      </c>
      <c r="I840" s="174" t="str">
        <f t="shared" si="1"/>
        <v>CENTRO OESTE</v>
      </c>
    </row>
    <row r="841" ht="14.25" customHeight="1">
      <c r="G841" s="174" t="s">
        <v>2537</v>
      </c>
      <c r="H841" s="174" t="s">
        <v>1666</v>
      </c>
      <c r="I841" s="174" t="str">
        <f t="shared" si="1"/>
        <v>SUDESTE</v>
      </c>
    </row>
    <row r="842" ht="14.25" customHeight="1">
      <c r="G842" s="174" t="s">
        <v>2538</v>
      </c>
      <c r="H842" s="174" t="s">
        <v>1658</v>
      </c>
      <c r="I842" s="174" t="str">
        <f t="shared" si="1"/>
        <v>CENTRO OESTE</v>
      </c>
    </row>
    <row r="843" ht="14.25" customHeight="1">
      <c r="G843" s="174" t="s">
        <v>2539</v>
      </c>
      <c r="H843" s="174" t="s">
        <v>1666</v>
      </c>
      <c r="I843" s="174" t="str">
        <f t="shared" si="1"/>
        <v>SUDESTE</v>
      </c>
    </row>
    <row r="844" ht="14.25" customHeight="1">
      <c r="G844" s="174" t="s">
        <v>2540</v>
      </c>
      <c r="H844" s="174" t="s">
        <v>1666</v>
      </c>
      <c r="I844" s="174" t="str">
        <f t="shared" si="1"/>
        <v>SUDESTE</v>
      </c>
    </row>
    <row r="845" ht="14.25" customHeight="1">
      <c r="G845" s="174" t="s">
        <v>2541</v>
      </c>
      <c r="H845" s="174" t="s">
        <v>1687</v>
      </c>
      <c r="I845" s="174" t="str">
        <f t="shared" si="1"/>
        <v>NORTE</v>
      </c>
    </row>
    <row r="846" ht="14.25" customHeight="1">
      <c r="G846" s="174" t="s">
        <v>2542</v>
      </c>
      <c r="H846" s="174" t="s">
        <v>1687</v>
      </c>
      <c r="I846" s="174" t="str">
        <f t="shared" si="1"/>
        <v>NORTE</v>
      </c>
    </row>
    <row r="847" ht="14.25" customHeight="1">
      <c r="G847" s="174" t="s">
        <v>2543</v>
      </c>
      <c r="H847" s="174" t="s">
        <v>1742</v>
      </c>
      <c r="I847" s="174" t="str">
        <f t="shared" si="1"/>
        <v>SUL</v>
      </c>
    </row>
    <row r="848" ht="14.25" customHeight="1">
      <c r="G848" s="174" t="s">
        <v>2544</v>
      </c>
      <c r="H848" s="174" t="s">
        <v>1719</v>
      </c>
      <c r="I848" s="174" t="str">
        <f t="shared" si="1"/>
        <v>NORDESTE</v>
      </c>
    </row>
    <row r="849" ht="14.25" customHeight="1">
      <c r="G849" s="174" t="s">
        <v>2545</v>
      </c>
      <c r="H849" s="174" t="s">
        <v>1666</v>
      </c>
      <c r="I849" s="174" t="str">
        <f t="shared" si="1"/>
        <v>SUDESTE</v>
      </c>
    </row>
    <row r="850" ht="14.25" customHeight="1">
      <c r="G850" s="174" t="s">
        <v>2545</v>
      </c>
      <c r="H850" s="174" t="s">
        <v>1658</v>
      </c>
      <c r="I850" s="174" t="str">
        <f t="shared" si="1"/>
        <v>CENTRO OESTE</v>
      </c>
    </row>
    <row r="851" ht="14.25" customHeight="1">
      <c r="G851" s="174" t="s">
        <v>2546</v>
      </c>
      <c r="H851" s="174" t="s">
        <v>1704</v>
      </c>
      <c r="I851" s="174" t="str">
        <f t="shared" si="1"/>
        <v>NORDESTE</v>
      </c>
    </row>
    <row r="852" ht="14.25" customHeight="1">
      <c r="G852" s="174" t="s">
        <v>2547</v>
      </c>
      <c r="H852" s="174" t="s">
        <v>1750</v>
      </c>
      <c r="I852" s="174" t="str">
        <f t="shared" si="1"/>
        <v>SUDESTE</v>
      </c>
    </row>
    <row r="853" ht="14.25" customHeight="1">
      <c r="G853" s="174" t="s">
        <v>2548</v>
      </c>
      <c r="H853" s="174" t="s">
        <v>1730</v>
      </c>
      <c r="I853" s="174" t="str">
        <f t="shared" si="1"/>
        <v>SUDESTE</v>
      </c>
    </row>
    <row r="854" ht="14.25" customHeight="1">
      <c r="G854" s="174" t="s">
        <v>2549</v>
      </c>
      <c r="H854" s="174" t="s">
        <v>1721</v>
      </c>
      <c r="I854" s="174" t="str">
        <f t="shared" si="1"/>
        <v>NORTE</v>
      </c>
    </row>
    <row r="855" ht="14.25" customHeight="1">
      <c r="G855" s="174" t="s">
        <v>2549</v>
      </c>
      <c r="H855" s="174" t="s">
        <v>1717</v>
      </c>
      <c r="I855" s="174" t="str">
        <f t="shared" si="1"/>
        <v>NORDESTE</v>
      </c>
    </row>
    <row r="856" ht="14.25" customHeight="1">
      <c r="G856" s="174" t="s">
        <v>2549</v>
      </c>
      <c r="H856" s="174" t="s">
        <v>1742</v>
      </c>
      <c r="I856" s="174" t="str">
        <f t="shared" si="1"/>
        <v>SUL</v>
      </c>
    </row>
    <row r="857" ht="14.25" customHeight="1">
      <c r="G857" s="174" t="s">
        <v>2550</v>
      </c>
      <c r="H857" s="174" t="s">
        <v>1698</v>
      </c>
      <c r="I857" s="174" t="str">
        <f t="shared" si="1"/>
        <v>SUDESTE</v>
      </c>
    </row>
    <row r="858" ht="14.25" customHeight="1">
      <c r="G858" s="174" t="s">
        <v>2551</v>
      </c>
      <c r="H858" s="174" t="s">
        <v>1719</v>
      </c>
      <c r="I858" s="174" t="str">
        <f t="shared" si="1"/>
        <v>NORDESTE</v>
      </c>
    </row>
    <row r="859" ht="14.25" customHeight="1">
      <c r="G859" s="174" t="s">
        <v>2552</v>
      </c>
      <c r="H859" s="174" t="s">
        <v>1719</v>
      </c>
      <c r="I859" s="174" t="str">
        <f t="shared" si="1"/>
        <v>NORDESTE</v>
      </c>
    </row>
    <row r="860" ht="14.25" customHeight="1">
      <c r="G860" s="174" t="s">
        <v>2553</v>
      </c>
      <c r="H860" s="174" t="s">
        <v>1719</v>
      </c>
      <c r="I860" s="174" t="str">
        <f t="shared" si="1"/>
        <v>NORDESTE</v>
      </c>
    </row>
    <row r="861" ht="14.25" customHeight="1">
      <c r="G861" s="174" t="s">
        <v>2554</v>
      </c>
      <c r="H861" s="174" t="s">
        <v>1664</v>
      </c>
      <c r="I861" s="174" t="str">
        <f t="shared" si="1"/>
        <v>NORDESTE</v>
      </c>
    </row>
    <row r="862" ht="14.25" customHeight="1">
      <c r="G862" s="174" t="s">
        <v>2555</v>
      </c>
      <c r="H862" s="174" t="s">
        <v>1742</v>
      </c>
      <c r="I862" s="174" t="str">
        <f t="shared" si="1"/>
        <v>SUL</v>
      </c>
    </row>
    <row r="863" ht="14.25" customHeight="1">
      <c r="G863" s="174" t="s">
        <v>2556</v>
      </c>
      <c r="H863" s="174" t="s">
        <v>1736</v>
      </c>
      <c r="I863" s="174" t="str">
        <f t="shared" si="1"/>
        <v>NORTE</v>
      </c>
    </row>
    <row r="864" ht="14.25" customHeight="1">
      <c r="G864" s="174" t="s">
        <v>2557</v>
      </c>
      <c r="H864" s="174" t="s">
        <v>1750</v>
      </c>
      <c r="I864" s="174" t="str">
        <f t="shared" si="1"/>
        <v>SUDESTE</v>
      </c>
    </row>
    <row r="865" ht="14.25" customHeight="1">
      <c r="G865" s="174" t="s">
        <v>2558</v>
      </c>
      <c r="H865" s="174" t="s">
        <v>1658</v>
      </c>
      <c r="I865" s="174" t="str">
        <f t="shared" si="1"/>
        <v>CENTRO OESTE</v>
      </c>
    </row>
    <row r="866" ht="14.25" customHeight="1">
      <c r="G866" s="174" t="s">
        <v>2559</v>
      </c>
      <c r="H866" s="174" t="s">
        <v>1685</v>
      </c>
      <c r="I866" s="174" t="str">
        <f t="shared" si="1"/>
        <v>NORDESTE</v>
      </c>
    </row>
    <row r="867" ht="14.25" customHeight="1">
      <c r="G867" s="174" t="s">
        <v>2560</v>
      </c>
      <c r="H867" s="174" t="s">
        <v>1685</v>
      </c>
      <c r="I867" s="174" t="str">
        <f t="shared" si="1"/>
        <v>NORDESTE</v>
      </c>
    </row>
    <row r="868" ht="14.25" customHeight="1">
      <c r="G868" s="174" t="s">
        <v>2561</v>
      </c>
      <c r="H868" s="174" t="s">
        <v>1666</v>
      </c>
      <c r="I868" s="174" t="str">
        <f t="shared" si="1"/>
        <v>SUDESTE</v>
      </c>
    </row>
    <row r="869" ht="14.25" customHeight="1">
      <c r="G869" s="174" t="s">
        <v>2562</v>
      </c>
      <c r="H869" s="174" t="s">
        <v>1685</v>
      </c>
      <c r="I869" s="174" t="str">
        <f t="shared" si="1"/>
        <v>NORDESTE</v>
      </c>
    </row>
    <row r="870" ht="14.25" customHeight="1">
      <c r="G870" s="174" t="s">
        <v>2563</v>
      </c>
      <c r="H870" s="174" t="s">
        <v>1666</v>
      </c>
      <c r="I870" s="174" t="str">
        <f t="shared" si="1"/>
        <v>SUDESTE</v>
      </c>
    </row>
    <row r="871" ht="14.25" customHeight="1">
      <c r="G871" s="174" t="s">
        <v>2564</v>
      </c>
      <c r="H871" s="174" t="s">
        <v>1717</v>
      </c>
      <c r="I871" s="174" t="str">
        <f t="shared" si="1"/>
        <v>NORDESTE</v>
      </c>
    </row>
    <row r="872" ht="14.25" customHeight="1">
      <c r="G872" s="174" t="s">
        <v>2565</v>
      </c>
      <c r="H872" s="174" t="s">
        <v>1685</v>
      </c>
      <c r="I872" s="174" t="str">
        <f t="shared" si="1"/>
        <v>NORDESTE</v>
      </c>
    </row>
    <row r="873" ht="14.25" customHeight="1">
      <c r="G873" s="174" t="s">
        <v>2566</v>
      </c>
      <c r="H873" s="174" t="s">
        <v>1685</v>
      </c>
      <c r="I873" s="174" t="str">
        <f t="shared" si="1"/>
        <v>NORDESTE</v>
      </c>
    </row>
    <row r="874" ht="14.25" customHeight="1">
      <c r="G874" s="174" t="s">
        <v>2567</v>
      </c>
      <c r="H874" s="174" t="s">
        <v>1702</v>
      </c>
      <c r="I874" s="174" t="str">
        <f t="shared" si="1"/>
        <v>SUL</v>
      </c>
    </row>
    <row r="875" ht="14.25" customHeight="1">
      <c r="G875" s="174" t="s">
        <v>2568</v>
      </c>
      <c r="H875" s="174" t="s">
        <v>1750</v>
      </c>
      <c r="I875" s="174" t="str">
        <f t="shared" si="1"/>
        <v>SUDESTE</v>
      </c>
    </row>
    <row r="876" ht="14.25" customHeight="1">
      <c r="G876" s="174" t="s">
        <v>2568</v>
      </c>
      <c r="H876" s="174" t="s">
        <v>1702</v>
      </c>
      <c r="I876" s="174" t="str">
        <f t="shared" si="1"/>
        <v>SUL</v>
      </c>
    </row>
    <row r="877" ht="14.25" customHeight="1">
      <c r="G877" s="174" t="s">
        <v>2569</v>
      </c>
      <c r="H877" s="174" t="s">
        <v>1702</v>
      </c>
      <c r="I877" s="174" t="str">
        <f t="shared" si="1"/>
        <v>SUL</v>
      </c>
    </row>
    <row r="878" ht="14.25" customHeight="1">
      <c r="G878" s="174" t="s">
        <v>2570</v>
      </c>
      <c r="H878" s="174" t="s">
        <v>1750</v>
      </c>
      <c r="I878" s="174" t="str">
        <f t="shared" si="1"/>
        <v>SUDESTE</v>
      </c>
    </row>
    <row r="879" ht="14.25" customHeight="1">
      <c r="G879" s="174" t="s">
        <v>2571</v>
      </c>
      <c r="H879" s="174" t="s">
        <v>1666</v>
      </c>
      <c r="I879" s="174" t="str">
        <f t="shared" si="1"/>
        <v>SUDESTE</v>
      </c>
    </row>
    <row r="880" ht="14.25" customHeight="1">
      <c r="G880" s="174" t="s">
        <v>2572</v>
      </c>
      <c r="H880" s="174" t="s">
        <v>1658</v>
      </c>
      <c r="I880" s="174" t="str">
        <f t="shared" si="1"/>
        <v>CENTRO OESTE</v>
      </c>
    </row>
    <row r="881" ht="14.25" customHeight="1">
      <c r="G881" s="174" t="s">
        <v>2573</v>
      </c>
      <c r="H881" s="174" t="s">
        <v>1742</v>
      </c>
      <c r="I881" s="174" t="str">
        <f t="shared" si="1"/>
        <v>SUL</v>
      </c>
    </row>
    <row r="882" ht="14.25" customHeight="1">
      <c r="G882" s="174" t="s">
        <v>2574</v>
      </c>
      <c r="H882" s="174" t="s">
        <v>1706</v>
      </c>
      <c r="I882" s="174" t="str">
        <f t="shared" si="1"/>
        <v>SUL</v>
      </c>
    </row>
    <row r="883" ht="14.25" customHeight="1">
      <c r="G883" s="174" t="s">
        <v>2575</v>
      </c>
      <c r="H883" s="174" t="s">
        <v>1719</v>
      </c>
      <c r="I883" s="174" t="str">
        <f t="shared" si="1"/>
        <v>NORDESTE</v>
      </c>
    </row>
    <row r="884" ht="14.25" customHeight="1">
      <c r="G884" s="174" t="s">
        <v>2575</v>
      </c>
      <c r="H884" s="174" t="s">
        <v>1742</v>
      </c>
      <c r="I884" s="174" t="str">
        <f t="shared" si="1"/>
        <v>SUL</v>
      </c>
    </row>
    <row r="885" ht="14.25" customHeight="1">
      <c r="G885" s="174" t="s">
        <v>2576</v>
      </c>
      <c r="H885" s="174" t="s">
        <v>1733</v>
      </c>
      <c r="I885" s="174" t="str">
        <f t="shared" si="1"/>
        <v>NORDESTE</v>
      </c>
    </row>
    <row r="886" ht="14.25" customHeight="1">
      <c r="G886" s="174" t="s">
        <v>2577</v>
      </c>
      <c r="H886" s="174" t="s">
        <v>1733</v>
      </c>
      <c r="I886" s="174" t="str">
        <f t="shared" si="1"/>
        <v>NORDESTE</v>
      </c>
    </row>
    <row r="887" ht="14.25" customHeight="1">
      <c r="G887" s="174" t="s">
        <v>2578</v>
      </c>
      <c r="H887" s="174" t="s">
        <v>1733</v>
      </c>
      <c r="I887" s="174" t="str">
        <f t="shared" si="1"/>
        <v>NORDESTE</v>
      </c>
    </row>
    <row r="888" ht="14.25" customHeight="1">
      <c r="G888" s="174" t="s">
        <v>2579</v>
      </c>
      <c r="H888" s="174" t="s">
        <v>1750</v>
      </c>
      <c r="I888" s="174" t="str">
        <f t="shared" si="1"/>
        <v>SUDESTE</v>
      </c>
    </row>
    <row r="889" ht="14.25" customHeight="1">
      <c r="G889" s="174" t="s">
        <v>2580</v>
      </c>
      <c r="H889" s="174" t="s">
        <v>1685</v>
      </c>
      <c r="I889" s="174" t="str">
        <f t="shared" si="1"/>
        <v>NORDESTE</v>
      </c>
    </row>
    <row r="890" ht="14.25" customHeight="1">
      <c r="G890" s="174" t="s">
        <v>2581</v>
      </c>
      <c r="H890" s="174" t="s">
        <v>1750</v>
      </c>
      <c r="I890" s="174" t="str">
        <f t="shared" si="1"/>
        <v>SUDESTE</v>
      </c>
    </row>
    <row r="891" ht="14.25" customHeight="1">
      <c r="G891" s="174" t="s">
        <v>2582</v>
      </c>
      <c r="H891" s="174" t="s">
        <v>1750</v>
      </c>
      <c r="I891" s="174" t="str">
        <f t="shared" si="1"/>
        <v>SUDESTE</v>
      </c>
    </row>
    <row r="892" ht="14.25" customHeight="1">
      <c r="G892" s="174" t="s">
        <v>2583</v>
      </c>
      <c r="H892" s="174" t="s">
        <v>1704</v>
      </c>
      <c r="I892" s="174" t="str">
        <f t="shared" si="1"/>
        <v>NORDESTE</v>
      </c>
    </row>
    <row r="893" ht="14.25" customHeight="1">
      <c r="G893" s="174" t="s">
        <v>2584</v>
      </c>
      <c r="H893" s="174" t="s">
        <v>1704</v>
      </c>
      <c r="I893" s="174" t="str">
        <f t="shared" si="1"/>
        <v>NORDESTE</v>
      </c>
    </row>
    <row r="894" ht="14.25" customHeight="1">
      <c r="G894" s="174" t="s">
        <v>2585</v>
      </c>
      <c r="H894" s="174" t="s">
        <v>1750</v>
      </c>
      <c r="I894" s="174" t="str">
        <f t="shared" si="1"/>
        <v>SUDESTE</v>
      </c>
    </row>
    <row r="895" ht="14.25" customHeight="1">
      <c r="G895" s="174" t="s">
        <v>2586</v>
      </c>
      <c r="H895" s="174" t="s">
        <v>1719</v>
      </c>
      <c r="I895" s="174" t="str">
        <f t="shared" si="1"/>
        <v>NORDESTE</v>
      </c>
    </row>
    <row r="896" ht="14.25" customHeight="1">
      <c r="G896" s="174" t="s">
        <v>2587</v>
      </c>
      <c r="H896" s="174" t="s">
        <v>1725</v>
      </c>
      <c r="I896" s="174" t="str">
        <f t="shared" si="1"/>
        <v>NORDESTE</v>
      </c>
    </row>
    <row r="897" ht="14.25" customHeight="1">
      <c r="G897" s="174" t="s">
        <v>2588</v>
      </c>
      <c r="H897" s="174" t="s">
        <v>1719</v>
      </c>
      <c r="I897" s="174" t="str">
        <f t="shared" si="1"/>
        <v>NORDESTE</v>
      </c>
    </row>
    <row r="898" ht="14.25" customHeight="1">
      <c r="G898" s="174" t="s">
        <v>2589</v>
      </c>
      <c r="H898" s="174" t="s">
        <v>1750</v>
      </c>
      <c r="I898" s="174" t="str">
        <f t="shared" si="1"/>
        <v>SUDESTE</v>
      </c>
    </row>
    <row r="899" ht="14.25" customHeight="1">
      <c r="G899" s="174" t="s">
        <v>2590</v>
      </c>
      <c r="H899" s="174" t="s">
        <v>1664</v>
      </c>
      <c r="I899" s="174" t="str">
        <f t="shared" si="1"/>
        <v>NORDESTE</v>
      </c>
    </row>
    <row r="900" ht="14.25" customHeight="1">
      <c r="G900" s="174" t="s">
        <v>2591</v>
      </c>
      <c r="H900" s="174" t="s">
        <v>1725</v>
      </c>
      <c r="I900" s="174" t="str">
        <f t="shared" si="1"/>
        <v>NORDESTE</v>
      </c>
    </row>
    <row r="901" ht="14.25" customHeight="1">
      <c r="G901" s="174" t="s">
        <v>2592</v>
      </c>
      <c r="H901" s="174" t="s">
        <v>1666</v>
      </c>
      <c r="I901" s="174" t="str">
        <f t="shared" si="1"/>
        <v>SUDESTE</v>
      </c>
    </row>
    <row r="902" ht="14.25" customHeight="1">
      <c r="G902" s="174" t="s">
        <v>2593</v>
      </c>
      <c r="H902" s="174" t="s">
        <v>1750</v>
      </c>
      <c r="I902" s="174" t="str">
        <f t="shared" si="1"/>
        <v>SUDESTE</v>
      </c>
    </row>
    <row r="903" ht="14.25" customHeight="1">
      <c r="G903" s="174" t="s">
        <v>2594</v>
      </c>
      <c r="H903" s="174" t="s">
        <v>1717</v>
      </c>
      <c r="I903" s="174" t="str">
        <f t="shared" si="1"/>
        <v>NORDESTE</v>
      </c>
    </row>
    <row r="904" ht="14.25" customHeight="1">
      <c r="G904" s="174" t="s">
        <v>2595</v>
      </c>
      <c r="H904" s="174" t="s">
        <v>1679</v>
      </c>
      <c r="I904" s="174" t="str">
        <f t="shared" si="1"/>
        <v>NORTE</v>
      </c>
    </row>
    <row r="905" ht="14.25" customHeight="1">
      <c r="G905" s="174" t="s">
        <v>2596</v>
      </c>
      <c r="H905" s="174" t="s">
        <v>1666</v>
      </c>
      <c r="I905" s="174" t="str">
        <f t="shared" si="1"/>
        <v>SUDESTE</v>
      </c>
    </row>
    <row r="906" ht="14.25" customHeight="1">
      <c r="G906" s="174" t="s">
        <v>2597</v>
      </c>
      <c r="H906" s="174" t="s">
        <v>1719</v>
      </c>
      <c r="I906" s="174" t="str">
        <f t="shared" si="1"/>
        <v>NORDESTE</v>
      </c>
    </row>
    <row r="907" ht="14.25" customHeight="1">
      <c r="G907" s="174" t="s">
        <v>2598</v>
      </c>
      <c r="H907" s="174" t="s">
        <v>1658</v>
      </c>
      <c r="I907" s="174" t="str">
        <f t="shared" si="1"/>
        <v>CENTRO OESTE</v>
      </c>
    </row>
    <row r="908" ht="14.25" customHeight="1">
      <c r="G908" s="174" t="s">
        <v>2599</v>
      </c>
      <c r="H908" s="174" t="s">
        <v>1658</v>
      </c>
      <c r="I908" s="174" t="str">
        <f t="shared" si="1"/>
        <v>CENTRO OESTE</v>
      </c>
    </row>
    <row r="909" ht="14.25" customHeight="1">
      <c r="G909" s="174" t="s">
        <v>2600</v>
      </c>
      <c r="H909" s="174" t="s">
        <v>1685</v>
      </c>
      <c r="I909" s="174" t="str">
        <f t="shared" si="1"/>
        <v>NORDESTE</v>
      </c>
    </row>
    <row r="910" ht="14.25" customHeight="1">
      <c r="G910" s="174" t="s">
        <v>2601</v>
      </c>
      <c r="H910" s="174" t="s">
        <v>1725</v>
      </c>
      <c r="I910" s="174" t="str">
        <f t="shared" si="1"/>
        <v>NORDESTE</v>
      </c>
    </row>
    <row r="911" ht="14.25" customHeight="1">
      <c r="G911" s="174" t="s">
        <v>2602</v>
      </c>
      <c r="H911" s="174" t="s">
        <v>1702</v>
      </c>
      <c r="I911" s="174" t="str">
        <f t="shared" si="1"/>
        <v>SUL</v>
      </c>
    </row>
    <row r="912" ht="14.25" customHeight="1">
      <c r="G912" s="174" t="s">
        <v>2603</v>
      </c>
      <c r="H912" s="174" t="s">
        <v>1706</v>
      </c>
      <c r="I912" s="174" t="str">
        <f t="shared" si="1"/>
        <v>SUL</v>
      </c>
    </row>
    <row r="913" ht="14.25" customHeight="1">
      <c r="G913" s="174" t="s">
        <v>2604</v>
      </c>
      <c r="H913" s="174" t="s">
        <v>1717</v>
      </c>
      <c r="I913" s="174" t="str">
        <f t="shared" si="1"/>
        <v>NORDESTE</v>
      </c>
    </row>
    <row r="914" ht="14.25" customHeight="1">
      <c r="G914" s="174" t="s">
        <v>2605</v>
      </c>
      <c r="H914" s="174" t="s">
        <v>1685</v>
      </c>
      <c r="I914" s="174" t="str">
        <f t="shared" si="1"/>
        <v>NORDESTE</v>
      </c>
    </row>
    <row r="915" ht="14.25" customHeight="1">
      <c r="G915" s="174" t="s">
        <v>2606</v>
      </c>
      <c r="H915" s="174" t="s">
        <v>1685</v>
      </c>
      <c r="I915" s="174" t="str">
        <f t="shared" si="1"/>
        <v>NORDESTE</v>
      </c>
    </row>
    <row r="916" ht="14.25" customHeight="1">
      <c r="G916" s="174" t="s">
        <v>2607</v>
      </c>
      <c r="H916" s="174" t="s">
        <v>1666</v>
      </c>
      <c r="I916" s="174" t="str">
        <f t="shared" si="1"/>
        <v>SUDESTE</v>
      </c>
    </row>
    <row r="917" ht="14.25" customHeight="1">
      <c r="G917" s="174" t="s">
        <v>2608</v>
      </c>
      <c r="H917" s="174" t="s">
        <v>1719</v>
      </c>
      <c r="I917" s="174" t="str">
        <f t="shared" si="1"/>
        <v>NORDESTE</v>
      </c>
    </row>
    <row r="918" ht="14.25" customHeight="1">
      <c r="G918" s="174" t="s">
        <v>2609</v>
      </c>
      <c r="H918" s="174" t="s">
        <v>1685</v>
      </c>
      <c r="I918" s="174" t="str">
        <f t="shared" si="1"/>
        <v>NORDESTE</v>
      </c>
    </row>
    <row r="919" ht="14.25" customHeight="1">
      <c r="G919" s="174" t="s">
        <v>2610</v>
      </c>
      <c r="H919" s="174" t="s">
        <v>1666</v>
      </c>
      <c r="I919" s="174" t="str">
        <f t="shared" si="1"/>
        <v>SUDESTE</v>
      </c>
    </row>
    <row r="920" ht="14.25" customHeight="1">
      <c r="G920" s="174" t="s">
        <v>2611</v>
      </c>
      <c r="H920" s="174" t="s">
        <v>1710</v>
      </c>
      <c r="I920" s="174" t="str">
        <f t="shared" si="1"/>
        <v>CENTRO OESTE</v>
      </c>
    </row>
    <row r="921" ht="14.25" customHeight="1">
      <c r="G921" s="174" t="s">
        <v>2612</v>
      </c>
      <c r="H921" s="174" t="s">
        <v>1742</v>
      </c>
      <c r="I921" s="174" t="str">
        <f t="shared" si="1"/>
        <v>SUL</v>
      </c>
    </row>
    <row r="922" ht="14.25" customHeight="1">
      <c r="G922" s="174" t="s">
        <v>2613</v>
      </c>
      <c r="H922" s="174" t="s">
        <v>1717</v>
      </c>
      <c r="I922" s="174" t="str">
        <f t="shared" si="1"/>
        <v>NORDESTE</v>
      </c>
    </row>
    <row r="923" ht="14.25" customHeight="1">
      <c r="G923" s="174" t="s">
        <v>2614</v>
      </c>
      <c r="H923" s="174" t="s">
        <v>1742</v>
      </c>
      <c r="I923" s="174" t="str">
        <f t="shared" si="1"/>
        <v>SUL</v>
      </c>
    </row>
    <row r="924" ht="14.25" customHeight="1">
      <c r="G924" s="174" t="s">
        <v>2615</v>
      </c>
      <c r="H924" s="174" t="s">
        <v>1702</v>
      </c>
      <c r="I924" s="174" t="str">
        <f t="shared" si="1"/>
        <v>SUL</v>
      </c>
    </row>
    <row r="925" ht="14.25" customHeight="1">
      <c r="G925" s="174" t="s">
        <v>2616</v>
      </c>
      <c r="H925" s="174" t="s">
        <v>1742</v>
      </c>
      <c r="I925" s="174" t="str">
        <f t="shared" si="1"/>
        <v>SUL</v>
      </c>
    </row>
    <row r="926" ht="14.25" customHeight="1">
      <c r="G926" s="174" t="s">
        <v>2617</v>
      </c>
      <c r="H926" s="174" t="s">
        <v>1702</v>
      </c>
      <c r="I926" s="174" t="str">
        <f t="shared" si="1"/>
        <v>SUL</v>
      </c>
    </row>
    <row r="927" ht="14.25" customHeight="1">
      <c r="G927" s="174" t="s">
        <v>2618</v>
      </c>
      <c r="H927" s="174" t="s">
        <v>1702</v>
      </c>
      <c r="I927" s="174" t="str">
        <f t="shared" si="1"/>
        <v>SUL</v>
      </c>
    </row>
    <row r="928" ht="14.25" customHeight="1">
      <c r="G928" s="174" t="s">
        <v>2619</v>
      </c>
      <c r="H928" s="174" t="s">
        <v>1706</v>
      </c>
      <c r="I928" s="174" t="str">
        <f t="shared" si="1"/>
        <v>SUL</v>
      </c>
    </row>
    <row r="929" ht="14.25" customHeight="1">
      <c r="G929" s="174" t="s">
        <v>2620</v>
      </c>
      <c r="H929" s="174" t="s">
        <v>1730</v>
      </c>
      <c r="I929" s="174" t="str">
        <f t="shared" si="1"/>
        <v>SUDESTE</v>
      </c>
    </row>
    <row r="930" ht="14.25" customHeight="1">
      <c r="G930" s="174" t="s">
        <v>2621</v>
      </c>
      <c r="H930" s="174" t="s">
        <v>1666</v>
      </c>
      <c r="I930" s="174" t="str">
        <f t="shared" si="1"/>
        <v>SUDESTE</v>
      </c>
    </row>
    <row r="931" ht="14.25" customHeight="1">
      <c r="G931" s="174" t="s">
        <v>2622</v>
      </c>
      <c r="H931" s="174" t="s">
        <v>1666</v>
      </c>
      <c r="I931" s="174" t="str">
        <f t="shared" si="1"/>
        <v>SUDESTE</v>
      </c>
    </row>
    <row r="932" ht="14.25" customHeight="1">
      <c r="G932" s="174" t="s">
        <v>2623</v>
      </c>
      <c r="H932" s="174" t="s">
        <v>1687</v>
      </c>
      <c r="I932" s="174" t="str">
        <f t="shared" si="1"/>
        <v>NORTE</v>
      </c>
    </row>
    <row r="933" ht="14.25" customHeight="1">
      <c r="G933" s="174" t="s">
        <v>2624</v>
      </c>
      <c r="H933" s="174" t="s">
        <v>1690</v>
      </c>
      <c r="I933" s="174" t="str">
        <f t="shared" si="1"/>
        <v>NORDESTE</v>
      </c>
    </row>
    <row r="934" ht="14.25" customHeight="1">
      <c r="G934" s="174" t="s">
        <v>2625</v>
      </c>
      <c r="H934" s="174" t="s">
        <v>1717</v>
      </c>
      <c r="I934" s="174" t="str">
        <f t="shared" si="1"/>
        <v>NORDESTE</v>
      </c>
    </row>
    <row r="935" ht="14.25" customHeight="1">
      <c r="G935" s="174" t="s">
        <v>2626</v>
      </c>
      <c r="H935" s="174" t="s">
        <v>1666</v>
      </c>
      <c r="I935" s="174" t="str">
        <f t="shared" si="1"/>
        <v>SUDESTE</v>
      </c>
    </row>
    <row r="936" ht="14.25" customHeight="1">
      <c r="G936" s="174" t="s">
        <v>2627</v>
      </c>
      <c r="H936" s="174" t="s">
        <v>1666</v>
      </c>
      <c r="I936" s="174" t="str">
        <f t="shared" si="1"/>
        <v>SUDESTE</v>
      </c>
    </row>
    <row r="937" ht="14.25" customHeight="1">
      <c r="G937" s="174" t="s">
        <v>2628</v>
      </c>
      <c r="H937" s="174" t="s">
        <v>1664</v>
      </c>
      <c r="I937" s="174" t="str">
        <f t="shared" si="1"/>
        <v>NORDESTE</v>
      </c>
    </row>
    <row r="938" ht="14.25" customHeight="1">
      <c r="G938" s="174" t="s">
        <v>2628</v>
      </c>
      <c r="H938" s="174" t="s">
        <v>1666</v>
      </c>
      <c r="I938" s="174" t="str">
        <f t="shared" si="1"/>
        <v>SUDESTE</v>
      </c>
    </row>
    <row r="939" ht="14.25" customHeight="1">
      <c r="G939" s="174" t="s">
        <v>2629</v>
      </c>
      <c r="H939" s="174" t="s">
        <v>1742</v>
      </c>
      <c r="I939" s="174" t="str">
        <f t="shared" si="1"/>
        <v>SUL</v>
      </c>
    </row>
    <row r="940" ht="14.25" customHeight="1">
      <c r="G940" s="174" t="s">
        <v>2630</v>
      </c>
      <c r="H940" s="174" t="s">
        <v>1658</v>
      </c>
      <c r="I940" s="174" t="str">
        <f t="shared" si="1"/>
        <v>CENTRO OESTE</v>
      </c>
    </row>
    <row r="941" ht="14.25" customHeight="1">
      <c r="G941" s="174" t="s">
        <v>2631</v>
      </c>
      <c r="H941" s="174" t="s">
        <v>1704</v>
      </c>
      <c r="I941" s="174" t="str">
        <f t="shared" si="1"/>
        <v>NORDESTE</v>
      </c>
    </row>
    <row r="942" ht="14.25" customHeight="1">
      <c r="G942" s="174" t="s">
        <v>2632</v>
      </c>
      <c r="H942" s="174" t="s">
        <v>1702</v>
      </c>
      <c r="I942" s="174" t="str">
        <f t="shared" si="1"/>
        <v>SUL</v>
      </c>
    </row>
    <row r="943" ht="14.25" customHeight="1">
      <c r="G943" s="174" t="s">
        <v>2633</v>
      </c>
      <c r="H943" s="174" t="s">
        <v>1742</v>
      </c>
      <c r="I943" s="174" t="str">
        <f t="shared" si="1"/>
        <v>SUL</v>
      </c>
    </row>
    <row r="944" ht="14.25" customHeight="1">
      <c r="G944" s="174" t="s">
        <v>2634</v>
      </c>
      <c r="H944" s="174" t="s">
        <v>1750</v>
      </c>
      <c r="I944" s="174" t="str">
        <f t="shared" si="1"/>
        <v>SUDESTE</v>
      </c>
    </row>
    <row r="945" ht="14.25" customHeight="1">
      <c r="G945" s="174" t="s">
        <v>2635</v>
      </c>
      <c r="H945" s="174" t="s">
        <v>1702</v>
      </c>
      <c r="I945" s="174" t="str">
        <f t="shared" si="1"/>
        <v>SUL</v>
      </c>
    </row>
    <row r="946" ht="14.25" customHeight="1">
      <c r="G946" s="174" t="s">
        <v>2636</v>
      </c>
      <c r="H946" s="174" t="s">
        <v>1719</v>
      </c>
      <c r="I946" s="174" t="str">
        <f t="shared" si="1"/>
        <v>NORDESTE</v>
      </c>
    </row>
    <row r="947" ht="14.25" customHeight="1">
      <c r="G947" s="174" t="s">
        <v>2637</v>
      </c>
      <c r="H947" s="174" t="s">
        <v>1702</v>
      </c>
      <c r="I947" s="174" t="str">
        <f t="shared" si="1"/>
        <v>SUL</v>
      </c>
    </row>
    <row r="948" ht="14.25" customHeight="1">
      <c r="G948" s="174" t="s">
        <v>2638</v>
      </c>
      <c r="H948" s="174" t="s">
        <v>1666</v>
      </c>
      <c r="I948" s="174" t="str">
        <f t="shared" si="1"/>
        <v>SUDESTE</v>
      </c>
    </row>
    <row r="949" ht="14.25" customHeight="1">
      <c r="G949" s="174" t="s">
        <v>2639</v>
      </c>
      <c r="H949" s="174" t="s">
        <v>1658</v>
      </c>
      <c r="I949" s="174" t="str">
        <f t="shared" si="1"/>
        <v>CENTRO OESTE</v>
      </c>
    </row>
    <row r="950" ht="14.25" customHeight="1">
      <c r="G950" s="174" t="s">
        <v>2640</v>
      </c>
      <c r="H950" s="174" t="s">
        <v>1713</v>
      </c>
      <c r="I950" s="174" t="str">
        <f t="shared" si="1"/>
        <v>CENTRO OESTE</v>
      </c>
    </row>
    <row r="951" ht="14.25" customHeight="1">
      <c r="G951" s="174" t="s">
        <v>2641</v>
      </c>
      <c r="H951" s="174" t="s">
        <v>1750</v>
      </c>
      <c r="I951" s="174" t="str">
        <f t="shared" si="1"/>
        <v>SUDESTE</v>
      </c>
    </row>
    <row r="952" ht="14.25" customHeight="1">
      <c r="G952" s="174" t="s">
        <v>2642</v>
      </c>
      <c r="H952" s="174" t="s">
        <v>1725</v>
      </c>
      <c r="I952" s="174" t="str">
        <f t="shared" si="1"/>
        <v>NORDESTE</v>
      </c>
    </row>
    <row r="953" ht="14.25" customHeight="1">
      <c r="G953" s="174" t="s">
        <v>2643</v>
      </c>
      <c r="H953" s="174" t="s">
        <v>1742</v>
      </c>
      <c r="I953" s="174" t="str">
        <f t="shared" si="1"/>
        <v>SUL</v>
      </c>
    </row>
    <row r="954" ht="14.25" customHeight="1">
      <c r="G954" s="174" t="s">
        <v>2644</v>
      </c>
      <c r="H954" s="174" t="s">
        <v>1658</v>
      </c>
      <c r="I954" s="174" t="str">
        <f t="shared" si="1"/>
        <v>CENTRO OESTE</v>
      </c>
    </row>
    <row r="955" ht="14.25" customHeight="1">
      <c r="G955" s="174" t="s">
        <v>2645</v>
      </c>
      <c r="H955" s="174" t="s">
        <v>1664</v>
      </c>
      <c r="I955" s="174" t="str">
        <f t="shared" si="1"/>
        <v>NORDESTE</v>
      </c>
    </row>
    <row r="956" ht="14.25" customHeight="1">
      <c r="G956" s="174" t="s">
        <v>2645</v>
      </c>
      <c r="H956" s="174" t="s">
        <v>1706</v>
      </c>
      <c r="I956" s="174" t="str">
        <f t="shared" si="1"/>
        <v>SUL</v>
      </c>
    </row>
    <row r="957" ht="14.25" customHeight="1">
      <c r="G957" s="174" t="s">
        <v>2646</v>
      </c>
      <c r="H957" s="174" t="s">
        <v>1658</v>
      </c>
      <c r="I957" s="174" t="str">
        <f t="shared" si="1"/>
        <v>CENTRO OESTE</v>
      </c>
    </row>
    <row r="958" ht="14.25" customHeight="1">
      <c r="G958" s="174" t="s">
        <v>2647</v>
      </c>
      <c r="H958" s="174" t="s">
        <v>1685</v>
      </c>
      <c r="I958" s="174" t="str">
        <f t="shared" si="1"/>
        <v>NORDESTE</v>
      </c>
    </row>
    <row r="959" ht="14.25" customHeight="1">
      <c r="G959" s="174" t="s">
        <v>2648</v>
      </c>
      <c r="H959" s="174" t="s">
        <v>1725</v>
      </c>
      <c r="I959" s="174" t="str">
        <f t="shared" si="1"/>
        <v>NORDESTE</v>
      </c>
    </row>
    <row r="960" ht="14.25" customHeight="1">
      <c r="G960" s="174" t="s">
        <v>2649</v>
      </c>
      <c r="H960" s="174" t="s">
        <v>1666</v>
      </c>
      <c r="I960" s="174" t="str">
        <f t="shared" si="1"/>
        <v>SUDESTE</v>
      </c>
    </row>
    <row r="961" ht="14.25" customHeight="1">
      <c r="G961" s="174" t="s">
        <v>2650</v>
      </c>
      <c r="H961" s="174" t="s">
        <v>1666</v>
      </c>
      <c r="I961" s="174" t="str">
        <f t="shared" si="1"/>
        <v>SUDESTE</v>
      </c>
    </row>
    <row r="962" ht="14.25" customHeight="1">
      <c r="G962" s="174" t="s">
        <v>2651</v>
      </c>
      <c r="H962" s="174" t="s">
        <v>1706</v>
      </c>
      <c r="I962" s="174" t="str">
        <f t="shared" si="1"/>
        <v>SUL</v>
      </c>
    </row>
    <row r="963" ht="14.25" customHeight="1">
      <c r="G963" s="174" t="s">
        <v>2652</v>
      </c>
      <c r="H963" s="174" t="s">
        <v>1742</v>
      </c>
      <c r="I963" s="174" t="str">
        <f t="shared" si="1"/>
        <v>SUL</v>
      </c>
    </row>
    <row r="964" ht="14.25" customHeight="1">
      <c r="G964" s="174" t="s">
        <v>2653</v>
      </c>
      <c r="H964" s="174" t="s">
        <v>1702</v>
      </c>
      <c r="I964" s="174" t="str">
        <f t="shared" si="1"/>
        <v>SUL</v>
      </c>
    </row>
    <row r="965" ht="14.25" customHeight="1">
      <c r="G965" s="174" t="s">
        <v>2654</v>
      </c>
      <c r="H965" s="174" t="s">
        <v>1719</v>
      </c>
      <c r="I965" s="174" t="str">
        <f t="shared" si="1"/>
        <v>NORDESTE</v>
      </c>
    </row>
    <row r="966" ht="14.25" customHeight="1">
      <c r="G966" s="174" t="s">
        <v>2655</v>
      </c>
      <c r="H966" s="174" t="s">
        <v>1747</v>
      </c>
      <c r="I966" s="174" t="str">
        <f t="shared" si="1"/>
        <v>NORDESTE</v>
      </c>
    </row>
    <row r="967" ht="14.25" customHeight="1">
      <c r="G967" s="174" t="s">
        <v>2656</v>
      </c>
      <c r="H967" s="174" t="s">
        <v>1666</v>
      </c>
      <c r="I967" s="174" t="str">
        <f t="shared" si="1"/>
        <v>SUDESTE</v>
      </c>
    </row>
    <row r="968" ht="14.25" customHeight="1">
      <c r="G968" s="174" t="s">
        <v>2657</v>
      </c>
      <c r="H968" s="174" t="s">
        <v>1702</v>
      </c>
      <c r="I968" s="174" t="str">
        <f t="shared" si="1"/>
        <v>SUL</v>
      </c>
    </row>
    <row r="969" ht="14.25" customHeight="1">
      <c r="G969" s="174" t="s">
        <v>2658</v>
      </c>
      <c r="H969" s="174" t="s">
        <v>1706</v>
      </c>
      <c r="I969" s="174" t="str">
        <f t="shared" si="1"/>
        <v>SUL</v>
      </c>
    </row>
    <row r="970" ht="14.25" customHeight="1">
      <c r="G970" s="174" t="s">
        <v>2659</v>
      </c>
      <c r="H970" s="174" t="s">
        <v>1666</v>
      </c>
      <c r="I970" s="174" t="str">
        <f t="shared" si="1"/>
        <v>SUDESTE</v>
      </c>
    </row>
    <row r="971" ht="14.25" customHeight="1">
      <c r="G971" s="174" t="s">
        <v>2660</v>
      </c>
      <c r="H971" s="174" t="s">
        <v>1685</v>
      </c>
      <c r="I971" s="174" t="str">
        <f t="shared" si="1"/>
        <v>NORDESTE</v>
      </c>
    </row>
    <row r="972" ht="14.25" customHeight="1">
      <c r="G972" s="174" t="s">
        <v>2661</v>
      </c>
      <c r="H972" s="174" t="s">
        <v>1664</v>
      </c>
      <c r="I972" s="174" t="str">
        <f t="shared" si="1"/>
        <v>NORDESTE</v>
      </c>
    </row>
    <row r="973" ht="14.25" customHeight="1">
      <c r="G973" s="174" t="s">
        <v>2661</v>
      </c>
      <c r="H973" s="174" t="s">
        <v>1710</v>
      </c>
      <c r="I973" s="174" t="str">
        <f t="shared" si="1"/>
        <v>CENTRO OESTE</v>
      </c>
    </row>
    <row r="974" ht="14.25" customHeight="1">
      <c r="G974" s="174" t="s">
        <v>2662</v>
      </c>
      <c r="H974" s="174" t="s">
        <v>1725</v>
      </c>
      <c r="I974" s="174" t="str">
        <f t="shared" si="1"/>
        <v>NORDESTE</v>
      </c>
    </row>
    <row r="975" ht="14.25" customHeight="1">
      <c r="G975" s="174" t="s">
        <v>2663</v>
      </c>
      <c r="H975" s="174" t="s">
        <v>1702</v>
      </c>
      <c r="I975" s="174" t="str">
        <f t="shared" si="1"/>
        <v>SUL</v>
      </c>
    </row>
    <row r="976" ht="14.25" customHeight="1">
      <c r="G976" s="174" t="s">
        <v>2664</v>
      </c>
      <c r="H976" s="174" t="s">
        <v>1725</v>
      </c>
      <c r="I976" s="174" t="str">
        <f t="shared" si="1"/>
        <v>NORDESTE</v>
      </c>
    </row>
    <row r="977" ht="14.25" customHeight="1">
      <c r="G977" s="174" t="s">
        <v>2665</v>
      </c>
      <c r="H977" s="174" t="s">
        <v>1658</v>
      </c>
      <c r="I977" s="174" t="str">
        <f t="shared" si="1"/>
        <v>CENTRO OESTE</v>
      </c>
    </row>
    <row r="978" ht="14.25" customHeight="1">
      <c r="G978" s="174" t="s">
        <v>2666</v>
      </c>
      <c r="H978" s="174" t="s">
        <v>1750</v>
      </c>
      <c r="I978" s="174" t="str">
        <f t="shared" si="1"/>
        <v>SUDESTE</v>
      </c>
    </row>
    <row r="979" ht="14.25" customHeight="1">
      <c r="G979" s="174" t="s">
        <v>2667</v>
      </c>
      <c r="H979" s="174" t="s">
        <v>1702</v>
      </c>
      <c r="I979" s="174" t="str">
        <f t="shared" si="1"/>
        <v>SUL</v>
      </c>
    </row>
    <row r="980" ht="14.25" customHeight="1">
      <c r="G980" s="174" t="s">
        <v>2668</v>
      </c>
      <c r="H980" s="174" t="s">
        <v>1725</v>
      </c>
      <c r="I980" s="174" t="str">
        <f t="shared" si="1"/>
        <v>NORDESTE</v>
      </c>
    </row>
    <row r="981" ht="14.25" customHeight="1">
      <c r="G981" s="174" t="s">
        <v>2669</v>
      </c>
      <c r="H981" s="174" t="s">
        <v>1702</v>
      </c>
      <c r="I981" s="174" t="str">
        <f t="shared" si="1"/>
        <v>SUL</v>
      </c>
    </row>
    <row r="982" ht="14.25" customHeight="1">
      <c r="G982" s="174" t="s">
        <v>2670</v>
      </c>
      <c r="H982" s="174" t="s">
        <v>1742</v>
      </c>
      <c r="I982" s="174" t="str">
        <f t="shared" si="1"/>
        <v>SUL</v>
      </c>
    </row>
    <row r="983" ht="14.25" customHeight="1">
      <c r="G983" s="174" t="s">
        <v>2671</v>
      </c>
      <c r="H983" s="174" t="s">
        <v>1736</v>
      </c>
      <c r="I983" s="174" t="str">
        <f t="shared" si="1"/>
        <v>NORTE</v>
      </c>
    </row>
    <row r="984" ht="14.25" customHeight="1">
      <c r="G984" s="174" t="s">
        <v>2672</v>
      </c>
      <c r="H984" s="174" t="s">
        <v>1713</v>
      </c>
      <c r="I984" s="174" t="str">
        <f t="shared" si="1"/>
        <v>CENTRO OESTE</v>
      </c>
    </row>
    <row r="985" ht="14.25" customHeight="1">
      <c r="G985" s="174" t="s">
        <v>2673</v>
      </c>
      <c r="H985" s="174" t="s">
        <v>1733</v>
      </c>
      <c r="I985" s="174" t="str">
        <f t="shared" si="1"/>
        <v>NORDESTE</v>
      </c>
    </row>
    <row r="986" ht="14.25" customHeight="1">
      <c r="G986" s="174" t="s">
        <v>2674</v>
      </c>
      <c r="H986" s="174" t="s">
        <v>1713</v>
      </c>
      <c r="I986" s="174" t="str">
        <f t="shared" si="1"/>
        <v>CENTRO OESTE</v>
      </c>
    </row>
    <row r="987" ht="14.25" customHeight="1">
      <c r="G987" s="174" t="s">
        <v>2675</v>
      </c>
      <c r="H987" s="174" t="s">
        <v>1666</v>
      </c>
      <c r="I987" s="174" t="str">
        <f t="shared" si="1"/>
        <v>SUDESTE</v>
      </c>
    </row>
    <row r="988" ht="14.25" customHeight="1">
      <c r="G988" s="174" t="s">
        <v>2676</v>
      </c>
      <c r="H988" s="174" t="s">
        <v>1658</v>
      </c>
      <c r="I988" s="174" t="str">
        <f t="shared" si="1"/>
        <v>CENTRO OESTE</v>
      </c>
    </row>
    <row r="989" ht="14.25" customHeight="1">
      <c r="G989" s="174" t="s">
        <v>2677</v>
      </c>
      <c r="H989" s="174" t="s">
        <v>1742</v>
      </c>
      <c r="I989" s="174" t="str">
        <f t="shared" si="1"/>
        <v>SUL</v>
      </c>
    </row>
    <row r="990" ht="14.25" customHeight="1">
      <c r="G990" s="174" t="s">
        <v>2678</v>
      </c>
      <c r="H990" s="174" t="s">
        <v>1713</v>
      </c>
      <c r="I990" s="174" t="str">
        <f t="shared" si="1"/>
        <v>CENTRO OESTE</v>
      </c>
    </row>
    <row r="991" ht="14.25" customHeight="1">
      <c r="G991" s="174" t="s">
        <v>2679</v>
      </c>
      <c r="H991" s="174" t="s">
        <v>1750</v>
      </c>
      <c r="I991" s="174" t="str">
        <f t="shared" si="1"/>
        <v>SUDESTE</v>
      </c>
    </row>
    <row r="992" ht="14.25" customHeight="1">
      <c r="G992" s="174" t="s">
        <v>2680</v>
      </c>
      <c r="H992" s="174" t="s">
        <v>1730</v>
      </c>
      <c r="I992" s="174" t="str">
        <f t="shared" si="1"/>
        <v>SUDESTE</v>
      </c>
    </row>
    <row r="993" ht="14.25" customHeight="1">
      <c r="G993" s="174" t="s">
        <v>2681</v>
      </c>
      <c r="H993" s="174" t="s">
        <v>1666</v>
      </c>
      <c r="I993" s="174" t="str">
        <f t="shared" si="1"/>
        <v>SUDESTE</v>
      </c>
    </row>
    <row r="994" ht="14.25" customHeight="1">
      <c r="G994" s="174" t="s">
        <v>2682</v>
      </c>
      <c r="H994" s="174" t="s">
        <v>1721</v>
      </c>
      <c r="I994" s="174" t="str">
        <f t="shared" si="1"/>
        <v>NORTE</v>
      </c>
    </row>
    <row r="995" ht="14.25" customHeight="1">
      <c r="G995" s="174" t="s">
        <v>2683</v>
      </c>
      <c r="H995" s="174" t="s">
        <v>1706</v>
      </c>
      <c r="I995" s="174" t="str">
        <f t="shared" si="1"/>
        <v>SUL</v>
      </c>
    </row>
    <row r="996" ht="14.25" customHeight="1">
      <c r="G996" s="174" t="s">
        <v>2684</v>
      </c>
      <c r="H996" s="174" t="s">
        <v>1750</v>
      </c>
      <c r="I996" s="174" t="str">
        <f t="shared" si="1"/>
        <v>SUDESTE</v>
      </c>
    </row>
    <row r="997" ht="14.25" customHeight="1">
      <c r="G997" s="174" t="s">
        <v>2685</v>
      </c>
      <c r="H997" s="174" t="s">
        <v>1690</v>
      </c>
      <c r="I997" s="174" t="str">
        <f t="shared" si="1"/>
        <v>NORDESTE</v>
      </c>
    </row>
    <row r="998" ht="14.25" customHeight="1">
      <c r="G998" s="174" t="s">
        <v>2686</v>
      </c>
      <c r="H998" s="174" t="s">
        <v>1658</v>
      </c>
      <c r="I998" s="174" t="str">
        <f t="shared" si="1"/>
        <v>CENTRO OESTE</v>
      </c>
    </row>
    <row r="999" ht="14.25" customHeight="1">
      <c r="G999" s="174" t="s">
        <v>2687</v>
      </c>
      <c r="H999" s="174" t="s">
        <v>1717</v>
      </c>
      <c r="I999" s="174" t="str">
        <f t="shared" si="1"/>
        <v>NORDESTE</v>
      </c>
    </row>
    <row r="1000" ht="14.25" customHeight="1">
      <c r="G1000" s="174" t="s">
        <v>2688</v>
      </c>
      <c r="H1000" s="174" t="s">
        <v>1666</v>
      </c>
      <c r="I1000" s="174" t="str">
        <f t="shared" si="1"/>
        <v>SUDESTE</v>
      </c>
    </row>
    <row r="1001" ht="14.25" customHeight="1">
      <c r="G1001" s="174" t="s">
        <v>2689</v>
      </c>
      <c r="H1001" s="174" t="s">
        <v>1666</v>
      </c>
      <c r="I1001" s="174" t="str">
        <f t="shared" si="1"/>
        <v>SUDESTE</v>
      </c>
    </row>
    <row r="1002" ht="14.25" customHeight="1">
      <c r="G1002" s="174" t="s">
        <v>2690</v>
      </c>
      <c r="H1002" s="174" t="s">
        <v>1687</v>
      </c>
      <c r="I1002" s="174" t="str">
        <f t="shared" si="1"/>
        <v>NORTE</v>
      </c>
    </row>
    <row r="1003" ht="14.25" customHeight="1">
      <c r="G1003" s="174" t="s">
        <v>2691</v>
      </c>
      <c r="H1003" s="174" t="s">
        <v>1713</v>
      </c>
      <c r="I1003" s="174" t="str">
        <f t="shared" si="1"/>
        <v>CENTRO OESTE</v>
      </c>
    </row>
    <row r="1004" ht="14.25" customHeight="1">
      <c r="G1004" s="174" t="s">
        <v>2692</v>
      </c>
      <c r="H1004" s="174" t="s">
        <v>1750</v>
      </c>
      <c r="I1004" s="174" t="str">
        <f t="shared" si="1"/>
        <v>SUDESTE</v>
      </c>
    </row>
    <row r="1005" ht="14.25" customHeight="1">
      <c r="G1005" s="174" t="s">
        <v>2693</v>
      </c>
      <c r="H1005" s="174" t="s">
        <v>1664</v>
      </c>
      <c r="I1005" s="174" t="str">
        <f t="shared" si="1"/>
        <v>NORDESTE</v>
      </c>
    </row>
    <row r="1006" ht="14.25" customHeight="1">
      <c r="G1006" s="174" t="s">
        <v>2694</v>
      </c>
      <c r="H1006" s="174" t="s">
        <v>1685</v>
      </c>
      <c r="I1006" s="174" t="str">
        <f t="shared" si="1"/>
        <v>NORDESTE</v>
      </c>
    </row>
    <row r="1007" ht="14.25" customHeight="1">
      <c r="G1007" s="174" t="s">
        <v>2694</v>
      </c>
      <c r="H1007" s="174" t="s">
        <v>1666</v>
      </c>
      <c r="I1007" s="174" t="str">
        <f t="shared" si="1"/>
        <v>SUDESTE</v>
      </c>
    </row>
    <row r="1008" ht="14.25" customHeight="1">
      <c r="G1008" s="174" t="s">
        <v>2695</v>
      </c>
      <c r="H1008" s="174" t="s">
        <v>1685</v>
      </c>
      <c r="I1008" s="174" t="str">
        <f t="shared" si="1"/>
        <v>NORDESTE</v>
      </c>
    </row>
    <row r="1009" ht="14.25" customHeight="1">
      <c r="G1009" s="174" t="s">
        <v>2695</v>
      </c>
      <c r="H1009" s="174" t="s">
        <v>1713</v>
      </c>
      <c r="I1009" s="174" t="str">
        <f t="shared" si="1"/>
        <v>CENTRO OESTE</v>
      </c>
    </row>
    <row r="1010" ht="14.25" customHeight="1">
      <c r="G1010" s="174" t="s">
        <v>2696</v>
      </c>
      <c r="H1010" s="174" t="s">
        <v>1750</v>
      </c>
      <c r="I1010" s="174" t="str">
        <f t="shared" si="1"/>
        <v>SUDESTE</v>
      </c>
    </row>
    <row r="1011" ht="14.25" customHeight="1">
      <c r="G1011" s="174" t="s">
        <v>2697</v>
      </c>
      <c r="H1011" s="174" t="s">
        <v>1725</v>
      </c>
      <c r="I1011" s="174" t="str">
        <f t="shared" si="1"/>
        <v>NORDESTE</v>
      </c>
    </row>
    <row r="1012" ht="14.25" customHeight="1">
      <c r="G1012" s="174" t="s">
        <v>2698</v>
      </c>
      <c r="H1012" s="174" t="s">
        <v>1685</v>
      </c>
      <c r="I1012" s="174" t="str">
        <f t="shared" si="1"/>
        <v>NORDESTE</v>
      </c>
    </row>
    <row r="1013" ht="14.25" customHeight="1">
      <c r="G1013" s="174" t="s">
        <v>2699</v>
      </c>
      <c r="H1013" s="174" t="s">
        <v>1685</v>
      </c>
      <c r="I1013" s="174" t="str">
        <f t="shared" si="1"/>
        <v>NORDESTE</v>
      </c>
    </row>
    <row r="1014" ht="14.25" customHeight="1">
      <c r="G1014" s="174" t="s">
        <v>2700</v>
      </c>
      <c r="H1014" s="174" t="s">
        <v>1685</v>
      </c>
      <c r="I1014" s="174" t="str">
        <f t="shared" si="1"/>
        <v>NORDESTE</v>
      </c>
    </row>
    <row r="1015" ht="14.25" customHeight="1">
      <c r="G1015" s="174" t="s">
        <v>2700</v>
      </c>
      <c r="H1015" s="174" t="s">
        <v>1666</v>
      </c>
      <c r="I1015" s="174" t="str">
        <f t="shared" si="1"/>
        <v>SUDESTE</v>
      </c>
    </row>
    <row r="1016" ht="14.25" customHeight="1">
      <c r="G1016" s="174" t="s">
        <v>2701</v>
      </c>
      <c r="H1016" s="174" t="s">
        <v>1736</v>
      </c>
      <c r="I1016" s="174" t="str">
        <f t="shared" si="1"/>
        <v>NORTE</v>
      </c>
    </row>
    <row r="1017" ht="14.25" customHeight="1">
      <c r="G1017" s="174" t="s">
        <v>2702</v>
      </c>
      <c r="H1017" s="174" t="s">
        <v>1742</v>
      </c>
      <c r="I1017" s="174" t="str">
        <f t="shared" si="1"/>
        <v>SUL</v>
      </c>
    </row>
    <row r="1018" ht="14.25" customHeight="1">
      <c r="G1018" s="174" t="s">
        <v>2703</v>
      </c>
      <c r="H1018" s="174" t="s">
        <v>1685</v>
      </c>
      <c r="I1018" s="174" t="str">
        <f t="shared" si="1"/>
        <v>NORDESTE</v>
      </c>
    </row>
    <row r="1019" ht="14.25" customHeight="1">
      <c r="G1019" s="174" t="s">
        <v>2704</v>
      </c>
      <c r="H1019" s="174" t="s">
        <v>1702</v>
      </c>
      <c r="I1019" s="174" t="str">
        <f t="shared" si="1"/>
        <v>SUL</v>
      </c>
    </row>
    <row r="1020" ht="14.25" customHeight="1">
      <c r="G1020" s="174" t="s">
        <v>2705</v>
      </c>
      <c r="H1020" s="174" t="s">
        <v>1742</v>
      </c>
      <c r="I1020" s="174" t="str">
        <f t="shared" si="1"/>
        <v>SUL</v>
      </c>
    </row>
    <row r="1021" ht="14.25" customHeight="1">
      <c r="G1021" s="174" t="s">
        <v>2706</v>
      </c>
      <c r="H1021" s="174" t="s">
        <v>1704</v>
      </c>
      <c r="I1021" s="174" t="str">
        <f t="shared" si="1"/>
        <v>NORDESTE</v>
      </c>
    </row>
    <row r="1022" ht="14.25" customHeight="1">
      <c r="G1022" s="174" t="s">
        <v>2707</v>
      </c>
      <c r="H1022" s="174" t="s">
        <v>1750</v>
      </c>
      <c r="I1022" s="174" t="str">
        <f t="shared" si="1"/>
        <v>SUDESTE</v>
      </c>
    </row>
    <row r="1023" ht="14.25" customHeight="1">
      <c r="G1023" s="174" t="s">
        <v>2708</v>
      </c>
      <c r="H1023" s="174" t="s">
        <v>1750</v>
      </c>
      <c r="I1023" s="174" t="str">
        <f t="shared" si="1"/>
        <v>SUDESTE</v>
      </c>
    </row>
    <row r="1024" ht="14.25" customHeight="1">
      <c r="G1024" s="174" t="s">
        <v>2709</v>
      </c>
      <c r="H1024" s="174" t="s">
        <v>1685</v>
      </c>
      <c r="I1024" s="174" t="str">
        <f t="shared" si="1"/>
        <v>NORDESTE</v>
      </c>
    </row>
    <row r="1025" ht="14.25" customHeight="1">
      <c r="G1025" s="174" t="s">
        <v>2710</v>
      </c>
      <c r="H1025" s="174" t="s">
        <v>1742</v>
      </c>
      <c r="I1025" s="174" t="str">
        <f t="shared" si="1"/>
        <v>SUL</v>
      </c>
    </row>
    <row r="1026" ht="14.25" customHeight="1">
      <c r="G1026" s="174" t="s">
        <v>2711</v>
      </c>
      <c r="H1026" s="174" t="s">
        <v>1702</v>
      </c>
      <c r="I1026" s="174" t="str">
        <f t="shared" si="1"/>
        <v>SUL</v>
      </c>
    </row>
    <row r="1027" ht="14.25" customHeight="1">
      <c r="G1027" s="174" t="s">
        <v>2712</v>
      </c>
      <c r="H1027" s="174" t="s">
        <v>1742</v>
      </c>
      <c r="I1027" s="174" t="str">
        <f t="shared" si="1"/>
        <v>SUL</v>
      </c>
    </row>
    <row r="1028" ht="14.25" customHeight="1">
      <c r="G1028" s="174" t="s">
        <v>2713</v>
      </c>
      <c r="H1028" s="174" t="s">
        <v>1706</v>
      </c>
      <c r="I1028" s="174" t="str">
        <f t="shared" si="1"/>
        <v>SUL</v>
      </c>
    </row>
    <row r="1029" ht="14.25" customHeight="1">
      <c r="G1029" s="174" t="s">
        <v>2714</v>
      </c>
      <c r="H1029" s="174" t="s">
        <v>1733</v>
      </c>
      <c r="I1029" s="174" t="str">
        <f t="shared" si="1"/>
        <v>NORDESTE</v>
      </c>
    </row>
    <row r="1030" ht="14.25" customHeight="1">
      <c r="G1030" s="174" t="s">
        <v>2715</v>
      </c>
      <c r="H1030" s="174" t="s">
        <v>1742</v>
      </c>
      <c r="I1030" s="174" t="str">
        <f t="shared" si="1"/>
        <v>SUL</v>
      </c>
    </row>
    <row r="1031" ht="14.25" customHeight="1">
      <c r="G1031" s="174" t="s">
        <v>2716</v>
      </c>
      <c r="H1031" s="174" t="s">
        <v>1747</v>
      </c>
      <c r="I1031" s="174" t="str">
        <f t="shared" si="1"/>
        <v>NORDESTE</v>
      </c>
    </row>
    <row r="1032" ht="14.25" customHeight="1">
      <c r="G1032" s="174" t="s">
        <v>2717</v>
      </c>
      <c r="H1032" s="174" t="s">
        <v>1717</v>
      </c>
      <c r="I1032" s="174" t="str">
        <f t="shared" si="1"/>
        <v>NORDESTE</v>
      </c>
    </row>
    <row r="1033" ht="14.25" customHeight="1">
      <c r="G1033" s="174" t="s">
        <v>2718</v>
      </c>
      <c r="H1033" s="174" t="s">
        <v>1690</v>
      </c>
      <c r="I1033" s="174" t="str">
        <f t="shared" si="1"/>
        <v>NORDESTE</v>
      </c>
    </row>
    <row r="1034" ht="14.25" customHeight="1">
      <c r="G1034" s="174" t="s">
        <v>2719</v>
      </c>
      <c r="H1034" s="174" t="s">
        <v>1747</v>
      </c>
      <c r="I1034" s="174" t="str">
        <f t="shared" si="1"/>
        <v>NORDESTE</v>
      </c>
    </row>
    <row r="1035" ht="14.25" customHeight="1">
      <c r="G1035" s="174" t="s">
        <v>2720</v>
      </c>
      <c r="H1035" s="174" t="s">
        <v>1750</v>
      </c>
      <c r="I1035" s="174" t="str">
        <f t="shared" si="1"/>
        <v>SUDESTE</v>
      </c>
    </row>
    <row r="1036" ht="14.25" customHeight="1">
      <c r="G1036" s="174" t="s">
        <v>2721</v>
      </c>
      <c r="H1036" s="174" t="s">
        <v>1742</v>
      </c>
      <c r="I1036" s="174" t="str">
        <f t="shared" si="1"/>
        <v>SUL</v>
      </c>
    </row>
    <row r="1037" ht="14.25" customHeight="1">
      <c r="G1037" s="174" t="s">
        <v>2722</v>
      </c>
      <c r="H1037" s="174" t="s">
        <v>1706</v>
      </c>
      <c r="I1037" s="174" t="str">
        <f t="shared" si="1"/>
        <v>SUL</v>
      </c>
    </row>
    <row r="1038" ht="14.25" customHeight="1">
      <c r="G1038" s="174" t="s">
        <v>2723</v>
      </c>
      <c r="H1038" s="174" t="s">
        <v>1685</v>
      </c>
      <c r="I1038" s="174" t="str">
        <f t="shared" si="1"/>
        <v>NORDESTE</v>
      </c>
    </row>
    <row r="1039" ht="14.25" customHeight="1">
      <c r="G1039" s="174" t="s">
        <v>2724</v>
      </c>
      <c r="H1039" s="174" t="s">
        <v>1739</v>
      </c>
      <c r="I1039" s="174" t="str">
        <f t="shared" si="1"/>
        <v>NORTE</v>
      </c>
    </row>
    <row r="1040" ht="14.25" customHeight="1">
      <c r="G1040" s="174" t="s">
        <v>2725</v>
      </c>
      <c r="H1040" s="174" t="s">
        <v>1666</v>
      </c>
      <c r="I1040" s="174" t="str">
        <f t="shared" si="1"/>
        <v>SUDESTE</v>
      </c>
    </row>
    <row r="1041" ht="14.25" customHeight="1">
      <c r="G1041" s="174" t="s">
        <v>2725</v>
      </c>
      <c r="H1041" s="174" t="s">
        <v>1730</v>
      </c>
      <c r="I1041" s="174" t="str">
        <f t="shared" si="1"/>
        <v>SUDESTE</v>
      </c>
    </row>
    <row r="1042" ht="14.25" customHeight="1">
      <c r="G1042" s="174" t="s">
        <v>2725</v>
      </c>
      <c r="H1042" s="174" t="s">
        <v>1702</v>
      </c>
      <c r="I1042" s="174" t="str">
        <f t="shared" si="1"/>
        <v>SUL</v>
      </c>
    </row>
    <row r="1043" ht="14.25" customHeight="1">
      <c r="G1043" s="174" t="s">
        <v>2726</v>
      </c>
      <c r="H1043" s="174" t="s">
        <v>1704</v>
      </c>
      <c r="I1043" s="174" t="str">
        <f t="shared" si="1"/>
        <v>NORDESTE</v>
      </c>
    </row>
    <row r="1044" ht="14.25" customHeight="1">
      <c r="G1044" s="174" t="s">
        <v>2727</v>
      </c>
      <c r="H1044" s="174" t="s">
        <v>1725</v>
      </c>
      <c r="I1044" s="174" t="str">
        <f t="shared" si="1"/>
        <v>NORDESTE</v>
      </c>
    </row>
    <row r="1045" ht="14.25" customHeight="1">
      <c r="G1045" s="174" t="s">
        <v>2728</v>
      </c>
      <c r="H1045" s="174" t="s">
        <v>1685</v>
      </c>
      <c r="I1045" s="174" t="str">
        <f t="shared" si="1"/>
        <v>NORDESTE</v>
      </c>
    </row>
    <row r="1046" ht="14.25" customHeight="1">
      <c r="G1046" s="174" t="s">
        <v>2729</v>
      </c>
      <c r="H1046" s="174" t="s">
        <v>1742</v>
      </c>
      <c r="I1046" s="174" t="str">
        <f t="shared" si="1"/>
        <v>SUL</v>
      </c>
    </row>
    <row r="1047" ht="14.25" customHeight="1">
      <c r="G1047" s="174" t="s">
        <v>2730</v>
      </c>
      <c r="H1047" s="174" t="s">
        <v>1672</v>
      </c>
      <c r="I1047" s="174" t="str">
        <f t="shared" si="1"/>
        <v>NORTE</v>
      </c>
    </row>
    <row r="1048" ht="14.25" customHeight="1">
      <c r="G1048" s="174" t="s">
        <v>2731</v>
      </c>
      <c r="H1048" s="174" t="s">
        <v>1687</v>
      </c>
      <c r="I1048" s="174" t="str">
        <f t="shared" si="1"/>
        <v>NORTE</v>
      </c>
    </row>
    <row r="1049" ht="14.25" customHeight="1">
      <c r="G1049" s="174" t="s">
        <v>2731</v>
      </c>
      <c r="H1049" s="174" t="s">
        <v>1702</v>
      </c>
      <c r="I1049" s="174" t="str">
        <f t="shared" si="1"/>
        <v>SUL</v>
      </c>
    </row>
    <row r="1050" ht="14.25" customHeight="1">
      <c r="G1050" s="174" t="s">
        <v>2732</v>
      </c>
      <c r="H1050" s="174" t="s">
        <v>1706</v>
      </c>
      <c r="I1050" s="174" t="str">
        <f t="shared" si="1"/>
        <v>SUL</v>
      </c>
    </row>
    <row r="1051" ht="14.25" customHeight="1">
      <c r="G1051" s="174" t="s">
        <v>2733</v>
      </c>
      <c r="H1051" s="174" t="s">
        <v>1750</v>
      </c>
      <c r="I1051" s="174" t="str">
        <f t="shared" si="1"/>
        <v>SUDESTE</v>
      </c>
    </row>
    <row r="1052" ht="14.25" customHeight="1">
      <c r="G1052" s="174" t="s">
        <v>2734</v>
      </c>
      <c r="H1052" s="174" t="s">
        <v>1742</v>
      </c>
      <c r="I1052" s="174" t="str">
        <f t="shared" si="1"/>
        <v>SUL</v>
      </c>
    </row>
    <row r="1053" ht="14.25" customHeight="1">
      <c r="G1053" s="174" t="s">
        <v>2735</v>
      </c>
      <c r="H1053" s="174" t="s">
        <v>1742</v>
      </c>
      <c r="I1053" s="174" t="str">
        <f t="shared" si="1"/>
        <v>SUL</v>
      </c>
    </row>
    <row r="1054" ht="14.25" customHeight="1">
      <c r="G1054" s="174" t="s">
        <v>2736</v>
      </c>
      <c r="H1054" s="174" t="s">
        <v>1742</v>
      </c>
      <c r="I1054" s="174" t="str">
        <f t="shared" si="1"/>
        <v>SUL</v>
      </c>
    </row>
    <row r="1055" ht="14.25" customHeight="1">
      <c r="G1055" s="174" t="s">
        <v>2737</v>
      </c>
      <c r="H1055" s="174" t="s">
        <v>1742</v>
      </c>
      <c r="I1055" s="174" t="str">
        <f t="shared" si="1"/>
        <v>SUL</v>
      </c>
    </row>
    <row r="1056" ht="14.25" customHeight="1">
      <c r="G1056" s="174" t="s">
        <v>2738</v>
      </c>
      <c r="H1056" s="174" t="s">
        <v>1666</v>
      </c>
      <c r="I1056" s="174" t="str">
        <f t="shared" si="1"/>
        <v>SUDESTE</v>
      </c>
    </row>
    <row r="1057" ht="14.25" customHeight="1">
      <c r="G1057" s="174" t="s">
        <v>2739</v>
      </c>
      <c r="H1057" s="174" t="s">
        <v>1664</v>
      </c>
      <c r="I1057" s="174" t="str">
        <f t="shared" si="1"/>
        <v>NORDESTE</v>
      </c>
    </row>
    <row r="1058" ht="14.25" customHeight="1">
      <c r="G1058" s="174" t="s">
        <v>2739</v>
      </c>
      <c r="H1058" s="174" t="s">
        <v>1747</v>
      </c>
      <c r="I1058" s="174" t="str">
        <f t="shared" si="1"/>
        <v>NORDESTE</v>
      </c>
    </row>
    <row r="1059" ht="14.25" customHeight="1">
      <c r="G1059" s="174" t="s">
        <v>2740</v>
      </c>
      <c r="H1059" s="174" t="s">
        <v>1742</v>
      </c>
      <c r="I1059" s="174" t="str">
        <f t="shared" si="1"/>
        <v>SUL</v>
      </c>
    </row>
    <row r="1060" ht="14.25" customHeight="1">
      <c r="G1060" s="174" t="s">
        <v>2741</v>
      </c>
      <c r="H1060" s="174" t="s">
        <v>1750</v>
      </c>
      <c r="I1060" s="174" t="str">
        <f t="shared" si="1"/>
        <v>SUDESTE</v>
      </c>
    </row>
    <row r="1061" ht="14.25" customHeight="1">
      <c r="G1061" s="174" t="s">
        <v>2742</v>
      </c>
      <c r="H1061" s="174" t="s">
        <v>1685</v>
      </c>
      <c r="I1061" s="174" t="str">
        <f t="shared" si="1"/>
        <v>NORDESTE</v>
      </c>
    </row>
    <row r="1062" ht="14.25" customHeight="1">
      <c r="G1062" s="174" t="s">
        <v>2743</v>
      </c>
      <c r="H1062" s="174" t="s">
        <v>1666</v>
      </c>
      <c r="I1062" s="174" t="str">
        <f t="shared" si="1"/>
        <v>SUDESTE</v>
      </c>
    </row>
    <row r="1063" ht="14.25" customHeight="1">
      <c r="G1063" s="174" t="s">
        <v>2744</v>
      </c>
      <c r="H1063" s="174" t="s">
        <v>1666</v>
      </c>
      <c r="I1063" s="174" t="str">
        <f t="shared" si="1"/>
        <v>SUDESTE</v>
      </c>
    </row>
    <row r="1064" ht="14.25" customHeight="1">
      <c r="G1064" s="174" t="s">
        <v>2745</v>
      </c>
      <c r="H1064" s="174" t="s">
        <v>1666</v>
      </c>
      <c r="I1064" s="174" t="str">
        <f t="shared" si="1"/>
        <v>SUDESTE</v>
      </c>
    </row>
    <row r="1065" ht="14.25" customHeight="1">
      <c r="G1065" s="174" t="s">
        <v>2746</v>
      </c>
      <c r="H1065" s="174" t="s">
        <v>1719</v>
      </c>
      <c r="I1065" s="174" t="str">
        <f t="shared" si="1"/>
        <v>NORDESTE</v>
      </c>
    </row>
    <row r="1066" ht="14.25" customHeight="1">
      <c r="G1066" s="174" t="s">
        <v>2747</v>
      </c>
      <c r="H1066" s="174" t="s">
        <v>1666</v>
      </c>
      <c r="I1066" s="174" t="str">
        <f t="shared" si="1"/>
        <v>SUDESTE</v>
      </c>
    </row>
    <row r="1067" ht="14.25" customHeight="1">
      <c r="G1067" s="174" t="s">
        <v>2748</v>
      </c>
      <c r="H1067" s="174" t="s">
        <v>1685</v>
      </c>
      <c r="I1067" s="174" t="str">
        <f t="shared" si="1"/>
        <v>NORDESTE</v>
      </c>
    </row>
    <row r="1068" ht="14.25" customHeight="1">
      <c r="G1068" s="174" t="s">
        <v>2749</v>
      </c>
      <c r="H1068" s="174" t="s">
        <v>1666</v>
      </c>
      <c r="I1068" s="174" t="str">
        <f t="shared" si="1"/>
        <v>SUDESTE</v>
      </c>
    </row>
    <row r="1069" ht="14.25" customHeight="1">
      <c r="G1069" s="174" t="s">
        <v>2750</v>
      </c>
      <c r="H1069" s="174" t="s">
        <v>1706</v>
      </c>
      <c r="I1069" s="174" t="str">
        <f t="shared" si="1"/>
        <v>SUL</v>
      </c>
    </row>
    <row r="1070" ht="14.25" customHeight="1">
      <c r="G1070" s="174" t="s">
        <v>2751</v>
      </c>
      <c r="H1070" s="174" t="s">
        <v>1704</v>
      </c>
      <c r="I1070" s="174" t="str">
        <f t="shared" si="1"/>
        <v>NORDESTE</v>
      </c>
    </row>
    <row r="1071" ht="14.25" customHeight="1">
      <c r="G1071" s="174" t="s">
        <v>2752</v>
      </c>
      <c r="H1071" s="174" t="s">
        <v>1690</v>
      </c>
      <c r="I1071" s="174" t="str">
        <f t="shared" si="1"/>
        <v>NORDESTE</v>
      </c>
    </row>
    <row r="1072" ht="14.25" customHeight="1">
      <c r="G1072" s="174" t="s">
        <v>2753</v>
      </c>
      <c r="H1072" s="174" t="s">
        <v>1742</v>
      </c>
      <c r="I1072" s="174" t="str">
        <f t="shared" si="1"/>
        <v>SUL</v>
      </c>
    </row>
    <row r="1073" ht="14.25" customHeight="1">
      <c r="G1073" s="174" t="s">
        <v>2754</v>
      </c>
      <c r="H1073" s="174" t="s">
        <v>1666</v>
      </c>
      <c r="I1073" s="174" t="str">
        <f t="shared" si="1"/>
        <v>SUDESTE</v>
      </c>
    </row>
    <row r="1074" ht="14.25" customHeight="1">
      <c r="G1074" s="174" t="s">
        <v>2755</v>
      </c>
      <c r="H1074" s="174" t="s">
        <v>1725</v>
      </c>
      <c r="I1074" s="174" t="str">
        <f t="shared" si="1"/>
        <v>NORDESTE</v>
      </c>
    </row>
    <row r="1075" ht="14.25" customHeight="1">
      <c r="G1075" s="174" t="s">
        <v>2756</v>
      </c>
      <c r="H1075" s="174" t="s">
        <v>1666</v>
      </c>
      <c r="I1075" s="174" t="str">
        <f t="shared" si="1"/>
        <v>SUDESTE</v>
      </c>
    </row>
    <row r="1076" ht="14.25" customHeight="1">
      <c r="G1076" s="174" t="s">
        <v>2757</v>
      </c>
      <c r="H1076" s="174" t="s">
        <v>1725</v>
      </c>
      <c r="I1076" s="174" t="str">
        <f t="shared" si="1"/>
        <v>NORDESTE</v>
      </c>
    </row>
    <row r="1077" ht="14.25" customHeight="1">
      <c r="G1077" s="174" t="s">
        <v>2758</v>
      </c>
      <c r="H1077" s="174" t="s">
        <v>1702</v>
      </c>
      <c r="I1077" s="174" t="str">
        <f t="shared" si="1"/>
        <v>SUL</v>
      </c>
    </row>
    <row r="1078" ht="14.25" customHeight="1">
      <c r="G1078" s="174" t="s">
        <v>2759</v>
      </c>
      <c r="H1078" s="174" t="s">
        <v>1687</v>
      </c>
      <c r="I1078" s="174" t="str">
        <f t="shared" si="1"/>
        <v>NORTE</v>
      </c>
    </row>
    <row r="1079" ht="14.25" customHeight="1">
      <c r="G1079" s="174" t="s">
        <v>2760</v>
      </c>
      <c r="H1079" s="174" t="s">
        <v>1666</v>
      </c>
      <c r="I1079" s="174" t="str">
        <f t="shared" si="1"/>
        <v>SUDESTE</v>
      </c>
    </row>
    <row r="1080" ht="14.25" customHeight="1">
      <c r="G1080" s="174" t="s">
        <v>2761</v>
      </c>
      <c r="H1080" s="174" t="s">
        <v>1750</v>
      </c>
      <c r="I1080" s="174" t="str">
        <f t="shared" si="1"/>
        <v>SUDESTE</v>
      </c>
    </row>
    <row r="1081" ht="14.25" customHeight="1">
      <c r="G1081" s="174" t="s">
        <v>2762</v>
      </c>
      <c r="H1081" s="174" t="s">
        <v>1706</v>
      </c>
      <c r="I1081" s="174" t="str">
        <f t="shared" si="1"/>
        <v>SUL</v>
      </c>
    </row>
    <row r="1082" ht="14.25" customHeight="1">
      <c r="G1082" s="174" t="s">
        <v>2763</v>
      </c>
      <c r="H1082" s="174" t="s">
        <v>1742</v>
      </c>
      <c r="I1082" s="174" t="str">
        <f t="shared" si="1"/>
        <v>SUL</v>
      </c>
    </row>
    <row r="1083" ht="14.25" customHeight="1">
      <c r="G1083" s="174" t="s">
        <v>2764</v>
      </c>
      <c r="H1083" s="174" t="s">
        <v>1656</v>
      </c>
      <c r="I1083" s="174" t="str">
        <f t="shared" si="1"/>
        <v>NORTE</v>
      </c>
    </row>
    <row r="1084" ht="14.25" customHeight="1">
      <c r="G1084" s="174" t="s">
        <v>2765</v>
      </c>
      <c r="H1084" s="174" t="s">
        <v>1717</v>
      </c>
      <c r="I1084" s="174" t="str">
        <f t="shared" si="1"/>
        <v>NORDESTE</v>
      </c>
    </row>
    <row r="1085" ht="14.25" customHeight="1">
      <c r="G1085" s="174" t="s">
        <v>2766</v>
      </c>
      <c r="H1085" s="174" t="s">
        <v>1666</v>
      </c>
      <c r="I1085" s="174" t="str">
        <f t="shared" si="1"/>
        <v>SUDESTE</v>
      </c>
    </row>
    <row r="1086" ht="14.25" customHeight="1">
      <c r="G1086" s="174" t="s">
        <v>2767</v>
      </c>
      <c r="H1086" s="174" t="s">
        <v>1742</v>
      </c>
      <c r="I1086" s="174" t="str">
        <f t="shared" si="1"/>
        <v>SUL</v>
      </c>
    </row>
    <row r="1087" ht="14.25" customHeight="1">
      <c r="G1087" s="174" t="s">
        <v>2768</v>
      </c>
      <c r="H1087" s="174" t="s">
        <v>1739</v>
      </c>
      <c r="I1087" s="174" t="str">
        <f t="shared" si="1"/>
        <v>NORTE</v>
      </c>
    </row>
    <row r="1088" ht="14.25" customHeight="1">
      <c r="G1088" s="174" t="s">
        <v>2769</v>
      </c>
      <c r="H1088" s="174" t="s">
        <v>1725</v>
      </c>
      <c r="I1088" s="174" t="str">
        <f t="shared" si="1"/>
        <v>NORDESTE</v>
      </c>
    </row>
    <row r="1089" ht="14.25" customHeight="1">
      <c r="G1089" s="174" t="s">
        <v>2769</v>
      </c>
      <c r="H1089" s="174" t="s">
        <v>1710</v>
      </c>
      <c r="I1089" s="174" t="str">
        <f t="shared" si="1"/>
        <v>CENTRO OESTE</v>
      </c>
    </row>
    <row r="1090" ht="14.25" customHeight="1">
      <c r="G1090" s="174" t="s">
        <v>2770</v>
      </c>
      <c r="H1090" s="174" t="s">
        <v>1750</v>
      </c>
      <c r="I1090" s="174" t="str">
        <f t="shared" si="1"/>
        <v>SUDESTE</v>
      </c>
    </row>
    <row r="1091" ht="14.25" customHeight="1">
      <c r="G1091" s="174" t="s">
        <v>2771</v>
      </c>
      <c r="H1091" s="174" t="s">
        <v>1666</v>
      </c>
      <c r="I1091" s="174" t="str">
        <f t="shared" si="1"/>
        <v>SUDESTE</v>
      </c>
    </row>
    <row r="1092" ht="14.25" customHeight="1">
      <c r="G1092" s="174" t="s">
        <v>2772</v>
      </c>
      <c r="H1092" s="174" t="s">
        <v>1685</v>
      </c>
      <c r="I1092" s="174" t="str">
        <f t="shared" si="1"/>
        <v>NORDESTE</v>
      </c>
    </row>
    <row r="1093" ht="14.25" customHeight="1">
      <c r="G1093" s="174" t="s">
        <v>2773</v>
      </c>
      <c r="H1093" s="174" t="s">
        <v>1702</v>
      </c>
      <c r="I1093" s="174" t="str">
        <f t="shared" si="1"/>
        <v>SUL</v>
      </c>
    </row>
    <row r="1094" ht="14.25" customHeight="1">
      <c r="G1094" s="174" t="s">
        <v>2774</v>
      </c>
      <c r="H1094" s="174" t="s">
        <v>1666</v>
      </c>
      <c r="I1094" s="174" t="str">
        <f t="shared" si="1"/>
        <v>SUDESTE</v>
      </c>
    </row>
    <row r="1095" ht="14.25" customHeight="1">
      <c r="G1095" s="174" t="s">
        <v>2775</v>
      </c>
      <c r="H1095" s="174" t="s">
        <v>1666</v>
      </c>
      <c r="I1095" s="174" t="str">
        <f t="shared" si="1"/>
        <v>SUDESTE</v>
      </c>
    </row>
    <row r="1096" ht="14.25" customHeight="1">
      <c r="G1096" s="174" t="s">
        <v>2776</v>
      </c>
      <c r="H1096" s="174" t="s">
        <v>1666</v>
      </c>
      <c r="I1096" s="174" t="str">
        <f t="shared" si="1"/>
        <v>SUDESTE</v>
      </c>
    </row>
    <row r="1097" ht="14.25" customHeight="1">
      <c r="G1097" s="174" t="s">
        <v>2777</v>
      </c>
      <c r="H1097" s="174" t="s">
        <v>1730</v>
      </c>
      <c r="I1097" s="174" t="str">
        <f t="shared" si="1"/>
        <v>SUDESTE</v>
      </c>
    </row>
    <row r="1098" ht="14.25" customHeight="1">
      <c r="G1098" s="174" t="s">
        <v>2778</v>
      </c>
      <c r="H1098" s="174" t="s">
        <v>1750</v>
      </c>
      <c r="I1098" s="174" t="str">
        <f t="shared" si="1"/>
        <v>SUDESTE</v>
      </c>
    </row>
    <row r="1099" ht="14.25" customHeight="1">
      <c r="G1099" s="174" t="s">
        <v>2779</v>
      </c>
      <c r="H1099" s="174" t="s">
        <v>1666</v>
      </c>
      <c r="I1099" s="174" t="str">
        <f t="shared" si="1"/>
        <v>SUDESTE</v>
      </c>
    </row>
    <row r="1100" ht="14.25" customHeight="1">
      <c r="G1100" s="174" t="s">
        <v>2780</v>
      </c>
      <c r="H1100" s="174" t="s">
        <v>1672</v>
      </c>
      <c r="I1100" s="174" t="str">
        <f t="shared" si="1"/>
        <v>NORTE</v>
      </c>
    </row>
    <row r="1101" ht="14.25" customHeight="1">
      <c r="G1101" s="174" t="s">
        <v>2781</v>
      </c>
      <c r="H1101" s="174" t="s">
        <v>1733</v>
      </c>
      <c r="I1101" s="174" t="str">
        <f t="shared" si="1"/>
        <v>NORDESTE</v>
      </c>
    </row>
    <row r="1102" ht="14.25" customHeight="1">
      <c r="G1102" s="174" t="s">
        <v>2781</v>
      </c>
      <c r="H1102" s="174" t="s">
        <v>1719</v>
      </c>
      <c r="I1102" s="174" t="str">
        <f t="shared" si="1"/>
        <v>NORDESTE</v>
      </c>
    </row>
    <row r="1103" ht="14.25" customHeight="1">
      <c r="G1103" s="174" t="s">
        <v>2782</v>
      </c>
      <c r="H1103" s="174" t="s">
        <v>1725</v>
      </c>
      <c r="I1103" s="174" t="str">
        <f t="shared" si="1"/>
        <v>NORDESTE</v>
      </c>
    </row>
    <row r="1104" ht="14.25" customHeight="1">
      <c r="G1104" s="174" t="s">
        <v>2783</v>
      </c>
      <c r="H1104" s="174" t="s">
        <v>1685</v>
      </c>
      <c r="I1104" s="174" t="str">
        <f t="shared" si="1"/>
        <v>NORDESTE</v>
      </c>
    </row>
    <row r="1105" ht="14.25" customHeight="1">
      <c r="G1105" s="174" t="s">
        <v>2784</v>
      </c>
      <c r="H1105" s="174" t="s">
        <v>1742</v>
      </c>
      <c r="I1105" s="174" t="str">
        <f t="shared" si="1"/>
        <v>SUL</v>
      </c>
    </row>
    <row r="1106" ht="14.25" customHeight="1">
      <c r="G1106" s="174" t="s">
        <v>2785</v>
      </c>
      <c r="H1106" s="174" t="s">
        <v>1666</v>
      </c>
      <c r="I1106" s="174" t="str">
        <f t="shared" si="1"/>
        <v>SUDESTE</v>
      </c>
    </row>
    <row r="1107" ht="14.25" customHeight="1">
      <c r="G1107" s="174" t="s">
        <v>2786</v>
      </c>
      <c r="H1107" s="174" t="s">
        <v>1685</v>
      </c>
      <c r="I1107" s="174" t="str">
        <f t="shared" si="1"/>
        <v>NORDESTE</v>
      </c>
    </row>
    <row r="1108" ht="14.25" customHeight="1">
      <c r="G1108" s="174" t="s">
        <v>2787</v>
      </c>
      <c r="H1108" s="174" t="s">
        <v>1750</v>
      </c>
      <c r="I1108" s="174" t="str">
        <f t="shared" si="1"/>
        <v>SUDESTE</v>
      </c>
    </row>
    <row r="1109" ht="14.25" customHeight="1">
      <c r="G1109" s="174" t="s">
        <v>2788</v>
      </c>
      <c r="H1109" s="174" t="s">
        <v>1730</v>
      </c>
      <c r="I1109" s="174" t="str">
        <f t="shared" si="1"/>
        <v>SUDESTE</v>
      </c>
    </row>
    <row r="1110" ht="14.25" customHeight="1">
      <c r="G1110" s="174" t="s">
        <v>2789</v>
      </c>
      <c r="H1110" s="174" t="s">
        <v>1666</v>
      </c>
      <c r="I1110" s="174" t="str">
        <f t="shared" si="1"/>
        <v>SUDESTE</v>
      </c>
    </row>
    <row r="1111" ht="14.25" customHeight="1">
      <c r="G1111" s="174" t="s">
        <v>2790</v>
      </c>
      <c r="H1111" s="174" t="s">
        <v>1672</v>
      </c>
      <c r="I1111" s="174" t="str">
        <f t="shared" si="1"/>
        <v>NORTE</v>
      </c>
    </row>
    <row r="1112" ht="14.25" customHeight="1">
      <c r="G1112" s="174" t="s">
        <v>2791</v>
      </c>
      <c r="H1112" s="174" t="s">
        <v>1672</v>
      </c>
      <c r="I1112" s="174" t="str">
        <f t="shared" si="1"/>
        <v>NORTE</v>
      </c>
    </row>
    <row r="1113" ht="14.25" customHeight="1">
      <c r="G1113" s="174" t="s">
        <v>2792</v>
      </c>
      <c r="H1113" s="174" t="s">
        <v>1698</v>
      </c>
      <c r="I1113" s="174" t="str">
        <f t="shared" si="1"/>
        <v>SUDESTE</v>
      </c>
    </row>
    <row r="1114" ht="14.25" customHeight="1">
      <c r="G1114" s="174" t="s">
        <v>2793</v>
      </c>
      <c r="H1114" s="174" t="s">
        <v>1690</v>
      </c>
      <c r="I1114" s="174" t="str">
        <f t="shared" si="1"/>
        <v>NORDESTE</v>
      </c>
    </row>
    <row r="1115" ht="14.25" customHeight="1">
      <c r="G1115" s="174" t="s">
        <v>2794</v>
      </c>
      <c r="H1115" s="174" t="s">
        <v>1725</v>
      </c>
      <c r="I1115" s="174" t="str">
        <f t="shared" si="1"/>
        <v>NORDESTE</v>
      </c>
    </row>
    <row r="1116" ht="14.25" customHeight="1">
      <c r="G1116" s="174" t="s">
        <v>2795</v>
      </c>
      <c r="H1116" s="174" t="s">
        <v>1685</v>
      </c>
      <c r="I1116" s="174" t="str">
        <f t="shared" si="1"/>
        <v>NORDESTE</v>
      </c>
    </row>
    <row r="1117" ht="14.25" customHeight="1">
      <c r="G1117" s="174" t="s">
        <v>2796</v>
      </c>
      <c r="H1117" s="174" t="s">
        <v>1747</v>
      </c>
      <c r="I1117" s="174" t="str">
        <f t="shared" si="1"/>
        <v>NORDESTE</v>
      </c>
    </row>
    <row r="1118" ht="14.25" customHeight="1">
      <c r="G1118" s="174" t="s">
        <v>2797</v>
      </c>
      <c r="H1118" s="174" t="s">
        <v>1690</v>
      </c>
      <c r="I1118" s="174" t="str">
        <f t="shared" si="1"/>
        <v>NORDESTE</v>
      </c>
    </row>
    <row r="1119" ht="14.25" customHeight="1">
      <c r="G1119" s="174" t="s">
        <v>2798</v>
      </c>
      <c r="H1119" s="174" t="s">
        <v>1721</v>
      </c>
      <c r="I1119" s="174" t="str">
        <f t="shared" si="1"/>
        <v>NORTE</v>
      </c>
    </row>
    <row r="1120" ht="14.25" customHeight="1">
      <c r="G1120" s="174" t="s">
        <v>2799</v>
      </c>
      <c r="H1120" s="174" t="s">
        <v>1690</v>
      </c>
      <c r="I1120" s="174" t="str">
        <f t="shared" si="1"/>
        <v>NORDESTE</v>
      </c>
    </row>
    <row r="1121" ht="14.25" customHeight="1">
      <c r="G1121" s="174" t="s">
        <v>2800</v>
      </c>
      <c r="H1121" s="174" t="s">
        <v>1690</v>
      </c>
      <c r="I1121" s="174" t="str">
        <f t="shared" si="1"/>
        <v>NORDESTE</v>
      </c>
    </row>
    <row r="1122" ht="14.25" customHeight="1">
      <c r="G1122" s="174" t="s">
        <v>2801</v>
      </c>
      <c r="H1122" s="174" t="s">
        <v>1713</v>
      </c>
      <c r="I1122" s="174" t="str">
        <f t="shared" si="1"/>
        <v>CENTRO OESTE</v>
      </c>
    </row>
    <row r="1123" ht="14.25" customHeight="1">
      <c r="G1123" s="174" t="s">
        <v>2802</v>
      </c>
      <c r="H1123" s="174" t="s">
        <v>1702</v>
      </c>
      <c r="I1123" s="174" t="str">
        <f t="shared" si="1"/>
        <v>SUL</v>
      </c>
    </row>
    <row r="1124" ht="14.25" customHeight="1">
      <c r="G1124" s="174" t="s">
        <v>2803</v>
      </c>
      <c r="H1124" s="174" t="s">
        <v>1742</v>
      </c>
      <c r="I1124" s="174" t="str">
        <f t="shared" si="1"/>
        <v>SUL</v>
      </c>
    </row>
    <row r="1125" ht="14.25" customHeight="1">
      <c r="G1125" s="174" t="s">
        <v>2804</v>
      </c>
      <c r="H1125" s="174" t="s">
        <v>1666</v>
      </c>
      <c r="I1125" s="174" t="str">
        <f t="shared" si="1"/>
        <v>SUDESTE</v>
      </c>
    </row>
    <row r="1126" ht="14.25" customHeight="1">
      <c r="G1126" s="174" t="s">
        <v>2805</v>
      </c>
      <c r="H1126" s="174" t="s">
        <v>1742</v>
      </c>
      <c r="I1126" s="174" t="str">
        <f t="shared" si="1"/>
        <v>SUL</v>
      </c>
    </row>
    <row r="1127" ht="14.25" customHeight="1">
      <c r="G1127" s="174" t="s">
        <v>2806</v>
      </c>
      <c r="H1127" s="174" t="s">
        <v>1666</v>
      </c>
      <c r="I1127" s="174" t="str">
        <f t="shared" si="1"/>
        <v>SUDESTE</v>
      </c>
    </row>
    <row r="1128" ht="14.25" customHeight="1">
      <c r="G1128" s="174" t="s">
        <v>2807</v>
      </c>
      <c r="H1128" s="174" t="s">
        <v>1730</v>
      </c>
      <c r="I1128" s="174" t="str">
        <f t="shared" si="1"/>
        <v>SUDESTE</v>
      </c>
    </row>
    <row r="1129" ht="14.25" customHeight="1">
      <c r="G1129" s="174" t="s">
        <v>2808</v>
      </c>
      <c r="H1129" s="174" t="s">
        <v>1666</v>
      </c>
      <c r="I1129" s="174" t="str">
        <f t="shared" si="1"/>
        <v>SUDESTE</v>
      </c>
    </row>
    <row r="1130" ht="14.25" customHeight="1">
      <c r="G1130" s="174" t="s">
        <v>2809</v>
      </c>
      <c r="H1130" s="174" t="s">
        <v>1666</v>
      </c>
      <c r="I1130" s="174" t="str">
        <f t="shared" si="1"/>
        <v>SUDESTE</v>
      </c>
    </row>
    <row r="1131" ht="14.25" customHeight="1">
      <c r="G1131" s="174" t="s">
        <v>2810</v>
      </c>
      <c r="H1131" s="174" t="s">
        <v>1666</v>
      </c>
      <c r="I1131" s="174" t="str">
        <f t="shared" si="1"/>
        <v>SUDESTE</v>
      </c>
    </row>
    <row r="1132" ht="14.25" customHeight="1">
      <c r="G1132" s="174" t="s">
        <v>2811</v>
      </c>
      <c r="H1132" s="174" t="s">
        <v>1666</v>
      </c>
      <c r="I1132" s="174" t="str">
        <f t="shared" si="1"/>
        <v>SUDESTE</v>
      </c>
    </row>
    <row r="1133" ht="14.25" customHeight="1">
      <c r="G1133" s="174" t="s">
        <v>2812</v>
      </c>
      <c r="H1133" s="174" t="s">
        <v>1666</v>
      </c>
      <c r="I1133" s="174" t="str">
        <f t="shared" si="1"/>
        <v>SUDESTE</v>
      </c>
    </row>
    <row r="1134" ht="14.25" customHeight="1">
      <c r="G1134" s="174" t="s">
        <v>2813</v>
      </c>
      <c r="H1134" s="174" t="s">
        <v>1666</v>
      </c>
      <c r="I1134" s="174" t="str">
        <f t="shared" si="1"/>
        <v>SUDESTE</v>
      </c>
    </row>
    <row r="1135" ht="14.25" customHeight="1">
      <c r="G1135" s="174" t="s">
        <v>2814</v>
      </c>
      <c r="H1135" s="174" t="s">
        <v>1658</v>
      </c>
      <c r="I1135" s="174" t="str">
        <f t="shared" si="1"/>
        <v>CENTRO OESTE</v>
      </c>
    </row>
    <row r="1136" ht="14.25" customHeight="1">
      <c r="G1136" s="174" t="s">
        <v>2815</v>
      </c>
      <c r="H1136" s="174" t="s">
        <v>1721</v>
      </c>
      <c r="I1136" s="174" t="str">
        <f t="shared" si="1"/>
        <v>NORTE</v>
      </c>
    </row>
    <row r="1137" ht="14.25" customHeight="1">
      <c r="G1137" s="174" t="s">
        <v>2816</v>
      </c>
      <c r="H1137" s="174" t="s">
        <v>1747</v>
      </c>
      <c r="I1137" s="174" t="str">
        <f t="shared" si="1"/>
        <v>NORDESTE</v>
      </c>
    </row>
    <row r="1138" ht="14.25" customHeight="1">
      <c r="G1138" s="174" t="s">
        <v>2817</v>
      </c>
      <c r="H1138" s="174" t="s">
        <v>1666</v>
      </c>
      <c r="I1138" s="174" t="str">
        <f t="shared" si="1"/>
        <v>SUDESTE</v>
      </c>
    </row>
    <row r="1139" ht="14.25" customHeight="1">
      <c r="G1139" s="174" t="s">
        <v>2818</v>
      </c>
      <c r="H1139" s="174" t="s">
        <v>1717</v>
      </c>
      <c r="I1139" s="174" t="str">
        <f t="shared" si="1"/>
        <v>NORDESTE</v>
      </c>
    </row>
    <row r="1140" ht="14.25" customHeight="1">
      <c r="G1140" s="174" t="s">
        <v>2819</v>
      </c>
      <c r="H1140" s="174" t="s">
        <v>1733</v>
      </c>
      <c r="I1140" s="174" t="str">
        <f t="shared" si="1"/>
        <v>NORDESTE</v>
      </c>
    </row>
    <row r="1141" ht="14.25" customHeight="1">
      <c r="G1141" s="174" t="s">
        <v>2820</v>
      </c>
      <c r="H1141" s="174" t="s">
        <v>1733</v>
      </c>
      <c r="I1141" s="174" t="str">
        <f t="shared" si="1"/>
        <v>NORDESTE</v>
      </c>
    </row>
    <row r="1142" ht="14.25" customHeight="1">
      <c r="G1142" s="174" t="s">
        <v>2821</v>
      </c>
      <c r="H1142" s="174" t="s">
        <v>1690</v>
      </c>
      <c r="I1142" s="174" t="str">
        <f t="shared" si="1"/>
        <v>NORDESTE</v>
      </c>
    </row>
    <row r="1143" ht="14.25" customHeight="1">
      <c r="G1143" s="174" t="s">
        <v>2822</v>
      </c>
      <c r="H1143" s="174" t="s">
        <v>1717</v>
      </c>
      <c r="I1143" s="174" t="str">
        <f t="shared" si="1"/>
        <v>NORDESTE</v>
      </c>
    </row>
    <row r="1144" ht="14.25" customHeight="1">
      <c r="G1144" s="174" t="s">
        <v>2823</v>
      </c>
      <c r="H1144" s="174" t="s">
        <v>1666</v>
      </c>
      <c r="I1144" s="174" t="str">
        <f t="shared" si="1"/>
        <v>SUDESTE</v>
      </c>
    </row>
    <row r="1145" ht="14.25" customHeight="1">
      <c r="G1145" s="174" t="s">
        <v>2824</v>
      </c>
      <c r="H1145" s="174" t="s">
        <v>1664</v>
      </c>
      <c r="I1145" s="174" t="str">
        <f t="shared" si="1"/>
        <v>NORDESTE</v>
      </c>
    </row>
    <row r="1146" ht="14.25" customHeight="1">
      <c r="G1146" s="174" t="s">
        <v>2825</v>
      </c>
      <c r="H1146" s="174" t="s">
        <v>1739</v>
      </c>
      <c r="I1146" s="174" t="str">
        <f t="shared" si="1"/>
        <v>NORTE</v>
      </c>
    </row>
    <row r="1147" ht="14.25" customHeight="1">
      <c r="G1147" s="174" t="s">
        <v>2826</v>
      </c>
      <c r="H1147" s="174" t="s">
        <v>1704</v>
      </c>
      <c r="I1147" s="174" t="str">
        <f t="shared" si="1"/>
        <v>NORDESTE</v>
      </c>
    </row>
    <row r="1148" ht="14.25" customHeight="1">
      <c r="G1148" s="174" t="s">
        <v>2827</v>
      </c>
      <c r="H1148" s="174" t="s">
        <v>1717</v>
      </c>
      <c r="I1148" s="174" t="str">
        <f t="shared" si="1"/>
        <v>NORDESTE</v>
      </c>
    </row>
    <row r="1149" ht="14.25" customHeight="1">
      <c r="G1149" s="174" t="s">
        <v>2828</v>
      </c>
      <c r="H1149" s="174" t="s">
        <v>1666</v>
      </c>
      <c r="I1149" s="174" t="str">
        <f t="shared" si="1"/>
        <v>SUDESTE</v>
      </c>
    </row>
    <row r="1150" ht="14.25" customHeight="1">
      <c r="G1150" s="174" t="s">
        <v>2829</v>
      </c>
      <c r="H1150" s="174" t="s">
        <v>1719</v>
      </c>
      <c r="I1150" s="174" t="str">
        <f t="shared" si="1"/>
        <v>NORDESTE</v>
      </c>
    </row>
    <row r="1151" ht="14.25" customHeight="1">
      <c r="G1151" s="174" t="s">
        <v>2830</v>
      </c>
      <c r="H1151" s="174" t="s">
        <v>1721</v>
      </c>
      <c r="I1151" s="174" t="str">
        <f t="shared" si="1"/>
        <v>NORTE</v>
      </c>
    </row>
    <row r="1152" ht="14.25" customHeight="1">
      <c r="G1152" s="174" t="s">
        <v>2831</v>
      </c>
      <c r="H1152" s="174" t="s">
        <v>1717</v>
      </c>
      <c r="I1152" s="174" t="str">
        <f t="shared" si="1"/>
        <v>NORDESTE</v>
      </c>
    </row>
    <row r="1153" ht="14.25" customHeight="1">
      <c r="G1153" s="174" t="s">
        <v>2832</v>
      </c>
      <c r="H1153" s="174" t="s">
        <v>1704</v>
      </c>
      <c r="I1153" s="174" t="str">
        <f t="shared" si="1"/>
        <v>NORDESTE</v>
      </c>
    </row>
    <row r="1154" ht="14.25" customHeight="1">
      <c r="G1154" s="174" t="s">
        <v>2833</v>
      </c>
      <c r="H1154" s="174" t="s">
        <v>1666</v>
      </c>
      <c r="I1154" s="174" t="str">
        <f t="shared" si="1"/>
        <v>SUDESTE</v>
      </c>
    </row>
    <row r="1155" ht="14.25" customHeight="1">
      <c r="G1155" s="174" t="s">
        <v>2834</v>
      </c>
      <c r="H1155" s="174" t="s">
        <v>1666</v>
      </c>
      <c r="I1155" s="174" t="str">
        <f t="shared" si="1"/>
        <v>SUDESTE</v>
      </c>
    </row>
    <row r="1156" ht="14.25" customHeight="1">
      <c r="G1156" s="174" t="s">
        <v>2835</v>
      </c>
      <c r="H1156" s="174" t="s">
        <v>1750</v>
      </c>
      <c r="I1156" s="174" t="str">
        <f t="shared" si="1"/>
        <v>SUDESTE</v>
      </c>
    </row>
    <row r="1157" ht="14.25" customHeight="1">
      <c r="G1157" s="174" t="s">
        <v>2836</v>
      </c>
      <c r="H1157" s="174" t="s">
        <v>1666</v>
      </c>
      <c r="I1157" s="174" t="str">
        <f t="shared" si="1"/>
        <v>SUDESTE</v>
      </c>
    </row>
    <row r="1158" ht="14.25" customHeight="1">
      <c r="G1158" s="174" t="s">
        <v>2837</v>
      </c>
      <c r="H1158" s="174" t="s">
        <v>1685</v>
      </c>
      <c r="I1158" s="174" t="str">
        <f t="shared" si="1"/>
        <v>NORDESTE</v>
      </c>
    </row>
    <row r="1159" ht="14.25" customHeight="1">
      <c r="G1159" s="174" t="s">
        <v>2838</v>
      </c>
      <c r="H1159" s="174" t="s">
        <v>1742</v>
      </c>
      <c r="I1159" s="174" t="str">
        <f t="shared" si="1"/>
        <v>SUL</v>
      </c>
    </row>
    <row r="1160" ht="14.25" customHeight="1">
      <c r="G1160" s="174" t="s">
        <v>2839</v>
      </c>
      <c r="H1160" s="174" t="s">
        <v>1666</v>
      </c>
      <c r="I1160" s="174" t="str">
        <f t="shared" si="1"/>
        <v>SUDESTE</v>
      </c>
    </row>
    <row r="1161" ht="14.25" customHeight="1">
      <c r="G1161" s="174" t="s">
        <v>2840</v>
      </c>
      <c r="H1161" s="174" t="s">
        <v>1690</v>
      </c>
      <c r="I1161" s="174" t="str">
        <f t="shared" si="1"/>
        <v>NORDESTE</v>
      </c>
    </row>
    <row r="1162" ht="14.25" customHeight="1">
      <c r="G1162" s="174" t="s">
        <v>2840</v>
      </c>
      <c r="H1162" s="174" t="s">
        <v>1702</v>
      </c>
      <c r="I1162" s="174" t="str">
        <f t="shared" si="1"/>
        <v>SUL</v>
      </c>
    </row>
    <row r="1163" ht="14.25" customHeight="1">
      <c r="G1163" s="174" t="s">
        <v>2841</v>
      </c>
      <c r="H1163" s="174" t="s">
        <v>1721</v>
      </c>
      <c r="I1163" s="174" t="str">
        <f t="shared" si="1"/>
        <v>NORTE</v>
      </c>
    </row>
    <row r="1164" ht="14.25" customHeight="1">
      <c r="G1164" s="174" t="s">
        <v>2842</v>
      </c>
      <c r="H1164" s="174" t="s">
        <v>1742</v>
      </c>
      <c r="I1164" s="174" t="str">
        <f t="shared" si="1"/>
        <v>SUL</v>
      </c>
    </row>
    <row r="1165" ht="14.25" customHeight="1">
      <c r="G1165" s="174" t="s">
        <v>2843</v>
      </c>
      <c r="H1165" s="174" t="s">
        <v>1730</v>
      </c>
      <c r="I1165" s="174" t="str">
        <f t="shared" si="1"/>
        <v>SUDESTE</v>
      </c>
    </row>
    <row r="1166" ht="14.25" customHeight="1">
      <c r="G1166" s="174" t="s">
        <v>2844</v>
      </c>
      <c r="H1166" s="174" t="s">
        <v>1717</v>
      </c>
      <c r="I1166" s="174" t="str">
        <f t="shared" si="1"/>
        <v>NORDESTE</v>
      </c>
    </row>
    <row r="1167" ht="14.25" customHeight="1">
      <c r="G1167" s="174" t="s">
        <v>2845</v>
      </c>
      <c r="H1167" s="174" t="s">
        <v>1719</v>
      </c>
      <c r="I1167" s="174" t="str">
        <f t="shared" si="1"/>
        <v>NORDESTE</v>
      </c>
    </row>
    <row r="1168" ht="14.25" customHeight="1">
      <c r="G1168" s="174" t="s">
        <v>2846</v>
      </c>
      <c r="H1168" s="174" t="s">
        <v>1666</v>
      </c>
      <c r="I1168" s="174" t="str">
        <f t="shared" si="1"/>
        <v>SUDESTE</v>
      </c>
    </row>
    <row r="1169" ht="14.25" customHeight="1">
      <c r="G1169" s="174" t="s">
        <v>2847</v>
      </c>
      <c r="H1169" s="174" t="s">
        <v>1750</v>
      </c>
      <c r="I1169" s="174" t="str">
        <f t="shared" si="1"/>
        <v>SUDESTE</v>
      </c>
    </row>
    <row r="1170" ht="14.25" customHeight="1">
      <c r="G1170" s="174" t="s">
        <v>2848</v>
      </c>
      <c r="H1170" s="174" t="s">
        <v>1710</v>
      </c>
      <c r="I1170" s="174" t="str">
        <f t="shared" si="1"/>
        <v>CENTRO OESTE</v>
      </c>
    </row>
    <row r="1171" ht="14.25" customHeight="1">
      <c r="G1171" s="174" t="s">
        <v>2849</v>
      </c>
      <c r="H1171" s="174" t="s">
        <v>1687</v>
      </c>
      <c r="I1171" s="174" t="str">
        <f t="shared" si="1"/>
        <v>NORTE</v>
      </c>
    </row>
    <row r="1172" ht="14.25" customHeight="1">
      <c r="G1172" s="174" t="s">
        <v>2850</v>
      </c>
      <c r="H1172" s="174" t="s">
        <v>1713</v>
      </c>
      <c r="I1172" s="174" t="str">
        <f t="shared" si="1"/>
        <v>CENTRO OESTE</v>
      </c>
    </row>
    <row r="1173" ht="14.25" customHeight="1">
      <c r="G1173" s="174" t="s">
        <v>2851</v>
      </c>
      <c r="H1173" s="174" t="s">
        <v>1736</v>
      </c>
      <c r="I1173" s="174" t="str">
        <f t="shared" si="1"/>
        <v>NORTE</v>
      </c>
    </row>
    <row r="1174" ht="14.25" customHeight="1">
      <c r="G1174" s="174" t="s">
        <v>2852</v>
      </c>
      <c r="H1174" s="174" t="s">
        <v>1658</v>
      </c>
      <c r="I1174" s="174" t="str">
        <f t="shared" si="1"/>
        <v>CENTRO OESTE</v>
      </c>
    </row>
    <row r="1175" ht="14.25" customHeight="1">
      <c r="G1175" s="174" t="s">
        <v>2853</v>
      </c>
      <c r="H1175" s="174" t="s">
        <v>1698</v>
      </c>
      <c r="I1175" s="174" t="str">
        <f t="shared" si="1"/>
        <v>SUDESTE</v>
      </c>
    </row>
    <row r="1176" ht="14.25" customHeight="1">
      <c r="G1176" s="174" t="s">
        <v>2854</v>
      </c>
      <c r="H1176" s="174" t="s">
        <v>1725</v>
      </c>
      <c r="I1176" s="174" t="str">
        <f t="shared" si="1"/>
        <v>NORDESTE</v>
      </c>
    </row>
    <row r="1177" ht="14.25" customHeight="1">
      <c r="G1177" s="174" t="s">
        <v>2855</v>
      </c>
      <c r="H1177" s="174" t="s">
        <v>1750</v>
      </c>
      <c r="I1177" s="174" t="str">
        <f t="shared" si="1"/>
        <v>SUDESTE</v>
      </c>
    </row>
    <row r="1178" ht="14.25" customHeight="1">
      <c r="G1178" s="174" t="s">
        <v>2856</v>
      </c>
      <c r="H1178" s="174" t="s">
        <v>1702</v>
      </c>
      <c r="I1178" s="174" t="str">
        <f t="shared" si="1"/>
        <v>SUL</v>
      </c>
    </row>
    <row r="1179" ht="14.25" customHeight="1">
      <c r="G1179" s="174" t="s">
        <v>2857</v>
      </c>
      <c r="H1179" s="174" t="s">
        <v>1685</v>
      </c>
      <c r="I1179" s="174" t="str">
        <f t="shared" si="1"/>
        <v>NORDESTE</v>
      </c>
    </row>
    <row r="1180" ht="14.25" customHeight="1">
      <c r="G1180" s="174" t="s">
        <v>2858</v>
      </c>
      <c r="H1180" s="174" t="s">
        <v>1666</v>
      </c>
      <c r="I1180" s="174" t="str">
        <f t="shared" si="1"/>
        <v>SUDESTE</v>
      </c>
    </row>
    <row r="1181" ht="14.25" customHeight="1">
      <c r="G1181" s="174" t="s">
        <v>2859</v>
      </c>
      <c r="H1181" s="174" t="s">
        <v>1658</v>
      </c>
      <c r="I1181" s="174" t="str">
        <f t="shared" si="1"/>
        <v>CENTRO OESTE</v>
      </c>
    </row>
    <row r="1182" ht="14.25" customHeight="1">
      <c r="G1182" s="174" t="s">
        <v>2860</v>
      </c>
      <c r="H1182" s="174" t="s">
        <v>1750</v>
      </c>
      <c r="I1182" s="174" t="str">
        <f t="shared" si="1"/>
        <v>SUDESTE</v>
      </c>
    </row>
    <row r="1183" ht="14.25" customHeight="1">
      <c r="G1183" s="174" t="s">
        <v>2861</v>
      </c>
      <c r="H1183" s="174" t="s">
        <v>1702</v>
      </c>
      <c r="I1183" s="174" t="str">
        <f t="shared" si="1"/>
        <v>SUL</v>
      </c>
    </row>
    <row r="1184" ht="14.25" customHeight="1">
      <c r="G1184" s="174" t="s">
        <v>2861</v>
      </c>
      <c r="H1184" s="174" t="s">
        <v>1706</v>
      </c>
      <c r="I1184" s="174" t="str">
        <f t="shared" si="1"/>
        <v>SUL</v>
      </c>
    </row>
    <row r="1185" ht="14.25" customHeight="1">
      <c r="G1185" s="174" t="s">
        <v>2862</v>
      </c>
      <c r="H1185" s="174" t="s">
        <v>1690</v>
      </c>
      <c r="I1185" s="174" t="str">
        <f t="shared" si="1"/>
        <v>NORDESTE</v>
      </c>
    </row>
    <row r="1186" ht="14.25" customHeight="1">
      <c r="G1186" s="174" t="s">
        <v>2863</v>
      </c>
      <c r="H1186" s="174" t="s">
        <v>1666</v>
      </c>
      <c r="I1186" s="174" t="str">
        <f t="shared" si="1"/>
        <v>SUDESTE</v>
      </c>
    </row>
    <row r="1187" ht="14.25" customHeight="1">
      <c r="G1187" s="174" t="s">
        <v>2864</v>
      </c>
      <c r="H1187" s="174" t="s">
        <v>1666</v>
      </c>
      <c r="I1187" s="174" t="str">
        <f t="shared" si="1"/>
        <v>SUDESTE</v>
      </c>
    </row>
    <row r="1188" ht="14.25" customHeight="1">
      <c r="G1188" s="174" t="s">
        <v>2865</v>
      </c>
      <c r="H1188" s="174" t="s">
        <v>1717</v>
      </c>
      <c r="I1188" s="174" t="str">
        <f t="shared" si="1"/>
        <v>NORDESTE</v>
      </c>
    </row>
    <row r="1189" ht="14.25" customHeight="1">
      <c r="G1189" s="174" t="s">
        <v>2866</v>
      </c>
      <c r="H1189" s="174" t="s">
        <v>1750</v>
      </c>
      <c r="I1189" s="174" t="str">
        <f t="shared" si="1"/>
        <v>SUDESTE</v>
      </c>
    </row>
    <row r="1190" ht="14.25" customHeight="1">
      <c r="G1190" s="174" t="s">
        <v>2867</v>
      </c>
      <c r="H1190" s="174" t="s">
        <v>1719</v>
      </c>
      <c r="I1190" s="174" t="str">
        <f t="shared" si="1"/>
        <v>NORDESTE</v>
      </c>
    </row>
    <row r="1191" ht="14.25" customHeight="1">
      <c r="G1191" s="174" t="s">
        <v>2868</v>
      </c>
      <c r="H1191" s="174" t="s">
        <v>1685</v>
      </c>
      <c r="I1191" s="174" t="str">
        <f t="shared" si="1"/>
        <v>NORDESTE</v>
      </c>
    </row>
    <row r="1192" ht="14.25" customHeight="1">
      <c r="G1192" s="174" t="s">
        <v>2869</v>
      </c>
      <c r="H1192" s="174" t="s">
        <v>1719</v>
      </c>
      <c r="I1192" s="174" t="str">
        <f t="shared" si="1"/>
        <v>NORDESTE</v>
      </c>
    </row>
    <row r="1193" ht="14.25" customHeight="1">
      <c r="G1193" s="174" t="s">
        <v>2870</v>
      </c>
      <c r="H1193" s="174" t="s">
        <v>1685</v>
      </c>
      <c r="I1193" s="174" t="str">
        <f t="shared" si="1"/>
        <v>NORDESTE</v>
      </c>
    </row>
    <row r="1194" ht="14.25" customHeight="1">
      <c r="G1194" s="174" t="s">
        <v>2871</v>
      </c>
      <c r="H1194" s="174" t="s">
        <v>1742</v>
      </c>
      <c r="I1194" s="174" t="str">
        <f t="shared" si="1"/>
        <v>SUL</v>
      </c>
    </row>
    <row r="1195" ht="14.25" customHeight="1">
      <c r="G1195" s="174" t="s">
        <v>2872</v>
      </c>
      <c r="H1195" s="174" t="s">
        <v>1666</v>
      </c>
      <c r="I1195" s="174" t="str">
        <f t="shared" si="1"/>
        <v>SUDESTE</v>
      </c>
    </row>
    <row r="1196" ht="14.25" customHeight="1">
      <c r="G1196" s="174" t="s">
        <v>2873</v>
      </c>
      <c r="H1196" s="174" t="s">
        <v>1690</v>
      </c>
      <c r="I1196" s="174" t="str">
        <f t="shared" si="1"/>
        <v>NORDESTE</v>
      </c>
    </row>
    <row r="1197" ht="14.25" customHeight="1">
      <c r="G1197" s="174" t="s">
        <v>2874</v>
      </c>
      <c r="H1197" s="174" t="s">
        <v>1658</v>
      </c>
      <c r="I1197" s="174" t="str">
        <f t="shared" si="1"/>
        <v>CENTRO OESTE</v>
      </c>
    </row>
    <row r="1198" ht="14.25" customHeight="1">
      <c r="G1198" s="174" t="s">
        <v>2875</v>
      </c>
      <c r="H1198" s="174" t="s">
        <v>1685</v>
      </c>
      <c r="I1198" s="174" t="str">
        <f t="shared" si="1"/>
        <v>NORDESTE</v>
      </c>
    </row>
    <row r="1199" ht="14.25" customHeight="1">
      <c r="G1199" s="174" t="s">
        <v>2876</v>
      </c>
      <c r="H1199" s="174" t="s">
        <v>1719</v>
      </c>
      <c r="I1199" s="174" t="str">
        <f t="shared" si="1"/>
        <v>NORDESTE</v>
      </c>
    </row>
    <row r="1200" ht="14.25" customHeight="1">
      <c r="G1200" s="174" t="s">
        <v>2877</v>
      </c>
      <c r="H1200" s="174" t="s">
        <v>1666</v>
      </c>
      <c r="I1200" s="174" t="str">
        <f t="shared" si="1"/>
        <v>SUDESTE</v>
      </c>
    </row>
    <row r="1201" ht="14.25" customHeight="1">
      <c r="G1201" s="174" t="s">
        <v>2878</v>
      </c>
      <c r="H1201" s="174" t="s">
        <v>1690</v>
      </c>
      <c r="I1201" s="174" t="str">
        <f t="shared" si="1"/>
        <v>NORDESTE</v>
      </c>
    </row>
    <row r="1202" ht="14.25" customHeight="1">
      <c r="G1202" s="174" t="s">
        <v>2879</v>
      </c>
      <c r="H1202" s="174" t="s">
        <v>1658</v>
      </c>
      <c r="I1202" s="174" t="str">
        <f t="shared" si="1"/>
        <v>CENTRO OESTE</v>
      </c>
    </row>
    <row r="1203" ht="14.25" customHeight="1">
      <c r="G1203" s="174" t="s">
        <v>2880</v>
      </c>
      <c r="H1203" s="174" t="s">
        <v>1666</v>
      </c>
      <c r="I1203" s="174" t="str">
        <f t="shared" si="1"/>
        <v>SUDESTE</v>
      </c>
    </row>
    <row r="1204" ht="14.25" customHeight="1">
      <c r="G1204" s="174" t="s">
        <v>2881</v>
      </c>
      <c r="H1204" s="174" t="s">
        <v>1706</v>
      </c>
      <c r="I1204" s="174" t="str">
        <f t="shared" si="1"/>
        <v>SUL</v>
      </c>
    </row>
    <row r="1205" ht="14.25" customHeight="1">
      <c r="G1205" s="174" t="s">
        <v>2882</v>
      </c>
      <c r="H1205" s="174" t="s">
        <v>1704</v>
      </c>
      <c r="I1205" s="174" t="str">
        <f t="shared" si="1"/>
        <v>NORDESTE</v>
      </c>
    </row>
    <row r="1206" ht="14.25" customHeight="1">
      <c r="G1206" s="174" t="s">
        <v>2883</v>
      </c>
      <c r="H1206" s="174" t="s">
        <v>1742</v>
      </c>
      <c r="I1206" s="174" t="str">
        <f t="shared" si="1"/>
        <v>SUL</v>
      </c>
    </row>
    <row r="1207" ht="14.25" customHeight="1">
      <c r="G1207" s="174" t="s">
        <v>2884</v>
      </c>
      <c r="H1207" s="174" t="s">
        <v>1725</v>
      </c>
      <c r="I1207" s="174" t="str">
        <f t="shared" si="1"/>
        <v>NORDESTE</v>
      </c>
    </row>
    <row r="1208" ht="14.25" customHeight="1">
      <c r="G1208" s="174" t="s">
        <v>2885</v>
      </c>
      <c r="H1208" s="174" t="s">
        <v>1733</v>
      </c>
      <c r="I1208" s="174" t="str">
        <f t="shared" si="1"/>
        <v>NORDESTE</v>
      </c>
    </row>
    <row r="1209" ht="14.25" customHeight="1">
      <c r="G1209" s="174" t="s">
        <v>2886</v>
      </c>
      <c r="H1209" s="174" t="s">
        <v>1704</v>
      </c>
      <c r="I1209" s="174" t="str">
        <f t="shared" si="1"/>
        <v>NORDESTE</v>
      </c>
    </row>
    <row r="1210" ht="14.25" customHeight="1">
      <c r="G1210" s="174" t="s">
        <v>2886</v>
      </c>
      <c r="H1210" s="174" t="s">
        <v>1750</v>
      </c>
      <c r="I1210" s="174" t="str">
        <f t="shared" si="1"/>
        <v>SUDESTE</v>
      </c>
    </row>
    <row r="1211" ht="14.25" customHeight="1">
      <c r="G1211" s="174" t="s">
        <v>2887</v>
      </c>
      <c r="H1211" s="174" t="s">
        <v>1690</v>
      </c>
      <c r="I1211" s="174" t="str">
        <f t="shared" si="1"/>
        <v>NORDESTE</v>
      </c>
    </row>
    <row r="1212" ht="14.25" customHeight="1">
      <c r="G1212" s="174" t="s">
        <v>2887</v>
      </c>
      <c r="H1212" s="174" t="s">
        <v>1717</v>
      </c>
      <c r="I1212" s="174" t="str">
        <f t="shared" si="1"/>
        <v>NORDESTE</v>
      </c>
    </row>
    <row r="1213" ht="14.25" customHeight="1">
      <c r="G1213" s="174" t="s">
        <v>2888</v>
      </c>
      <c r="H1213" s="174" t="s">
        <v>1747</v>
      </c>
      <c r="I1213" s="174" t="str">
        <f t="shared" si="1"/>
        <v>NORDESTE</v>
      </c>
    </row>
    <row r="1214" ht="14.25" customHeight="1">
      <c r="G1214" s="174" t="s">
        <v>2889</v>
      </c>
      <c r="H1214" s="174" t="s">
        <v>1666</v>
      </c>
      <c r="I1214" s="174" t="str">
        <f t="shared" si="1"/>
        <v>SUDESTE</v>
      </c>
    </row>
    <row r="1215" ht="14.25" customHeight="1">
      <c r="G1215" s="174" t="s">
        <v>2890</v>
      </c>
      <c r="H1215" s="174" t="s">
        <v>1706</v>
      </c>
      <c r="I1215" s="174" t="str">
        <f t="shared" si="1"/>
        <v>SUL</v>
      </c>
    </row>
    <row r="1216" ht="14.25" customHeight="1">
      <c r="G1216" s="174" t="s">
        <v>2891</v>
      </c>
      <c r="H1216" s="174" t="s">
        <v>1721</v>
      </c>
      <c r="I1216" s="174" t="str">
        <f t="shared" si="1"/>
        <v>NORTE</v>
      </c>
    </row>
    <row r="1217" ht="14.25" customHeight="1">
      <c r="G1217" s="174" t="s">
        <v>2891</v>
      </c>
      <c r="H1217" s="174" t="s">
        <v>1742</v>
      </c>
      <c r="I1217" s="174" t="str">
        <f t="shared" si="1"/>
        <v>SUL</v>
      </c>
    </row>
    <row r="1218" ht="14.25" customHeight="1">
      <c r="G1218" s="174" t="s">
        <v>2892</v>
      </c>
      <c r="H1218" s="174" t="s">
        <v>1702</v>
      </c>
      <c r="I1218" s="174" t="str">
        <f t="shared" si="1"/>
        <v>SUL</v>
      </c>
    </row>
    <row r="1219" ht="14.25" customHeight="1">
      <c r="G1219" s="174" t="s">
        <v>2893</v>
      </c>
      <c r="H1219" s="174" t="s">
        <v>1685</v>
      </c>
      <c r="I1219" s="174" t="str">
        <f t="shared" si="1"/>
        <v>NORDESTE</v>
      </c>
    </row>
    <row r="1220" ht="14.25" customHeight="1">
      <c r="G1220" s="174" t="s">
        <v>2894</v>
      </c>
      <c r="H1220" s="174" t="s">
        <v>1666</v>
      </c>
      <c r="I1220" s="174" t="str">
        <f t="shared" si="1"/>
        <v>SUDESTE</v>
      </c>
    </row>
    <row r="1221" ht="14.25" customHeight="1">
      <c r="G1221" s="174" t="s">
        <v>2895</v>
      </c>
      <c r="H1221" s="174" t="s">
        <v>1704</v>
      </c>
      <c r="I1221" s="174" t="str">
        <f t="shared" si="1"/>
        <v>NORDESTE</v>
      </c>
    </row>
    <row r="1222" ht="14.25" customHeight="1">
      <c r="G1222" s="174" t="s">
        <v>2896</v>
      </c>
      <c r="H1222" s="174" t="s">
        <v>1666</v>
      </c>
      <c r="I1222" s="174" t="str">
        <f t="shared" si="1"/>
        <v>SUDESTE</v>
      </c>
    </row>
    <row r="1223" ht="14.25" customHeight="1">
      <c r="G1223" s="174" t="s">
        <v>2897</v>
      </c>
      <c r="H1223" s="174" t="s">
        <v>1704</v>
      </c>
      <c r="I1223" s="174" t="str">
        <f t="shared" si="1"/>
        <v>NORDESTE</v>
      </c>
    </row>
    <row r="1224" ht="14.25" customHeight="1">
      <c r="G1224" s="174" t="s">
        <v>2898</v>
      </c>
      <c r="H1224" s="174" t="s">
        <v>1704</v>
      </c>
      <c r="I1224" s="174" t="str">
        <f t="shared" si="1"/>
        <v>NORDESTE</v>
      </c>
    </row>
    <row r="1225" ht="14.25" customHeight="1">
      <c r="G1225" s="174" t="s">
        <v>2899</v>
      </c>
      <c r="H1225" s="174" t="s">
        <v>1736</v>
      </c>
      <c r="I1225" s="174" t="str">
        <f t="shared" si="1"/>
        <v>NORTE</v>
      </c>
    </row>
    <row r="1226" ht="14.25" customHeight="1">
      <c r="G1226" s="174" t="s">
        <v>2900</v>
      </c>
      <c r="H1226" s="174" t="s">
        <v>1658</v>
      </c>
      <c r="I1226" s="174" t="str">
        <f t="shared" si="1"/>
        <v>CENTRO OESTE</v>
      </c>
    </row>
    <row r="1227" ht="14.25" customHeight="1">
      <c r="G1227" s="174" t="s">
        <v>2901</v>
      </c>
      <c r="H1227" s="174" t="s">
        <v>1750</v>
      </c>
      <c r="I1227" s="174" t="str">
        <f t="shared" si="1"/>
        <v>SUDESTE</v>
      </c>
    </row>
    <row r="1228" ht="14.25" customHeight="1">
      <c r="G1228" s="174" t="s">
        <v>2902</v>
      </c>
      <c r="H1228" s="174" t="s">
        <v>1750</v>
      </c>
      <c r="I1228" s="174" t="str">
        <f t="shared" si="1"/>
        <v>SUDESTE</v>
      </c>
    </row>
    <row r="1229" ht="14.25" customHeight="1">
      <c r="G1229" s="174" t="s">
        <v>2903</v>
      </c>
      <c r="H1229" s="174" t="s">
        <v>1742</v>
      </c>
      <c r="I1229" s="174" t="str">
        <f t="shared" si="1"/>
        <v>SUL</v>
      </c>
    </row>
    <row r="1230" ht="14.25" customHeight="1">
      <c r="G1230" s="174" t="s">
        <v>2904</v>
      </c>
      <c r="H1230" s="174" t="s">
        <v>1702</v>
      </c>
      <c r="I1230" s="174" t="str">
        <f t="shared" si="1"/>
        <v>SUL</v>
      </c>
    </row>
    <row r="1231" ht="14.25" customHeight="1">
      <c r="G1231" s="174" t="s">
        <v>2905</v>
      </c>
      <c r="H1231" s="174" t="s">
        <v>1742</v>
      </c>
      <c r="I1231" s="174" t="str">
        <f t="shared" si="1"/>
        <v>SUL</v>
      </c>
    </row>
    <row r="1232" ht="14.25" customHeight="1">
      <c r="G1232" s="174" t="s">
        <v>2906</v>
      </c>
      <c r="H1232" s="174" t="s">
        <v>1733</v>
      </c>
      <c r="I1232" s="174" t="str">
        <f t="shared" si="1"/>
        <v>NORDESTE</v>
      </c>
    </row>
    <row r="1233" ht="14.25" customHeight="1">
      <c r="G1233" s="174" t="s">
        <v>2907</v>
      </c>
      <c r="H1233" s="174" t="s">
        <v>1742</v>
      </c>
      <c r="I1233" s="174" t="str">
        <f t="shared" si="1"/>
        <v>SUL</v>
      </c>
    </row>
    <row r="1234" ht="14.25" customHeight="1">
      <c r="G1234" s="174" t="s">
        <v>2908</v>
      </c>
      <c r="H1234" s="174" t="s">
        <v>1742</v>
      </c>
      <c r="I1234" s="174" t="str">
        <f t="shared" si="1"/>
        <v>SUL</v>
      </c>
    </row>
    <row r="1235" ht="14.25" customHeight="1">
      <c r="G1235" s="174" t="s">
        <v>2909</v>
      </c>
      <c r="H1235" s="174" t="s">
        <v>1742</v>
      </c>
      <c r="I1235" s="174" t="str">
        <f t="shared" si="1"/>
        <v>SUL</v>
      </c>
    </row>
    <row r="1236" ht="14.25" customHeight="1">
      <c r="G1236" s="174" t="s">
        <v>2910</v>
      </c>
      <c r="H1236" s="174" t="s">
        <v>1706</v>
      </c>
      <c r="I1236" s="174" t="str">
        <f t="shared" si="1"/>
        <v>SUL</v>
      </c>
    </row>
    <row r="1237" ht="14.25" customHeight="1">
      <c r="G1237" s="174" t="s">
        <v>2911</v>
      </c>
      <c r="H1237" s="174" t="s">
        <v>1750</v>
      </c>
      <c r="I1237" s="174" t="str">
        <f t="shared" si="1"/>
        <v>SUDESTE</v>
      </c>
    </row>
    <row r="1238" ht="14.25" customHeight="1">
      <c r="G1238" s="174" t="s">
        <v>2912</v>
      </c>
      <c r="H1238" s="174" t="s">
        <v>1702</v>
      </c>
      <c r="I1238" s="174" t="str">
        <f t="shared" si="1"/>
        <v>SUL</v>
      </c>
    </row>
    <row r="1239" ht="14.25" customHeight="1">
      <c r="G1239" s="174" t="s">
        <v>2913</v>
      </c>
      <c r="H1239" s="174" t="s">
        <v>1658</v>
      </c>
      <c r="I1239" s="174" t="str">
        <f t="shared" si="1"/>
        <v>CENTRO OESTE</v>
      </c>
    </row>
    <row r="1240" ht="14.25" customHeight="1">
      <c r="G1240" s="174" t="s">
        <v>2914</v>
      </c>
      <c r="H1240" s="174" t="s">
        <v>1717</v>
      </c>
      <c r="I1240" s="174" t="str">
        <f t="shared" si="1"/>
        <v>NORDESTE</v>
      </c>
    </row>
    <row r="1241" ht="14.25" customHeight="1">
      <c r="G1241" s="174" t="s">
        <v>2915</v>
      </c>
      <c r="H1241" s="174" t="s">
        <v>1717</v>
      </c>
      <c r="I1241" s="174" t="str">
        <f t="shared" si="1"/>
        <v>NORDESTE</v>
      </c>
    </row>
    <row r="1242" ht="14.25" customHeight="1">
      <c r="G1242" s="174" t="s">
        <v>2916</v>
      </c>
      <c r="H1242" s="174" t="s">
        <v>1664</v>
      </c>
      <c r="I1242" s="174" t="str">
        <f t="shared" si="1"/>
        <v>NORDESTE</v>
      </c>
    </row>
    <row r="1243" ht="14.25" customHeight="1">
      <c r="G1243" s="174" t="s">
        <v>2917</v>
      </c>
      <c r="H1243" s="174" t="s">
        <v>1666</v>
      </c>
      <c r="I1243" s="174" t="str">
        <f t="shared" si="1"/>
        <v>SUDESTE</v>
      </c>
    </row>
    <row r="1244" ht="14.25" customHeight="1">
      <c r="G1244" s="174" t="s">
        <v>2918</v>
      </c>
      <c r="H1244" s="174" t="s">
        <v>1666</v>
      </c>
      <c r="I1244" s="174" t="str">
        <f t="shared" si="1"/>
        <v>SUDESTE</v>
      </c>
    </row>
    <row r="1245" ht="14.25" customHeight="1">
      <c r="G1245" s="174" t="s">
        <v>2919</v>
      </c>
      <c r="H1245" s="174" t="s">
        <v>1742</v>
      </c>
      <c r="I1245" s="174" t="str">
        <f t="shared" si="1"/>
        <v>SUL</v>
      </c>
    </row>
    <row r="1246" ht="14.25" customHeight="1">
      <c r="G1246" s="174" t="s">
        <v>2920</v>
      </c>
      <c r="H1246" s="174" t="s">
        <v>1721</v>
      </c>
      <c r="I1246" s="174" t="str">
        <f t="shared" si="1"/>
        <v>NORTE</v>
      </c>
    </row>
    <row r="1247" ht="14.25" customHeight="1">
      <c r="G1247" s="174" t="s">
        <v>2921</v>
      </c>
      <c r="H1247" s="174" t="s">
        <v>1721</v>
      </c>
      <c r="I1247" s="174" t="str">
        <f t="shared" si="1"/>
        <v>NORTE</v>
      </c>
    </row>
    <row r="1248" ht="14.25" customHeight="1">
      <c r="G1248" s="174" t="s">
        <v>2922</v>
      </c>
      <c r="H1248" s="174" t="s">
        <v>1666</v>
      </c>
      <c r="I1248" s="174" t="str">
        <f t="shared" si="1"/>
        <v>SUDESTE</v>
      </c>
    </row>
    <row r="1249" ht="14.25" customHeight="1">
      <c r="G1249" s="174" t="s">
        <v>2923</v>
      </c>
      <c r="H1249" s="174" t="s">
        <v>1713</v>
      </c>
      <c r="I1249" s="174" t="str">
        <f t="shared" si="1"/>
        <v>CENTRO OESTE</v>
      </c>
    </row>
    <row r="1250" ht="14.25" customHeight="1">
      <c r="G1250" s="174" t="s">
        <v>2924</v>
      </c>
      <c r="H1250" s="174" t="s">
        <v>1666</v>
      </c>
      <c r="I1250" s="174" t="str">
        <f t="shared" si="1"/>
        <v>SUDESTE</v>
      </c>
    </row>
    <row r="1251" ht="14.25" customHeight="1">
      <c r="G1251" s="174" t="s">
        <v>2925</v>
      </c>
      <c r="H1251" s="174" t="s">
        <v>1658</v>
      </c>
      <c r="I1251" s="174" t="str">
        <f t="shared" si="1"/>
        <v>CENTRO OESTE</v>
      </c>
    </row>
    <row r="1252" ht="14.25" customHeight="1">
      <c r="G1252" s="174" t="s">
        <v>2926</v>
      </c>
      <c r="H1252" s="174" t="s">
        <v>1706</v>
      </c>
      <c r="I1252" s="174" t="str">
        <f t="shared" si="1"/>
        <v>SUL</v>
      </c>
    </row>
    <row r="1253" ht="14.25" customHeight="1">
      <c r="G1253" s="174" t="s">
        <v>2927</v>
      </c>
      <c r="H1253" s="174" t="s">
        <v>1710</v>
      </c>
      <c r="I1253" s="174" t="str">
        <f t="shared" si="1"/>
        <v>CENTRO OESTE</v>
      </c>
    </row>
    <row r="1254" ht="14.25" customHeight="1">
      <c r="G1254" s="174" t="s">
        <v>2928</v>
      </c>
      <c r="H1254" s="174" t="s">
        <v>1704</v>
      </c>
      <c r="I1254" s="174" t="str">
        <f t="shared" si="1"/>
        <v>NORDESTE</v>
      </c>
    </row>
    <row r="1255" ht="14.25" customHeight="1">
      <c r="G1255" s="174" t="s">
        <v>2929</v>
      </c>
      <c r="H1255" s="174" t="s">
        <v>1706</v>
      </c>
      <c r="I1255" s="174" t="str">
        <f t="shared" si="1"/>
        <v>SUL</v>
      </c>
    </row>
    <row r="1256" ht="14.25" customHeight="1">
      <c r="G1256" s="174" t="s">
        <v>2930</v>
      </c>
      <c r="H1256" s="174" t="s">
        <v>1750</v>
      </c>
      <c r="I1256" s="174" t="str">
        <f t="shared" si="1"/>
        <v>SUDESTE</v>
      </c>
    </row>
    <row r="1257" ht="14.25" customHeight="1">
      <c r="G1257" s="174" t="s">
        <v>2931</v>
      </c>
      <c r="H1257" s="174" t="s">
        <v>1742</v>
      </c>
      <c r="I1257" s="174" t="str">
        <f t="shared" si="1"/>
        <v>SUL</v>
      </c>
    </row>
    <row r="1258" ht="14.25" customHeight="1">
      <c r="G1258" s="174" t="s">
        <v>2932</v>
      </c>
      <c r="H1258" s="174" t="s">
        <v>1742</v>
      </c>
      <c r="I1258" s="174" t="str">
        <f t="shared" si="1"/>
        <v>SUL</v>
      </c>
    </row>
    <row r="1259" ht="14.25" customHeight="1">
      <c r="G1259" s="174" t="s">
        <v>2933</v>
      </c>
      <c r="H1259" s="174" t="s">
        <v>1690</v>
      </c>
      <c r="I1259" s="174" t="str">
        <f t="shared" si="1"/>
        <v>NORDESTE</v>
      </c>
    </row>
    <row r="1260" ht="14.25" customHeight="1">
      <c r="G1260" s="174" t="s">
        <v>2934</v>
      </c>
      <c r="H1260" s="174" t="s">
        <v>1750</v>
      </c>
      <c r="I1260" s="174" t="str">
        <f t="shared" si="1"/>
        <v>SUDESTE</v>
      </c>
    </row>
    <row r="1261" ht="14.25" customHeight="1">
      <c r="G1261" s="174" t="s">
        <v>2935</v>
      </c>
      <c r="H1261" s="174" t="s">
        <v>1687</v>
      </c>
      <c r="I1261" s="174" t="str">
        <f t="shared" si="1"/>
        <v>NORTE</v>
      </c>
    </row>
    <row r="1262" ht="14.25" customHeight="1">
      <c r="G1262" s="174" t="s">
        <v>2936</v>
      </c>
      <c r="H1262" s="174" t="s">
        <v>1666</v>
      </c>
      <c r="I1262" s="174" t="str">
        <f t="shared" si="1"/>
        <v>SUDESTE</v>
      </c>
    </row>
    <row r="1263" ht="14.25" customHeight="1">
      <c r="G1263" s="174" t="s">
        <v>2937</v>
      </c>
      <c r="H1263" s="174" t="s">
        <v>1742</v>
      </c>
      <c r="I1263" s="174" t="str">
        <f t="shared" si="1"/>
        <v>SUL</v>
      </c>
    </row>
    <row r="1264" ht="14.25" customHeight="1">
      <c r="G1264" s="174" t="s">
        <v>2938</v>
      </c>
      <c r="H1264" s="174" t="s">
        <v>1702</v>
      </c>
      <c r="I1264" s="174" t="str">
        <f t="shared" si="1"/>
        <v>SUL</v>
      </c>
    </row>
    <row r="1265" ht="14.25" customHeight="1">
      <c r="G1265" s="174" t="s">
        <v>2939</v>
      </c>
      <c r="H1265" s="174" t="s">
        <v>1690</v>
      </c>
      <c r="I1265" s="174" t="str">
        <f t="shared" si="1"/>
        <v>NORDESTE</v>
      </c>
    </row>
    <row r="1266" ht="14.25" customHeight="1">
      <c r="G1266" s="174" t="s">
        <v>2940</v>
      </c>
      <c r="H1266" s="174" t="s">
        <v>1690</v>
      </c>
      <c r="I1266" s="174" t="str">
        <f t="shared" si="1"/>
        <v>NORDESTE</v>
      </c>
    </row>
    <row r="1267" ht="14.25" customHeight="1">
      <c r="G1267" s="174" t="s">
        <v>2941</v>
      </c>
      <c r="H1267" s="174" t="s">
        <v>1685</v>
      </c>
      <c r="I1267" s="174" t="str">
        <f t="shared" si="1"/>
        <v>NORDESTE</v>
      </c>
    </row>
    <row r="1268" ht="14.25" customHeight="1">
      <c r="G1268" s="174" t="s">
        <v>2942</v>
      </c>
      <c r="H1268" s="174" t="s">
        <v>1742</v>
      </c>
      <c r="I1268" s="174" t="str">
        <f t="shared" si="1"/>
        <v>SUL</v>
      </c>
    </row>
    <row r="1269" ht="14.25" customHeight="1">
      <c r="G1269" s="174" t="s">
        <v>2943</v>
      </c>
      <c r="H1269" s="174" t="s">
        <v>1736</v>
      </c>
      <c r="I1269" s="174" t="str">
        <f t="shared" si="1"/>
        <v>NORTE</v>
      </c>
    </row>
    <row r="1270" ht="14.25" customHeight="1">
      <c r="G1270" s="174" t="s">
        <v>2944</v>
      </c>
      <c r="H1270" s="174" t="s">
        <v>1742</v>
      </c>
      <c r="I1270" s="174" t="str">
        <f t="shared" si="1"/>
        <v>SUL</v>
      </c>
    </row>
    <row r="1271" ht="14.25" customHeight="1">
      <c r="G1271" s="174" t="s">
        <v>2945</v>
      </c>
      <c r="H1271" s="174" t="s">
        <v>1702</v>
      </c>
      <c r="I1271" s="174" t="str">
        <f t="shared" si="1"/>
        <v>SUL</v>
      </c>
    </row>
    <row r="1272" ht="14.25" customHeight="1">
      <c r="G1272" s="174" t="s">
        <v>2946</v>
      </c>
      <c r="H1272" s="174" t="s">
        <v>1685</v>
      </c>
      <c r="I1272" s="174" t="str">
        <f t="shared" si="1"/>
        <v>NORDESTE</v>
      </c>
    </row>
    <row r="1273" ht="14.25" customHeight="1">
      <c r="G1273" s="174" t="s">
        <v>2947</v>
      </c>
      <c r="H1273" s="174" t="s">
        <v>1702</v>
      </c>
      <c r="I1273" s="174" t="str">
        <f t="shared" si="1"/>
        <v>SUL</v>
      </c>
    </row>
    <row r="1274" ht="14.25" customHeight="1">
      <c r="G1274" s="174" t="s">
        <v>2948</v>
      </c>
      <c r="H1274" s="174" t="s">
        <v>1658</v>
      </c>
      <c r="I1274" s="174" t="str">
        <f t="shared" si="1"/>
        <v>CENTRO OESTE</v>
      </c>
    </row>
    <row r="1275" ht="14.25" customHeight="1">
      <c r="G1275" s="174" t="s">
        <v>2949</v>
      </c>
      <c r="H1275" s="174" t="s">
        <v>1704</v>
      </c>
      <c r="I1275" s="174" t="str">
        <f t="shared" si="1"/>
        <v>NORDESTE</v>
      </c>
    </row>
    <row r="1276" ht="14.25" customHeight="1">
      <c r="G1276" s="174" t="s">
        <v>2950</v>
      </c>
      <c r="H1276" s="174" t="s">
        <v>1742</v>
      </c>
      <c r="I1276" s="174" t="str">
        <f t="shared" si="1"/>
        <v>SUL</v>
      </c>
    </row>
    <row r="1277" ht="14.25" customHeight="1">
      <c r="G1277" s="174" t="s">
        <v>2951</v>
      </c>
      <c r="H1277" s="174" t="s">
        <v>1685</v>
      </c>
      <c r="I1277" s="174" t="str">
        <f t="shared" si="1"/>
        <v>NORDESTE</v>
      </c>
    </row>
    <row r="1278" ht="14.25" customHeight="1">
      <c r="G1278" s="174" t="s">
        <v>2952</v>
      </c>
      <c r="H1278" s="174" t="s">
        <v>1666</v>
      </c>
      <c r="I1278" s="174" t="str">
        <f t="shared" si="1"/>
        <v>SUDESTE</v>
      </c>
    </row>
    <row r="1279" ht="14.25" customHeight="1">
      <c r="G1279" s="174" t="s">
        <v>2953</v>
      </c>
      <c r="H1279" s="174" t="s">
        <v>1742</v>
      </c>
      <c r="I1279" s="174" t="str">
        <f t="shared" si="1"/>
        <v>SUL</v>
      </c>
    </row>
    <row r="1280" ht="14.25" customHeight="1">
      <c r="G1280" s="174" t="s">
        <v>2954</v>
      </c>
      <c r="H1280" s="174" t="s">
        <v>1666</v>
      </c>
      <c r="I1280" s="174" t="str">
        <f t="shared" si="1"/>
        <v>SUDESTE</v>
      </c>
    </row>
    <row r="1281" ht="14.25" customHeight="1">
      <c r="G1281" s="174" t="s">
        <v>2955</v>
      </c>
      <c r="H1281" s="174" t="s">
        <v>1666</v>
      </c>
      <c r="I1281" s="174" t="str">
        <f t="shared" si="1"/>
        <v>SUDESTE</v>
      </c>
    </row>
    <row r="1282" ht="14.25" customHeight="1">
      <c r="G1282" s="174" t="s">
        <v>2956</v>
      </c>
      <c r="H1282" s="174" t="s">
        <v>1713</v>
      </c>
      <c r="I1282" s="174" t="str">
        <f t="shared" si="1"/>
        <v>CENTRO OESTE</v>
      </c>
    </row>
    <row r="1283" ht="14.25" customHeight="1">
      <c r="G1283" s="174" t="s">
        <v>2957</v>
      </c>
      <c r="H1283" s="174" t="s">
        <v>1666</v>
      </c>
      <c r="I1283" s="174" t="str">
        <f t="shared" si="1"/>
        <v>SUDESTE</v>
      </c>
    </row>
    <row r="1284" ht="14.25" customHeight="1">
      <c r="G1284" s="174" t="s">
        <v>2958</v>
      </c>
      <c r="H1284" s="174" t="s">
        <v>1750</v>
      </c>
      <c r="I1284" s="174" t="str">
        <f t="shared" si="1"/>
        <v>SUDESTE</v>
      </c>
    </row>
    <row r="1285" ht="14.25" customHeight="1">
      <c r="G1285" s="174" t="s">
        <v>2959</v>
      </c>
      <c r="H1285" s="174" t="s">
        <v>1702</v>
      </c>
      <c r="I1285" s="174" t="str">
        <f t="shared" si="1"/>
        <v>SUL</v>
      </c>
    </row>
    <row r="1286" ht="14.25" customHeight="1">
      <c r="G1286" s="174" t="s">
        <v>2960</v>
      </c>
      <c r="H1286" s="174" t="s">
        <v>1685</v>
      </c>
      <c r="I1286" s="174" t="str">
        <f t="shared" si="1"/>
        <v>NORDESTE</v>
      </c>
    </row>
    <row r="1287" ht="14.25" customHeight="1">
      <c r="G1287" s="174" t="s">
        <v>2961</v>
      </c>
      <c r="H1287" s="174" t="s">
        <v>1672</v>
      </c>
      <c r="I1287" s="174" t="str">
        <f t="shared" si="1"/>
        <v>NORTE</v>
      </c>
    </row>
    <row r="1288" ht="14.25" customHeight="1">
      <c r="G1288" s="174" t="s">
        <v>2962</v>
      </c>
      <c r="H1288" s="174" t="s">
        <v>1725</v>
      </c>
      <c r="I1288" s="174" t="str">
        <f t="shared" si="1"/>
        <v>NORDESTE</v>
      </c>
    </row>
    <row r="1289" ht="14.25" customHeight="1">
      <c r="G1289" s="174" t="s">
        <v>2963</v>
      </c>
      <c r="H1289" s="174" t="s">
        <v>1725</v>
      </c>
      <c r="I1289" s="174" t="str">
        <f t="shared" si="1"/>
        <v>NORDESTE</v>
      </c>
    </row>
    <row r="1290" ht="14.25" customHeight="1">
      <c r="G1290" s="174" t="s">
        <v>2964</v>
      </c>
      <c r="H1290" s="174" t="s">
        <v>1706</v>
      </c>
      <c r="I1290" s="174" t="str">
        <f t="shared" si="1"/>
        <v>SUL</v>
      </c>
    </row>
    <row r="1291" ht="14.25" customHeight="1">
      <c r="G1291" s="174" t="s">
        <v>2965</v>
      </c>
      <c r="H1291" s="174" t="s">
        <v>1725</v>
      </c>
      <c r="I1291" s="174" t="str">
        <f t="shared" si="1"/>
        <v>NORDESTE</v>
      </c>
    </row>
    <row r="1292" ht="14.25" customHeight="1">
      <c r="G1292" s="174" t="s">
        <v>2966</v>
      </c>
      <c r="H1292" s="174" t="s">
        <v>1713</v>
      </c>
      <c r="I1292" s="174" t="str">
        <f t="shared" si="1"/>
        <v>CENTRO OESTE</v>
      </c>
    </row>
    <row r="1293" ht="14.25" customHeight="1">
      <c r="G1293" s="174" t="s">
        <v>2967</v>
      </c>
      <c r="H1293" s="174" t="s">
        <v>1658</v>
      </c>
      <c r="I1293" s="174" t="str">
        <f t="shared" si="1"/>
        <v>CENTRO OESTE</v>
      </c>
    </row>
    <row r="1294" ht="14.25" customHeight="1">
      <c r="G1294" s="174" t="s">
        <v>2968</v>
      </c>
      <c r="H1294" s="174" t="s">
        <v>1685</v>
      </c>
      <c r="I1294" s="174" t="str">
        <f t="shared" si="1"/>
        <v>NORDESTE</v>
      </c>
    </row>
    <row r="1295" ht="14.25" customHeight="1">
      <c r="G1295" s="174" t="s">
        <v>2969</v>
      </c>
      <c r="H1295" s="174" t="s">
        <v>1672</v>
      </c>
      <c r="I1295" s="174" t="str">
        <f t="shared" si="1"/>
        <v>NORTE</v>
      </c>
    </row>
    <row r="1296" ht="14.25" customHeight="1">
      <c r="G1296" s="174" t="s">
        <v>2970</v>
      </c>
      <c r="H1296" s="174" t="s">
        <v>1704</v>
      </c>
      <c r="I1296" s="174" t="str">
        <f t="shared" si="1"/>
        <v>NORDESTE</v>
      </c>
    </row>
    <row r="1297" ht="14.25" customHeight="1">
      <c r="G1297" s="174" t="s">
        <v>2971</v>
      </c>
      <c r="H1297" s="174" t="s">
        <v>1704</v>
      </c>
      <c r="I1297" s="174" t="str">
        <f t="shared" si="1"/>
        <v>NORDESTE</v>
      </c>
    </row>
    <row r="1298" ht="14.25" customHeight="1">
      <c r="G1298" s="174" t="s">
        <v>2972</v>
      </c>
      <c r="H1298" s="174" t="s">
        <v>1666</v>
      </c>
      <c r="I1298" s="174" t="str">
        <f t="shared" si="1"/>
        <v>SUDESTE</v>
      </c>
    </row>
    <row r="1299" ht="14.25" customHeight="1">
      <c r="G1299" s="174" t="s">
        <v>2973</v>
      </c>
      <c r="H1299" s="174" t="s">
        <v>1664</v>
      </c>
      <c r="I1299" s="174" t="str">
        <f t="shared" si="1"/>
        <v>NORDESTE</v>
      </c>
    </row>
    <row r="1300" ht="14.25" customHeight="1">
      <c r="G1300" s="174" t="s">
        <v>2974</v>
      </c>
      <c r="H1300" s="174" t="s">
        <v>1725</v>
      </c>
      <c r="I1300" s="174" t="str">
        <f t="shared" si="1"/>
        <v>NORDESTE</v>
      </c>
    </row>
    <row r="1301" ht="14.25" customHeight="1">
      <c r="G1301" s="174" t="s">
        <v>2975</v>
      </c>
      <c r="H1301" s="174" t="s">
        <v>1687</v>
      </c>
      <c r="I1301" s="174" t="str">
        <f t="shared" si="1"/>
        <v>NORTE</v>
      </c>
    </row>
    <row r="1302" ht="14.25" customHeight="1">
      <c r="G1302" s="174" t="s">
        <v>2976</v>
      </c>
      <c r="H1302" s="174" t="s">
        <v>1698</v>
      </c>
      <c r="I1302" s="174" t="str">
        <f t="shared" si="1"/>
        <v>SUDESTE</v>
      </c>
    </row>
    <row r="1303" ht="14.25" customHeight="1">
      <c r="G1303" s="174" t="s">
        <v>2977</v>
      </c>
      <c r="H1303" s="174" t="s">
        <v>1713</v>
      </c>
      <c r="I1303" s="174" t="str">
        <f t="shared" si="1"/>
        <v>CENTRO OESTE</v>
      </c>
    </row>
    <row r="1304" ht="14.25" customHeight="1">
      <c r="G1304" s="174" t="s">
        <v>2978</v>
      </c>
      <c r="H1304" s="174" t="s">
        <v>1750</v>
      </c>
      <c r="I1304" s="174" t="str">
        <f t="shared" si="1"/>
        <v>SUDESTE</v>
      </c>
    </row>
    <row r="1305" ht="14.25" customHeight="1">
      <c r="G1305" s="174" t="s">
        <v>2979</v>
      </c>
      <c r="H1305" s="174" t="s">
        <v>1704</v>
      </c>
      <c r="I1305" s="174" t="str">
        <f t="shared" si="1"/>
        <v>NORDESTE</v>
      </c>
    </row>
    <row r="1306" ht="14.25" customHeight="1">
      <c r="G1306" s="174" t="s">
        <v>2979</v>
      </c>
      <c r="H1306" s="174" t="s">
        <v>1742</v>
      </c>
      <c r="I1306" s="174" t="str">
        <f t="shared" si="1"/>
        <v>SUL</v>
      </c>
    </row>
    <row r="1307" ht="14.25" customHeight="1">
      <c r="G1307" s="174" t="s">
        <v>2980</v>
      </c>
      <c r="H1307" s="174" t="s">
        <v>1658</v>
      </c>
      <c r="I1307" s="174" t="str">
        <f t="shared" si="1"/>
        <v>CENTRO OESTE</v>
      </c>
    </row>
    <row r="1308" ht="14.25" customHeight="1">
      <c r="G1308" s="174" t="s">
        <v>2981</v>
      </c>
      <c r="H1308" s="174" t="s">
        <v>1721</v>
      </c>
      <c r="I1308" s="174" t="str">
        <f t="shared" si="1"/>
        <v>NORTE</v>
      </c>
    </row>
    <row r="1309" ht="14.25" customHeight="1">
      <c r="G1309" s="174" t="s">
        <v>2982</v>
      </c>
      <c r="H1309" s="174" t="s">
        <v>1721</v>
      </c>
      <c r="I1309" s="174" t="str">
        <f t="shared" si="1"/>
        <v>NORTE</v>
      </c>
    </row>
    <row r="1310" ht="14.25" customHeight="1">
      <c r="G1310" s="174" t="s">
        <v>2983</v>
      </c>
      <c r="H1310" s="174" t="s">
        <v>1713</v>
      </c>
      <c r="I1310" s="174" t="str">
        <f t="shared" si="1"/>
        <v>CENTRO OESTE</v>
      </c>
    </row>
    <row r="1311" ht="14.25" customHeight="1">
      <c r="G1311" s="174" t="s">
        <v>2984</v>
      </c>
      <c r="H1311" s="174" t="s">
        <v>1750</v>
      </c>
      <c r="I1311" s="174" t="str">
        <f t="shared" si="1"/>
        <v>SUDESTE</v>
      </c>
    </row>
    <row r="1312" ht="14.25" customHeight="1">
      <c r="G1312" s="174" t="s">
        <v>2985</v>
      </c>
      <c r="H1312" s="174" t="s">
        <v>1702</v>
      </c>
      <c r="I1312" s="174" t="str">
        <f t="shared" si="1"/>
        <v>SUL</v>
      </c>
    </row>
    <row r="1313" ht="14.25" customHeight="1">
      <c r="G1313" s="174" t="s">
        <v>2986</v>
      </c>
      <c r="H1313" s="174" t="s">
        <v>1725</v>
      </c>
      <c r="I1313" s="174" t="str">
        <f t="shared" si="1"/>
        <v>NORDESTE</v>
      </c>
    </row>
    <row r="1314" ht="14.25" customHeight="1">
      <c r="G1314" s="174" t="s">
        <v>2987</v>
      </c>
      <c r="H1314" s="174" t="s">
        <v>1725</v>
      </c>
      <c r="I1314" s="174" t="str">
        <f t="shared" si="1"/>
        <v>NORDESTE</v>
      </c>
    </row>
    <row r="1315" ht="14.25" customHeight="1">
      <c r="G1315" s="174" t="s">
        <v>2988</v>
      </c>
      <c r="H1315" s="174" t="s">
        <v>1664</v>
      </c>
      <c r="I1315" s="174" t="str">
        <f t="shared" si="1"/>
        <v>NORDESTE</v>
      </c>
    </row>
    <row r="1316" ht="14.25" customHeight="1">
      <c r="G1316" s="174" t="s">
        <v>2989</v>
      </c>
      <c r="H1316" s="174" t="s">
        <v>1702</v>
      </c>
      <c r="I1316" s="174" t="str">
        <f t="shared" si="1"/>
        <v>SUL</v>
      </c>
    </row>
    <row r="1317" ht="14.25" customHeight="1">
      <c r="G1317" s="174" t="s">
        <v>2989</v>
      </c>
      <c r="H1317" s="174" t="s">
        <v>1742</v>
      </c>
      <c r="I1317" s="174" t="str">
        <f t="shared" si="1"/>
        <v>SUL</v>
      </c>
    </row>
    <row r="1318" ht="14.25" customHeight="1">
      <c r="G1318" s="174" t="s">
        <v>2990</v>
      </c>
      <c r="H1318" s="174" t="s">
        <v>1736</v>
      </c>
      <c r="I1318" s="174" t="str">
        <f t="shared" si="1"/>
        <v>NORTE</v>
      </c>
    </row>
    <row r="1319" ht="14.25" customHeight="1">
      <c r="G1319" s="174" t="s">
        <v>2991</v>
      </c>
      <c r="H1319" s="174" t="s">
        <v>1666</v>
      </c>
      <c r="I1319" s="174" t="str">
        <f t="shared" si="1"/>
        <v>SUDESTE</v>
      </c>
    </row>
    <row r="1320" ht="14.25" customHeight="1">
      <c r="G1320" s="174" t="s">
        <v>2992</v>
      </c>
      <c r="H1320" s="174" t="s">
        <v>1721</v>
      </c>
      <c r="I1320" s="174" t="str">
        <f t="shared" si="1"/>
        <v>NORTE</v>
      </c>
    </row>
    <row r="1321" ht="14.25" customHeight="1">
      <c r="G1321" s="174" t="s">
        <v>2993</v>
      </c>
      <c r="H1321" s="174" t="s">
        <v>1666</v>
      </c>
      <c r="I1321" s="174" t="str">
        <f t="shared" si="1"/>
        <v>SUDESTE</v>
      </c>
    </row>
    <row r="1322" ht="14.25" customHeight="1">
      <c r="G1322" s="174" t="s">
        <v>2994</v>
      </c>
      <c r="H1322" s="174" t="s">
        <v>1730</v>
      </c>
      <c r="I1322" s="174" t="str">
        <f t="shared" si="1"/>
        <v>SUDESTE</v>
      </c>
    </row>
    <row r="1323" ht="14.25" customHeight="1">
      <c r="G1323" s="174" t="s">
        <v>2995</v>
      </c>
      <c r="H1323" s="174" t="s">
        <v>1666</v>
      </c>
      <c r="I1323" s="174" t="str">
        <f t="shared" si="1"/>
        <v>SUDESTE</v>
      </c>
    </row>
    <row r="1324" ht="14.25" customHeight="1">
      <c r="G1324" s="174" t="s">
        <v>2996</v>
      </c>
      <c r="H1324" s="174" t="s">
        <v>1713</v>
      </c>
      <c r="I1324" s="174" t="str">
        <f t="shared" si="1"/>
        <v>CENTRO OESTE</v>
      </c>
    </row>
    <row r="1325" ht="14.25" customHeight="1">
      <c r="G1325" s="174" t="s">
        <v>2997</v>
      </c>
      <c r="H1325" s="174" t="s">
        <v>1719</v>
      </c>
      <c r="I1325" s="174" t="str">
        <f t="shared" si="1"/>
        <v>NORDESTE</v>
      </c>
    </row>
    <row r="1326" ht="14.25" customHeight="1">
      <c r="G1326" s="174" t="s">
        <v>2998</v>
      </c>
      <c r="H1326" s="174" t="s">
        <v>1666</v>
      </c>
      <c r="I1326" s="174" t="str">
        <f t="shared" si="1"/>
        <v>SUDESTE</v>
      </c>
    </row>
    <row r="1327" ht="14.25" customHeight="1">
      <c r="G1327" s="174" t="s">
        <v>2999</v>
      </c>
      <c r="H1327" s="174" t="s">
        <v>1698</v>
      </c>
      <c r="I1327" s="174" t="str">
        <f t="shared" si="1"/>
        <v>SUDESTE</v>
      </c>
    </row>
    <row r="1328" ht="14.25" customHeight="1">
      <c r="G1328" s="174" t="s">
        <v>3000</v>
      </c>
      <c r="H1328" s="174" t="s">
        <v>1666</v>
      </c>
      <c r="I1328" s="174" t="str">
        <f t="shared" si="1"/>
        <v>SUDESTE</v>
      </c>
    </row>
    <row r="1329" ht="14.25" customHeight="1">
      <c r="G1329" s="174" t="s">
        <v>3001</v>
      </c>
      <c r="H1329" s="174" t="s">
        <v>1685</v>
      </c>
      <c r="I1329" s="174" t="str">
        <f t="shared" si="1"/>
        <v>NORDESTE</v>
      </c>
    </row>
    <row r="1330" ht="14.25" customHeight="1">
      <c r="G1330" s="174" t="s">
        <v>3002</v>
      </c>
      <c r="H1330" s="174" t="s">
        <v>1666</v>
      </c>
      <c r="I1330" s="174" t="str">
        <f t="shared" si="1"/>
        <v>SUDESTE</v>
      </c>
    </row>
    <row r="1331" ht="14.25" customHeight="1">
      <c r="G1331" s="174" t="s">
        <v>3003</v>
      </c>
      <c r="H1331" s="174" t="s">
        <v>1666</v>
      </c>
      <c r="I1331" s="174" t="str">
        <f t="shared" si="1"/>
        <v>SUDESTE</v>
      </c>
    </row>
    <row r="1332" ht="14.25" customHeight="1">
      <c r="G1332" s="174" t="s">
        <v>3004</v>
      </c>
      <c r="H1332" s="174" t="s">
        <v>1666</v>
      </c>
      <c r="I1332" s="174" t="str">
        <f t="shared" si="1"/>
        <v>SUDESTE</v>
      </c>
    </row>
    <row r="1333" ht="14.25" customHeight="1">
      <c r="G1333" s="174" t="s">
        <v>3005</v>
      </c>
      <c r="H1333" s="174" t="s">
        <v>1730</v>
      </c>
      <c r="I1333" s="174" t="str">
        <f t="shared" si="1"/>
        <v>SUDESTE</v>
      </c>
    </row>
    <row r="1334" ht="14.25" customHeight="1">
      <c r="G1334" s="174" t="s">
        <v>3006</v>
      </c>
      <c r="H1334" s="174" t="s">
        <v>1685</v>
      </c>
      <c r="I1334" s="174" t="str">
        <f t="shared" si="1"/>
        <v>NORDESTE</v>
      </c>
    </row>
    <row r="1335" ht="14.25" customHeight="1">
      <c r="G1335" s="174" t="s">
        <v>3007</v>
      </c>
      <c r="H1335" s="174" t="s">
        <v>1687</v>
      </c>
      <c r="I1335" s="174" t="str">
        <f t="shared" si="1"/>
        <v>NORTE</v>
      </c>
    </row>
    <row r="1336" ht="14.25" customHeight="1">
      <c r="G1336" s="174" t="s">
        <v>3008</v>
      </c>
      <c r="H1336" s="174" t="s">
        <v>1725</v>
      </c>
      <c r="I1336" s="174" t="str">
        <f t="shared" si="1"/>
        <v>NORDESTE</v>
      </c>
    </row>
    <row r="1337" ht="14.25" customHeight="1">
      <c r="G1337" s="174" t="s">
        <v>3009</v>
      </c>
      <c r="H1337" s="174" t="s">
        <v>1698</v>
      </c>
      <c r="I1337" s="174" t="str">
        <f t="shared" si="1"/>
        <v>SUDESTE</v>
      </c>
    </row>
    <row r="1338" ht="14.25" customHeight="1">
      <c r="G1338" s="174" t="s">
        <v>3010</v>
      </c>
      <c r="H1338" s="174" t="s">
        <v>1685</v>
      </c>
      <c r="I1338" s="174" t="str">
        <f t="shared" si="1"/>
        <v>NORDESTE</v>
      </c>
    </row>
    <row r="1339" ht="14.25" customHeight="1">
      <c r="G1339" s="174" t="s">
        <v>3011</v>
      </c>
      <c r="H1339" s="174" t="s">
        <v>1685</v>
      </c>
      <c r="I1339" s="174" t="str">
        <f t="shared" si="1"/>
        <v>NORDESTE</v>
      </c>
    </row>
    <row r="1340" ht="14.25" customHeight="1">
      <c r="G1340" s="174" t="s">
        <v>3012</v>
      </c>
      <c r="H1340" s="174" t="s">
        <v>1704</v>
      </c>
      <c r="I1340" s="174" t="str">
        <f t="shared" si="1"/>
        <v>NORDESTE</v>
      </c>
    </row>
    <row r="1341" ht="14.25" customHeight="1">
      <c r="G1341" s="174" t="s">
        <v>3013</v>
      </c>
      <c r="H1341" s="174" t="s">
        <v>1666</v>
      </c>
      <c r="I1341" s="174" t="str">
        <f t="shared" si="1"/>
        <v>SUDESTE</v>
      </c>
    </row>
    <row r="1342" ht="14.25" customHeight="1">
      <c r="G1342" s="174" t="s">
        <v>3014</v>
      </c>
      <c r="H1342" s="174" t="s">
        <v>1666</v>
      </c>
      <c r="I1342" s="174" t="str">
        <f t="shared" si="1"/>
        <v>SUDESTE</v>
      </c>
    </row>
    <row r="1343" ht="14.25" customHeight="1">
      <c r="G1343" s="174" t="s">
        <v>3015</v>
      </c>
      <c r="H1343" s="174" t="s">
        <v>1666</v>
      </c>
      <c r="I1343" s="174" t="str">
        <f t="shared" si="1"/>
        <v>SUDESTE</v>
      </c>
    </row>
    <row r="1344" ht="14.25" customHeight="1">
      <c r="G1344" s="174" t="s">
        <v>3016</v>
      </c>
      <c r="H1344" s="174" t="s">
        <v>1721</v>
      </c>
      <c r="I1344" s="174" t="str">
        <f t="shared" si="1"/>
        <v>NORTE</v>
      </c>
    </row>
    <row r="1345" ht="14.25" customHeight="1">
      <c r="G1345" s="174" t="s">
        <v>3017</v>
      </c>
      <c r="H1345" s="174" t="s">
        <v>1666</v>
      </c>
      <c r="I1345" s="174" t="str">
        <f t="shared" si="1"/>
        <v>SUDESTE</v>
      </c>
    </row>
    <row r="1346" ht="14.25" customHeight="1">
      <c r="G1346" s="174" t="s">
        <v>3018</v>
      </c>
      <c r="H1346" s="174" t="s">
        <v>1750</v>
      </c>
      <c r="I1346" s="174" t="str">
        <f t="shared" si="1"/>
        <v>SUDESTE</v>
      </c>
    </row>
    <row r="1347" ht="14.25" customHeight="1">
      <c r="G1347" s="174" t="s">
        <v>3019</v>
      </c>
      <c r="H1347" s="174" t="s">
        <v>1750</v>
      </c>
      <c r="I1347" s="174" t="str">
        <f t="shared" si="1"/>
        <v>SUDESTE</v>
      </c>
    </row>
    <row r="1348" ht="14.25" customHeight="1">
      <c r="G1348" s="174" t="s">
        <v>3020</v>
      </c>
      <c r="H1348" s="174" t="s">
        <v>1706</v>
      </c>
      <c r="I1348" s="174" t="str">
        <f t="shared" si="1"/>
        <v>SUL</v>
      </c>
    </row>
    <row r="1349" ht="14.25" customHeight="1">
      <c r="G1349" s="174" t="s">
        <v>3021</v>
      </c>
      <c r="H1349" s="174" t="s">
        <v>1687</v>
      </c>
      <c r="I1349" s="174" t="str">
        <f t="shared" si="1"/>
        <v>NORTE</v>
      </c>
    </row>
    <row r="1350" ht="14.25" customHeight="1">
      <c r="G1350" s="174" t="s">
        <v>3022</v>
      </c>
      <c r="H1350" s="174" t="s">
        <v>1719</v>
      </c>
      <c r="I1350" s="174" t="str">
        <f t="shared" si="1"/>
        <v>NORDESTE</v>
      </c>
    </row>
    <row r="1351" ht="14.25" customHeight="1">
      <c r="G1351" s="174" t="s">
        <v>3022</v>
      </c>
      <c r="H1351" s="174" t="s">
        <v>1717</v>
      </c>
      <c r="I1351" s="174" t="str">
        <f t="shared" si="1"/>
        <v>NORDESTE</v>
      </c>
    </row>
    <row r="1352" ht="14.25" customHeight="1">
      <c r="G1352" s="174" t="s">
        <v>3023</v>
      </c>
      <c r="H1352" s="174" t="s">
        <v>1719</v>
      </c>
      <c r="I1352" s="174" t="str">
        <f t="shared" si="1"/>
        <v>NORDESTE</v>
      </c>
    </row>
    <row r="1353" ht="14.25" customHeight="1">
      <c r="G1353" s="174" t="s">
        <v>3023</v>
      </c>
      <c r="H1353" s="174" t="s">
        <v>1685</v>
      </c>
      <c r="I1353" s="174" t="str">
        <f t="shared" si="1"/>
        <v>NORDESTE</v>
      </c>
    </row>
    <row r="1354" ht="14.25" customHeight="1">
      <c r="G1354" s="174" t="s">
        <v>3024</v>
      </c>
      <c r="H1354" s="174" t="s">
        <v>1685</v>
      </c>
      <c r="I1354" s="174" t="str">
        <f t="shared" si="1"/>
        <v>NORDESTE</v>
      </c>
    </row>
    <row r="1355" ht="14.25" customHeight="1">
      <c r="G1355" s="174" t="s">
        <v>3025</v>
      </c>
      <c r="H1355" s="174" t="s">
        <v>1742</v>
      </c>
      <c r="I1355" s="174" t="str">
        <f t="shared" si="1"/>
        <v>SUL</v>
      </c>
    </row>
    <row r="1356" ht="14.25" customHeight="1">
      <c r="G1356" s="174" t="s">
        <v>3026</v>
      </c>
      <c r="H1356" s="174" t="s">
        <v>1666</v>
      </c>
      <c r="I1356" s="174" t="str">
        <f t="shared" si="1"/>
        <v>SUDESTE</v>
      </c>
    </row>
    <row r="1357" ht="14.25" customHeight="1">
      <c r="G1357" s="174" t="s">
        <v>3027</v>
      </c>
      <c r="H1357" s="174" t="s">
        <v>1666</v>
      </c>
      <c r="I1357" s="174" t="str">
        <f t="shared" si="1"/>
        <v>SUDESTE</v>
      </c>
    </row>
    <row r="1358" ht="14.25" customHeight="1">
      <c r="G1358" s="174" t="s">
        <v>3028</v>
      </c>
      <c r="H1358" s="174" t="s">
        <v>1713</v>
      </c>
      <c r="I1358" s="174" t="str">
        <f t="shared" si="1"/>
        <v>CENTRO OESTE</v>
      </c>
    </row>
    <row r="1359" ht="14.25" customHeight="1">
      <c r="G1359" s="174" t="s">
        <v>3029</v>
      </c>
      <c r="H1359" s="174" t="s">
        <v>1719</v>
      </c>
      <c r="I1359" s="174" t="str">
        <f t="shared" si="1"/>
        <v>NORDESTE</v>
      </c>
    </row>
    <row r="1360" ht="14.25" customHeight="1">
      <c r="G1360" s="174" t="s">
        <v>3030</v>
      </c>
      <c r="H1360" s="174" t="s">
        <v>1666</v>
      </c>
      <c r="I1360" s="174" t="str">
        <f t="shared" si="1"/>
        <v>SUDESTE</v>
      </c>
    </row>
    <row r="1361" ht="14.25" customHeight="1">
      <c r="G1361" s="174" t="s">
        <v>3031</v>
      </c>
      <c r="H1361" s="174" t="s">
        <v>1666</v>
      </c>
      <c r="I1361" s="174" t="str">
        <f t="shared" si="1"/>
        <v>SUDESTE</v>
      </c>
    </row>
    <row r="1362" ht="14.25" customHeight="1">
      <c r="G1362" s="174" t="s">
        <v>3032</v>
      </c>
      <c r="H1362" s="174" t="s">
        <v>1666</v>
      </c>
      <c r="I1362" s="174" t="str">
        <f t="shared" si="1"/>
        <v>SUDESTE</v>
      </c>
    </row>
    <row r="1363" ht="14.25" customHeight="1">
      <c r="G1363" s="174" t="s">
        <v>3033</v>
      </c>
      <c r="H1363" s="174" t="s">
        <v>1702</v>
      </c>
      <c r="I1363" s="174" t="str">
        <f t="shared" si="1"/>
        <v>SUL</v>
      </c>
    </row>
    <row r="1364" ht="14.25" customHeight="1">
      <c r="G1364" s="174" t="s">
        <v>3034</v>
      </c>
      <c r="H1364" s="174" t="s">
        <v>1666</v>
      </c>
      <c r="I1364" s="174" t="str">
        <f t="shared" si="1"/>
        <v>SUDESTE</v>
      </c>
    </row>
    <row r="1365" ht="14.25" customHeight="1">
      <c r="G1365" s="174" t="s">
        <v>3035</v>
      </c>
      <c r="H1365" s="174" t="s">
        <v>1713</v>
      </c>
      <c r="I1365" s="174" t="str">
        <f t="shared" si="1"/>
        <v>CENTRO OESTE</v>
      </c>
    </row>
    <row r="1366" ht="14.25" customHeight="1">
      <c r="G1366" s="174" t="s">
        <v>3036</v>
      </c>
      <c r="H1366" s="174" t="s">
        <v>1666</v>
      </c>
      <c r="I1366" s="174" t="str">
        <f t="shared" si="1"/>
        <v>SUDESTE</v>
      </c>
    </row>
    <row r="1367" ht="14.25" customHeight="1">
      <c r="G1367" s="174" t="s">
        <v>3037</v>
      </c>
      <c r="H1367" s="174" t="s">
        <v>1702</v>
      </c>
      <c r="I1367" s="174" t="str">
        <f t="shared" si="1"/>
        <v>SUL</v>
      </c>
    </row>
    <row r="1368" ht="14.25" customHeight="1">
      <c r="G1368" s="174" t="s">
        <v>3038</v>
      </c>
      <c r="H1368" s="174" t="s">
        <v>1666</v>
      </c>
      <c r="I1368" s="174" t="str">
        <f t="shared" si="1"/>
        <v>SUDESTE</v>
      </c>
    </row>
    <row r="1369" ht="14.25" customHeight="1">
      <c r="G1369" s="174" t="s">
        <v>3039</v>
      </c>
      <c r="H1369" s="174" t="s">
        <v>1666</v>
      </c>
      <c r="I1369" s="174" t="str">
        <f t="shared" si="1"/>
        <v>SUDESTE</v>
      </c>
    </row>
    <row r="1370" ht="14.25" customHeight="1">
      <c r="G1370" s="174" t="s">
        <v>3040</v>
      </c>
      <c r="H1370" s="174" t="s">
        <v>1742</v>
      </c>
      <c r="I1370" s="174" t="str">
        <f t="shared" si="1"/>
        <v>SUL</v>
      </c>
    </row>
    <row r="1371" ht="14.25" customHeight="1">
      <c r="G1371" s="174" t="s">
        <v>3041</v>
      </c>
      <c r="H1371" s="174" t="s">
        <v>1666</v>
      </c>
      <c r="I1371" s="174" t="str">
        <f t="shared" si="1"/>
        <v>SUDESTE</v>
      </c>
    </row>
    <row r="1372" ht="14.25" customHeight="1">
      <c r="G1372" s="174" t="s">
        <v>3042</v>
      </c>
      <c r="H1372" s="174" t="s">
        <v>1702</v>
      </c>
      <c r="I1372" s="174" t="str">
        <f t="shared" si="1"/>
        <v>SUL</v>
      </c>
    </row>
    <row r="1373" ht="14.25" customHeight="1">
      <c r="G1373" s="174" t="s">
        <v>3043</v>
      </c>
      <c r="H1373" s="174" t="s">
        <v>1685</v>
      </c>
      <c r="I1373" s="174" t="str">
        <f t="shared" si="1"/>
        <v>NORDESTE</v>
      </c>
    </row>
    <row r="1374" ht="14.25" customHeight="1">
      <c r="G1374" s="174" t="s">
        <v>3044</v>
      </c>
      <c r="H1374" s="174" t="s">
        <v>1666</v>
      </c>
      <c r="I1374" s="174" t="str">
        <f t="shared" si="1"/>
        <v>SUDESTE</v>
      </c>
    </row>
    <row r="1375" ht="14.25" customHeight="1">
      <c r="G1375" s="174" t="s">
        <v>3045</v>
      </c>
      <c r="H1375" s="174" t="s">
        <v>1742</v>
      </c>
      <c r="I1375" s="174" t="str">
        <f t="shared" si="1"/>
        <v>SUL</v>
      </c>
    </row>
    <row r="1376" ht="14.25" customHeight="1">
      <c r="G1376" s="174" t="s">
        <v>3046</v>
      </c>
      <c r="H1376" s="174" t="s">
        <v>1664</v>
      </c>
      <c r="I1376" s="174" t="str">
        <f t="shared" si="1"/>
        <v>NORDESTE</v>
      </c>
    </row>
    <row r="1377" ht="14.25" customHeight="1">
      <c r="G1377" s="174" t="s">
        <v>3047</v>
      </c>
      <c r="H1377" s="174" t="s">
        <v>1742</v>
      </c>
      <c r="I1377" s="174" t="str">
        <f t="shared" si="1"/>
        <v>SUL</v>
      </c>
    </row>
    <row r="1378" ht="14.25" customHeight="1">
      <c r="G1378" s="174" t="s">
        <v>3048</v>
      </c>
      <c r="H1378" s="174" t="s">
        <v>1666</v>
      </c>
      <c r="I1378" s="174" t="str">
        <f t="shared" si="1"/>
        <v>SUDESTE</v>
      </c>
    </row>
    <row r="1379" ht="14.25" customHeight="1">
      <c r="G1379" s="174" t="s">
        <v>3049</v>
      </c>
      <c r="H1379" s="174" t="s">
        <v>1685</v>
      </c>
      <c r="I1379" s="174" t="str">
        <f t="shared" si="1"/>
        <v>NORDESTE</v>
      </c>
    </row>
    <row r="1380" ht="14.25" customHeight="1">
      <c r="G1380" s="174" t="s">
        <v>3050</v>
      </c>
      <c r="H1380" s="174" t="s">
        <v>1702</v>
      </c>
      <c r="I1380" s="174" t="str">
        <f t="shared" si="1"/>
        <v>SUL</v>
      </c>
    </row>
    <row r="1381" ht="14.25" customHeight="1">
      <c r="G1381" s="174" t="s">
        <v>3051</v>
      </c>
      <c r="H1381" s="174" t="s">
        <v>1730</v>
      </c>
      <c r="I1381" s="174" t="str">
        <f t="shared" si="1"/>
        <v>SUDESTE</v>
      </c>
    </row>
    <row r="1382" ht="14.25" customHeight="1">
      <c r="G1382" s="174" t="s">
        <v>3052</v>
      </c>
      <c r="H1382" s="174" t="s">
        <v>1750</v>
      </c>
      <c r="I1382" s="174" t="str">
        <f t="shared" si="1"/>
        <v>SUDESTE</v>
      </c>
    </row>
    <row r="1383" ht="14.25" customHeight="1">
      <c r="G1383" s="174" t="s">
        <v>3053</v>
      </c>
      <c r="H1383" s="174" t="s">
        <v>1685</v>
      </c>
      <c r="I1383" s="174" t="str">
        <f t="shared" si="1"/>
        <v>NORDESTE</v>
      </c>
    </row>
    <row r="1384" ht="14.25" customHeight="1">
      <c r="G1384" s="174" t="s">
        <v>3054</v>
      </c>
      <c r="H1384" s="174" t="s">
        <v>1706</v>
      </c>
      <c r="I1384" s="174" t="str">
        <f t="shared" si="1"/>
        <v>SUL</v>
      </c>
    </row>
    <row r="1385" ht="14.25" customHeight="1">
      <c r="G1385" s="174" t="s">
        <v>3055</v>
      </c>
      <c r="H1385" s="174" t="s">
        <v>1666</v>
      </c>
      <c r="I1385" s="174" t="str">
        <f t="shared" si="1"/>
        <v>SUDESTE</v>
      </c>
    </row>
    <row r="1386" ht="14.25" customHeight="1">
      <c r="G1386" s="174" t="s">
        <v>3056</v>
      </c>
      <c r="H1386" s="174" t="s">
        <v>1666</v>
      </c>
      <c r="I1386" s="174" t="str">
        <f t="shared" si="1"/>
        <v>SUDESTE</v>
      </c>
    </row>
    <row r="1387" ht="14.25" customHeight="1">
      <c r="G1387" s="174" t="s">
        <v>3057</v>
      </c>
      <c r="H1387" s="174" t="s">
        <v>1690</v>
      </c>
      <c r="I1387" s="174" t="str">
        <f t="shared" si="1"/>
        <v>NORDESTE</v>
      </c>
    </row>
    <row r="1388" ht="14.25" customHeight="1">
      <c r="G1388" s="174" t="s">
        <v>3058</v>
      </c>
      <c r="H1388" s="174" t="s">
        <v>1719</v>
      </c>
      <c r="I1388" s="174" t="str">
        <f t="shared" si="1"/>
        <v>NORDESTE</v>
      </c>
    </row>
    <row r="1389" ht="14.25" customHeight="1">
      <c r="G1389" s="174" t="s">
        <v>3059</v>
      </c>
      <c r="H1389" s="174" t="s">
        <v>1710</v>
      </c>
      <c r="I1389" s="174" t="str">
        <f t="shared" si="1"/>
        <v>CENTRO OESTE</v>
      </c>
    </row>
    <row r="1390" ht="14.25" customHeight="1">
      <c r="G1390" s="174" t="s">
        <v>3060</v>
      </c>
      <c r="H1390" s="174" t="s">
        <v>1685</v>
      </c>
      <c r="I1390" s="174" t="str">
        <f t="shared" si="1"/>
        <v>NORDESTE</v>
      </c>
    </row>
    <row r="1391" ht="14.25" customHeight="1">
      <c r="G1391" s="174" t="s">
        <v>3061</v>
      </c>
      <c r="H1391" s="174" t="s">
        <v>1666</v>
      </c>
      <c r="I1391" s="174" t="str">
        <f t="shared" si="1"/>
        <v>SUDESTE</v>
      </c>
    </row>
    <row r="1392" ht="14.25" customHeight="1">
      <c r="G1392" s="174" t="s">
        <v>3062</v>
      </c>
      <c r="H1392" s="174" t="s">
        <v>1702</v>
      </c>
      <c r="I1392" s="174" t="str">
        <f t="shared" si="1"/>
        <v>SUL</v>
      </c>
    </row>
    <row r="1393" ht="14.25" customHeight="1">
      <c r="G1393" s="174" t="s">
        <v>3063</v>
      </c>
      <c r="H1393" s="174" t="s">
        <v>1666</v>
      </c>
      <c r="I1393" s="174" t="str">
        <f t="shared" si="1"/>
        <v>SUDESTE</v>
      </c>
    </row>
    <row r="1394" ht="14.25" customHeight="1">
      <c r="G1394" s="174" t="s">
        <v>3064</v>
      </c>
      <c r="H1394" s="174" t="s">
        <v>1750</v>
      </c>
      <c r="I1394" s="174" t="str">
        <f t="shared" si="1"/>
        <v>SUDESTE</v>
      </c>
    </row>
    <row r="1395" ht="14.25" customHeight="1">
      <c r="G1395" s="174" t="s">
        <v>3065</v>
      </c>
      <c r="H1395" s="174" t="s">
        <v>1704</v>
      </c>
      <c r="I1395" s="174" t="str">
        <f t="shared" si="1"/>
        <v>NORDESTE</v>
      </c>
    </row>
    <row r="1396" ht="14.25" customHeight="1">
      <c r="G1396" s="174" t="s">
        <v>3066</v>
      </c>
      <c r="H1396" s="174" t="s">
        <v>1666</v>
      </c>
      <c r="I1396" s="174" t="str">
        <f t="shared" si="1"/>
        <v>SUDESTE</v>
      </c>
    </row>
    <row r="1397" ht="14.25" customHeight="1">
      <c r="G1397" s="174" t="s">
        <v>3067</v>
      </c>
      <c r="H1397" s="174" t="s">
        <v>1742</v>
      </c>
      <c r="I1397" s="174" t="str">
        <f t="shared" si="1"/>
        <v>SUL</v>
      </c>
    </row>
    <row r="1398" ht="14.25" customHeight="1">
      <c r="G1398" s="174" t="s">
        <v>3068</v>
      </c>
      <c r="H1398" s="174" t="s">
        <v>1742</v>
      </c>
      <c r="I1398" s="174" t="str">
        <f t="shared" si="1"/>
        <v>SUL</v>
      </c>
    </row>
    <row r="1399" ht="14.25" customHeight="1">
      <c r="G1399" s="174" t="s">
        <v>3069</v>
      </c>
      <c r="H1399" s="174" t="s">
        <v>1702</v>
      </c>
      <c r="I1399" s="174" t="str">
        <f t="shared" si="1"/>
        <v>SUL</v>
      </c>
    </row>
    <row r="1400" ht="14.25" customHeight="1">
      <c r="G1400" s="174" t="s">
        <v>3070</v>
      </c>
      <c r="H1400" s="174" t="s">
        <v>1733</v>
      </c>
      <c r="I1400" s="174" t="str">
        <f t="shared" si="1"/>
        <v>NORDESTE</v>
      </c>
    </row>
    <row r="1401" ht="14.25" customHeight="1">
      <c r="G1401" s="174" t="s">
        <v>3071</v>
      </c>
      <c r="H1401" s="174" t="s">
        <v>1666</v>
      </c>
      <c r="I1401" s="174" t="str">
        <f t="shared" si="1"/>
        <v>SUDESTE</v>
      </c>
    </row>
    <row r="1402" ht="14.25" customHeight="1">
      <c r="G1402" s="174" t="s">
        <v>3072</v>
      </c>
      <c r="H1402" s="174" t="s">
        <v>1706</v>
      </c>
      <c r="I1402" s="174" t="str">
        <f t="shared" si="1"/>
        <v>SUL</v>
      </c>
    </row>
    <row r="1403" ht="14.25" customHeight="1">
      <c r="G1403" s="174" t="s">
        <v>3073</v>
      </c>
      <c r="H1403" s="174" t="s">
        <v>1733</v>
      </c>
      <c r="I1403" s="174" t="str">
        <f t="shared" si="1"/>
        <v>NORDESTE</v>
      </c>
    </row>
    <row r="1404" ht="14.25" customHeight="1">
      <c r="G1404" s="174" t="s">
        <v>3074</v>
      </c>
      <c r="H1404" s="174" t="s">
        <v>1685</v>
      </c>
      <c r="I1404" s="174" t="str">
        <f t="shared" si="1"/>
        <v>NORDESTE</v>
      </c>
    </row>
    <row r="1405" ht="14.25" customHeight="1">
      <c r="G1405" s="174" t="s">
        <v>3075</v>
      </c>
      <c r="H1405" s="174" t="s">
        <v>1725</v>
      </c>
      <c r="I1405" s="174" t="str">
        <f t="shared" si="1"/>
        <v>NORDESTE</v>
      </c>
    </row>
    <row r="1406" ht="14.25" customHeight="1">
      <c r="G1406" s="174" t="s">
        <v>3076</v>
      </c>
      <c r="H1406" s="174" t="s">
        <v>1750</v>
      </c>
      <c r="I1406" s="174" t="str">
        <f t="shared" si="1"/>
        <v>SUDESTE</v>
      </c>
    </row>
    <row r="1407" ht="14.25" customHeight="1">
      <c r="G1407" s="174" t="s">
        <v>3077</v>
      </c>
      <c r="H1407" s="174" t="s">
        <v>1706</v>
      </c>
      <c r="I1407" s="174" t="str">
        <f t="shared" si="1"/>
        <v>SUL</v>
      </c>
    </row>
    <row r="1408" ht="14.25" customHeight="1">
      <c r="G1408" s="174" t="s">
        <v>3078</v>
      </c>
      <c r="H1408" s="174" t="s">
        <v>1666</v>
      </c>
      <c r="I1408" s="174" t="str">
        <f t="shared" si="1"/>
        <v>SUDESTE</v>
      </c>
    </row>
    <row r="1409" ht="14.25" customHeight="1">
      <c r="G1409" s="174" t="s">
        <v>3079</v>
      </c>
      <c r="H1409" s="174" t="s">
        <v>1666</v>
      </c>
      <c r="I1409" s="174" t="str">
        <f t="shared" si="1"/>
        <v>SUDESTE</v>
      </c>
    </row>
    <row r="1410" ht="14.25" customHeight="1">
      <c r="G1410" s="174" t="s">
        <v>3080</v>
      </c>
      <c r="H1410" s="174" t="s">
        <v>1742</v>
      </c>
      <c r="I1410" s="174" t="str">
        <f t="shared" si="1"/>
        <v>SUL</v>
      </c>
    </row>
    <row r="1411" ht="14.25" customHeight="1">
      <c r="G1411" s="174" t="s">
        <v>3081</v>
      </c>
      <c r="H1411" s="174" t="s">
        <v>1710</v>
      </c>
      <c r="I1411" s="174" t="str">
        <f t="shared" si="1"/>
        <v>CENTRO OESTE</v>
      </c>
    </row>
    <row r="1412" ht="14.25" customHeight="1">
      <c r="G1412" s="174" t="s">
        <v>3082</v>
      </c>
      <c r="H1412" s="174" t="s">
        <v>1702</v>
      </c>
      <c r="I1412" s="174" t="str">
        <f t="shared" si="1"/>
        <v>SUL</v>
      </c>
    </row>
    <row r="1413" ht="14.25" customHeight="1">
      <c r="G1413" s="174" t="s">
        <v>3083</v>
      </c>
      <c r="H1413" s="174" t="s">
        <v>1666</v>
      </c>
      <c r="I1413" s="174" t="str">
        <f t="shared" si="1"/>
        <v>SUDESTE</v>
      </c>
    </row>
    <row r="1414" ht="14.25" customHeight="1">
      <c r="G1414" s="174" t="s">
        <v>3084</v>
      </c>
      <c r="H1414" s="174" t="s">
        <v>1666</v>
      </c>
      <c r="I1414" s="174" t="str">
        <f t="shared" si="1"/>
        <v>SUDESTE</v>
      </c>
    </row>
    <row r="1415" ht="14.25" customHeight="1">
      <c r="G1415" s="174" t="s">
        <v>3085</v>
      </c>
      <c r="H1415" s="174" t="s">
        <v>1666</v>
      </c>
      <c r="I1415" s="174" t="str">
        <f t="shared" si="1"/>
        <v>SUDESTE</v>
      </c>
    </row>
    <row r="1416" ht="14.25" customHeight="1">
      <c r="G1416" s="174" t="s">
        <v>3086</v>
      </c>
      <c r="H1416" s="174" t="s">
        <v>1658</v>
      </c>
      <c r="I1416" s="174" t="str">
        <f t="shared" si="1"/>
        <v>CENTRO OESTE</v>
      </c>
    </row>
    <row r="1417" ht="14.25" customHeight="1">
      <c r="G1417" s="174" t="s">
        <v>3087</v>
      </c>
      <c r="H1417" s="174" t="s">
        <v>1666</v>
      </c>
      <c r="I1417" s="174" t="str">
        <f t="shared" si="1"/>
        <v>SUDESTE</v>
      </c>
    </row>
    <row r="1418" ht="14.25" customHeight="1">
      <c r="G1418" s="174" t="s">
        <v>3088</v>
      </c>
      <c r="H1418" s="174" t="s">
        <v>1666</v>
      </c>
      <c r="I1418" s="174" t="str">
        <f t="shared" si="1"/>
        <v>SUDESTE</v>
      </c>
    </row>
    <row r="1419" ht="14.25" customHeight="1">
      <c r="G1419" s="174" t="s">
        <v>3089</v>
      </c>
      <c r="H1419" s="174" t="s">
        <v>1706</v>
      </c>
      <c r="I1419" s="174" t="str">
        <f t="shared" si="1"/>
        <v>SUL</v>
      </c>
    </row>
    <row r="1420" ht="14.25" customHeight="1">
      <c r="G1420" s="174" t="s">
        <v>3090</v>
      </c>
      <c r="H1420" s="174" t="s">
        <v>1725</v>
      </c>
      <c r="I1420" s="174" t="str">
        <f t="shared" si="1"/>
        <v>NORDESTE</v>
      </c>
    </row>
    <row r="1421" ht="14.25" customHeight="1">
      <c r="G1421" s="174" t="s">
        <v>3091</v>
      </c>
      <c r="H1421" s="174" t="s">
        <v>1717</v>
      </c>
      <c r="I1421" s="174" t="str">
        <f t="shared" si="1"/>
        <v>NORDESTE</v>
      </c>
    </row>
    <row r="1422" ht="14.25" customHeight="1">
      <c r="G1422" s="174" t="s">
        <v>3092</v>
      </c>
      <c r="H1422" s="174" t="s">
        <v>1685</v>
      </c>
      <c r="I1422" s="174" t="str">
        <f t="shared" si="1"/>
        <v>NORDESTE</v>
      </c>
    </row>
    <row r="1423" ht="14.25" customHeight="1">
      <c r="G1423" s="174" t="s">
        <v>3093</v>
      </c>
      <c r="H1423" s="174" t="s">
        <v>1717</v>
      </c>
      <c r="I1423" s="174" t="str">
        <f t="shared" si="1"/>
        <v>NORDESTE</v>
      </c>
    </row>
    <row r="1424" ht="14.25" customHeight="1">
      <c r="G1424" s="174" t="s">
        <v>3094</v>
      </c>
      <c r="H1424" s="174" t="s">
        <v>1710</v>
      </c>
      <c r="I1424" s="174" t="str">
        <f t="shared" si="1"/>
        <v>CENTRO OESTE</v>
      </c>
    </row>
    <row r="1425" ht="14.25" customHeight="1">
      <c r="G1425" s="174" t="s">
        <v>3095</v>
      </c>
      <c r="H1425" s="174" t="s">
        <v>1658</v>
      </c>
      <c r="I1425" s="174" t="str">
        <f t="shared" si="1"/>
        <v>CENTRO OESTE</v>
      </c>
    </row>
    <row r="1426" ht="14.25" customHeight="1">
      <c r="G1426" s="174" t="s">
        <v>3096</v>
      </c>
      <c r="H1426" s="174" t="s">
        <v>1658</v>
      </c>
      <c r="I1426" s="174" t="str">
        <f t="shared" si="1"/>
        <v>CENTRO OESTE</v>
      </c>
    </row>
    <row r="1427" ht="14.25" customHeight="1">
      <c r="G1427" s="174" t="s">
        <v>3097</v>
      </c>
      <c r="H1427" s="174" t="s">
        <v>1750</v>
      </c>
      <c r="I1427" s="174" t="str">
        <f t="shared" si="1"/>
        <v>SUDESTE</v>
      </c>
    </row>
    <row r="1428" ht="14.25" customHeight="1">
      <c r="G1428" s="174" t="s">
        <v>3098</v>
      </c>
      <c r="H1428" s="174" t="s">
        <v>1702</v>
      </c>
      <c r="I1428" s="174" t="str">
        <f t="shared" si="1"/>
        <v>SUL</v>
      </c>
    </row>
    <row r="1429" ht="14.25" customHeight="1">
      <c r="G1429" s="174" t="s">
        <v>3099</v>
      </c>
      <c r="H1429" s="174" t="s">
        <v>1736</v>
      </c>
      <c r="I1429" s="174" t="str">
        <f t="shared" si="1"/>
        <v>NORTE</v>
      </c>
    </row>
    <row r="1430" ht="14.25" customHeight="1">
      <c r="G1430" s="174" t="s">
        <v>3100</v>
      </c>
      <c r="H1430" s="174" t="s">
        <v>1706</v>
      </c>
      <c r="I1430" s="174" t="str">
        <f t="shared" si="1"/>
        <v>SUL</v>
      </c>
    </row>
    <row r="1431" ht="14.25" customHeight="1">
      <c r="G1431" s="174" t="s">
        <v>3101</v>
      </c>
      <c r="H1431" s="174" t="s">
        <v>1664</v>
      </c>
      <c r="I1431" s="174" t="str">
        <f t="shared" si="1"/>
        <v>NORDESTE</v>
      </c>
    </row>
    <row r="1432" ht="14.25" customHeight="1">
      <c r="G1432" s="174" t="s">
        <v>3102</v>
      </c>
      <c r="H1432" s="174" t="s">
        <v>1750</v>
      </c>
      <c r="I1432" s="174" t="str">
        <f t="shared" si="1"/>
        <v>SUDESTE</v>
      </c>
    </row>
    <row r="1433" ht="14.25" customHeight="1">
      <c r="G1433" s="174" t="s">
        <v>3103</v>
      </c>
      <c r="H1433" s="174" t="s">
        <v>1750</v>
      </c>
      <c r="I1433" s="174" t="str">
        <f t="shared" si="1"/>
        <v>SUDESTE</v>
      </c>
    </row>
    <row r="1434" ht="14.25" customHeight="1">
      <c r="G1434" s="174" t="s">
        <v>3104</v>
      </c>
      <c r="H1434" s="174" t="s">
        <v>1736</v>
      </c>
      <c r="I1434" s="174" t="str">
        <f t="shared" si="1"/>
        <v>NORTE</v>
      </c>
    </row>
    <row r="1435" ht="14.25" customHeight="1">
      <c r="G1435" s="174" t="s">
        <v>3105</v>
      </c>
      <c r="H1435" s="174" t="s">
        <v>1710</v>
      </c>
      <c r="I1435" s="174" t="str">
        <f t="shared" si="1"/>
        <v>CENTRO OESTE</v>
      </c>
    </row>
    <row r="1436" ht="14.25" customHeight="1">
      <c r="G1436" s="174" t="s">
        <v>3106</v>
      </c>
      <c r="H1436" s="174" t="s">
        <v>1685</v>
      </c>
      <c r="I1436" s="174" t="str">
        <f t="shared" si="1"/>
        <v>NORDESTE</v>
      </c>
    </row>
    <row r="1437" ht="14.25" customHeight="1">
      <c r="G1437" s="174" t="s">
        <v>3107</v>
      </c>
      <c r="H1437" s="174" t="s">
        <v>1750</v>
      </c>
      <c r="I1437" s="174" t="str">
        <f t="shared" si="1"/>
        <v>SUDESTE</v>
      </c>
    </row>
    <row r="1438" ht="14.25" customHeight="1">
      <c r="G1438" s="174" t="s">
        <v>3108</v>
      </c>
      <c r="H1438" s="174" t="s">
        <v>1742</v>
      </c>
      <c r="I1438" s="174" t="str">
        <f t="shared" si="1"/>
        <v>SUL</v>
      </c>
    </row>
    <row r="1439" ht="14.25" customHeight="1">
      <c r="G1439" s="174" t="s">
        <v>3109</v>
      </c>
      <c r="H1439" s="174" t="s">
        <v>1713</v>
      </c>
      <c r="I1439" s="174" t="str">
        <f t="shared" si="1"/>
        <v>CENTRO OESTE</v>
      </c>
    </row>
    <row r="1440" ht="14.25" customHeight="1">
      <c r="G1440" s="174" t="s">
        <v>3110</v>
      </c>
      <c r="H1440" s="174" t="s">
        <v>1721</v>
      </c>
      <c r="I1440" s="174" t="str">
        <f t="shared" si="1"/>
        <v>NORTE</v>
      </c>
    </row>
    <row r="1441" ht="14.25" customHeight="1">
      <c r="G1441" s="174" t="s">
        <v>3111</v>
      </c>
      <c r="H1441" s="174" t="s">
        <v>1666</v>
      </c>
      <c r="I1441" s="174" t="str">
        <f t="shared" si="1"/>
        <v>SUDESTE</v>
      </c>
    </row>
    <row r="1442" ht="14.25" customHeight="1">
      <c r="G1442" s="174" t="s">
        <v>3112</v>
      </c>
      <c r="H1442" s="174" t="s">
        <v>1742</v>
      </c>
      <c r="I1442" s="174" t="str">
        <f t="shared" si="1"/>
        <v>SUL</v>
      </c>
    </row>
    <row r="1443" ht="14.25" customHeight="1">
      <c r="G1443" s="174" t="s">
        <v>3113</v>
      </c>
      <c r="H1443" s="174" t="s">
        <v>1710</v>
      </c>
      <c r="I1443" s="174" t="str">
        <f t="shared" si="1"/>
        <v>CENTRO OESTE</v>
      </c>
    </row>
    <row r="1444" ht="14.25" customHeight="1">
      <c r="G1444" s="174" t="s">
        <v>3114</v>
      </c>
      <c r="H1444" s="174" t="s">
        <v>1719</v>
      </c>
      <c r="I1444" s="174" t="str">
        <f t="shared" si="1"/>
        <v>NORDESTE</v>
      </c>
    </row>
    <row r="1445" ht="14.25" customHeight="1">
      <c r="G1445" s="174" t="s">
        <v>3115</v>
      </c>
      <c r="H1445" s="174" t="s">
        <v>1664</v>
      </c>
      <c r="I1445" s="174" t="str">
        <f t="shared" si="1"/>
        <v>NORDESTE</v>
      </c>
    </row>
    <row r="1446" ht="14.25" customHeight="1">
      <c r="G1446" s="174" t="s">
        <v>3116</v>
      </c>
      <c r="H1446" s="174" t="s">
        <v>1690</v>
      </c>
      <c r="I1446" s="174" t="str">
        <f t="shared" si="1"/>
        <v>NORDESTE</v>
      </c>
    </row>
    <row r="1447" ht="14.25" customHeight="1">
      <c r="G1447" s="174" t="s">
        <v>3117</v>
      </c>
      <c r="H1447" s="174" t="s">
        <v>1690</v>
      </c>
      <c r="I1447" s="174" t="str">
        <f t="shared" si="1"/>
        <v>NORDESTE</v>
      </c>
    </row>
    <row r="1448" ht="14.25" customHeight="1">
      <c r="G1448" s="174" t="s">
        <v>3118</v>
      </c>
      <c r="H1448" s="174" t="s">
        <v>1750</v>
      </c>
      <c r="I1448" s="174" t="str">
        <f t="shared" si="1"/>
        <v>SUDESTE</v>
      </c>
    </row>
    <row r="1449" ht="14.25" customHeight="1">
      <c r="G1449" s="174" t="s">
        <v>3119</v>
      </c>
      <c r="H1449" s="174" t="s">
        <v>1685</v>
      </c>
      <c r="I1449" s="174" t="str">
        <f t="shared" si="1"/>
        <v>NORDESTE</v>
      </c>
    </row>
    <row r="1450" ht="14.25" customHeight="1">
      <c r="G1450" s="174" t="s">
        <v>3120</v>
      </c>
      <c r="H1450" s="174" t="s">
        <v>1706</v>
      </c>
      <c r="I1450" s="174" t="str">
        <f t="shared" si="1"/>
        <v>SUL</v>
      </c>
    </row>
    <row r="1451" ht="14.25" customHeight="1">
      <c r="G1451" s="174" t="s">
        <v>3121</v>
      </c>
      <c r="H1451" s="174" t="s">
        <v>1666</v>
      </c>
      <c r="I1451" s="174" t="str">
        <f t="shared" si="1"/>
        <v>SUDESTE</v>
      </c>
    </row>
    <row r="1452" ht="14.25" customHeight="1">
      <c r="G1452" s="174" t="s">
        <v>3122</v>
      </c>
      <c r="H1452" s="174" t="s">
        <v>1685</v>
      </c>
      <c r="I1452" s="174" t="str">
        <f t="shared" si="1"/>
        <v>NORDESTE</v>
      </c>
    </row>
    <row r="1453" ht="14.25" customHeight="1">
      <c r="G1453" s="174" t="s">
        <v>3123</v>
      </c>
      <c r="H1453" s="174" t="s">
        <v>1742</v>
      </c>
      <c r="I1453" s="174" t="str">
        <f t="shared" si="1"/>
        <v>SUL</v>
      </c>
    </row>
    <row r="1454" ht="14.25" customHeight="1">
      <c r="G1454" s="174" t="s">
        <v>3124</v>
      </c>
      <c r="H1454" s="174" t="s">
        <v>1666</v>
      </c>
      <c r="I1454" s="174" t="str">
        <f t="shared" si="1"/>
        <v>SUDESTE</v>
      </c>
    </row>
    <row r="1455" ht="14.25" customHeight="1">
      <c r="G1455" s="174" t="s">
        <v>3125</v>
      </c>
      <c r="H1455" s="174" t="s">
        <v>1750</v>
      </c>
      <c r="I1455" s="174" t="str">
        <f t="shared" si="1"/>
        <v>SUDESTE</v>
      </c>
    </row>
    <row r="1456" ht="14.25" customHeight="1">
      <c r="G1456" s="174" t="s">
        <v>3126</v>
      </c>
      <c r="H1456" s="174" t="s">
        <v>1742</v>
      </c>
      <c r="I1456" s="174" t="str">
        <f t="shared" si="1"/>
        <v>SUL</v>
      </c>
    </row>
    <row r="1457" ht="14.25" customHeight="1">
      <c r="G1457" s="174" t="s">
        <v>3127</v>
      </c>
      <c r="H1457" s="174" t="s">
        <v>1742</v>
      </c>
      <c r="I1457" s="174" t="str">
        <f t="shared" si="1"/>
        <v>SUL</v>
      </c>
    </row>
    <row r="1458" ht="14.25" customHeight="1">
      <c r="G1458" s="174" t="s">
        <v>3128</v>
      </c>
      <c r="H1458" s="174" t="s">
        <v>1721</v>
      </c>
      <c r="I1458" s="174" t="str">
        <f t="shared" si="1"/>
        <v>NORTE</v>
      </c>
    </row>
    <row r="1459" ht="14.25" customHeight="1">
      <c r="G1459" s="174" t="s">
        <v>3129</v>
      </c>
      <c r="H1459" s="174" t="s">
        <v>1725</v>
      </c>
      <c r="I1459" s="174" t="str">
        <f t="shared" si="1"/>
        <v>NORDESTE</v>
      </c>
    </row>
    <row r="1460" ht="14.25" customHeight="1">
      <c r="G1460" s="174" t="s">
        <v>3130</v>
      </c>
      <c r="H1460" s="174" t="s">
        <v>1666</v>
      </c>
      <c r="I1460" s="174" t="str">
        <f t="shared" si="1"/>
        <v>SUDESTE</v>
      </c>
    </row>
    <row r="1461" ht="14.25" customHeight="1">
      <c r="G1461" s="174" t="s">
        <v>3131</v>
      </c>
      <c r="H1461" s="174" t="s">
        <v>1658</v>
      </c>
      <c r="I1461" s="174" t="str">
        <f t="shared" si="1"/>
        <v>CENTRO OESTE</v>
      </c>
    </row>
    <row r="1462" ht="14.25" customHeight="1">
      <c r="G1462" s="174" t="s">
        <v>3132</v>
      </c>
      <c r="H1462" s="174" t="s">
        <v>1666</v>
      </c>
      <c r="I1462" s="174" t="str">
        <f t="shared" si="1"/>
        <v>SUDESTE</v>
      </c>
    </row>
    <row r="1463" ht="14.25" customHeight="1">
      <c r="G1463" s="174" t="s">
        <v>3133</v>
      </c>
      <c r="H1463" s="174" t="s">
        <v>1658</v>
      </c>
      <c r="I1463" s="174" t="str">
        <f t="shared" si="1"/>
        <v>CENTRO OESTE</v>
      </c>
    </row>
    <row r="1464" ht="14.25" customHeight="1">
      <c r="G1464" s="174" t="s">
        <v>3134</v>
      </c>
      <c r="H1464" s="174" t="s">
        <v>1666</v>
      </c>
      <c r="I1464" s="174" t="str">
        <f t="shared" si="1"/>
        <v>SUDESTE</v>
      </c>
    </row>
    <row r="1465" ht="14.25" customHeight="1">
      <c r="G1465" s="174" t="s">
        <v>3135</v>
      </c>
      <c r="H1465" s="174" t="s">
        <v>1747</v>
      </c>
      <c r="I1465" s="174" t="str">
        <f t="shared" si="1"/>
        <v>NORDESTE</v>
      </c>
    </row>
    <row r="1466" ht="14.25" customHeight="1">
      <c r="G1466" s="174" t="s">
        <v>3136</v>
      </c>
      <c r="H1466" s="174" t="s">
        <v>1725</v>
      </c>
      <c r="I1466" s="174" t="str">
        <f t="shared" si="1"/>
        <v>NORDESTE</v>
      </c>
    </row>
    <row r="1467" ht="14.25" customHeight="1">
      <c r="G1467" s="174" t="s">
        <v>3137</v>
      </c>
      <c r="H1467" s="174" t="s">
        <v>1685</v>
      </c>
      <c r="I1467" s="174" t="str">
        <f t="shared" si="1"/>
        <v>NORDESTE</v>
      </c>
    </row>
    <row r="1468" ht="14.25" customHeight="1">
      <c r="G1468" s="174" t="s">
        <v>3138</v>
      </c>
      <c r="H1468" s="174" t="s">
        <v>1658</v>
      </c>
      <c r="I1468" s="174" t="str">
        <f t="shared" si="1"/>
        <v>CENTRO OESTE</v>
      </c>
    </row>
    <row r="1469" ht="14.25" customHeight="1">
      <c r="G1469" s="174" t="s">
        <v>3139</v>
      </c>
      <c r="H1469" s="174" t="s">
        <v>1721</v>
      </c>
      <c r="I1469" s="174" t="str">
        <f t="shared" si="1"/>
        <v>NORTE</v>
      </c>
    </row>
    <row r="1470" ht="14.25" customHeight="1">
      <c r="G1470" s="174" t="s">
        <v>3140</v>
      </c>
      <c r="H1470" s="174" t="s">
        <v>1690</v>
      </c>
      <c r="I1470" s="174" t="str">
        <f t="shared" si="1"/>
        <v>NORDESTE</v>
      </c>
    </row>
    <row r="1471" ht="14.25" customHeight="1">
      <c r="G1471" s="174" t="s">
        <v>3141</v>
      </c>
      <c r="H1471" s="174" t="s">
        <v>1658</v>
      </c>
      <c r="I1471" s="174" t="str">
        <f t="shared" si="1"/>
        <v>CENTRO OESTE</v>
      </c>
    </row>
    <row r="1472" ht="14.25" customHeight="1">
      <c r="G1472" s="174" t="s">
        <v>3142</v>
      </c>
      <c r="H1472" s="174" t="s">
        <v>1666</v>
      </c>
      <c r="I1472" s="174" t="str">
        <f t="shared" si="1"/>
        <v>SUDESTE</v>
      </c>
    </row>
    <row r="1473" ht="14.25" customHeight="1">
      <c r="G1473" s="174" t="s">
        <v>3143</v>
      </c>
      <c r="H1473" s="174" t="s">
        <v>1690</v>
      </c>
      <c r="I1473" s="174" t="str">
        <f t="shared" si="1"/>
        <v>NORDESTE</v>
      </c>
    </row>
    <row r="1474" ht="14.25" customHeight="1">
      <c r="G1474" s="174" t="s">
        <v>3144</v>
      </c>
      <c r="H1474" s="174" t="s">
        <v>1742</v>
      </c>
      <c r="I1474" s="174" t="str">
        <f t="shared" si="1"/>
        <v>SUL</v>
      </c>
    </row>
    <row r="1475" ht="14.25" customHeight="1">
      <c r="G1475" s="174" t="s">
        <v>3145</v>
      </c>
      <c r="H1475" s="174" t="s">
        <v>1685</v>
      </c>
      <c r="I1475" s="174" t="str">
        <f t="shared" si="1"/>
        <v>NORDESTE</v>
      </c>
    </row>
    <row r="1476" ht="14.25" customHeight="1">
      <c r="G1476" s="174" t="s">
        <v>3146</v>
      </c>
      <c r="H1476" s="174" t="s">
        <v>1719</v>
      </c>
      <c r="I1476" s="174" t="str">
        <f t="shared" si="1"/>
        <v>NORDESTE</v>
      </c>
    </row>
    <row r="1477" ht="14.25" customHeight="1">
      <c r="G1477" s="174" t="s">
        <v>3147</v>
      </c>
      <c r="H1477" s="174" t="s">
        <v>1702</v>
      </c>
      <c r="I1477" s="174" t="str">
        <f t="shared" si="1"/>
        <v>SUL</v>
      </c>
    </row>
    <row r="1478" ht="14.25" customHeight="1">
      <c r="G1478" s="174" t="s">
        <v>3148</v>
      </c>
      <c r="H1478" s="174" t="s">
        <v>1750</v>
      </c>
      <c r="I1478" s="174" t="str">
        <f t="shared" si="1"/>
        <v>SUDESTE</v>
      </c>
    </row>
    <row r="1479" ht="14.25" customHeight="1">
      <c r="G1479" s="174" t="s">
        <v>3149</v>
      </c>
      <c r="H1479" s="174" t="s">
        <v>1742</v>
      </c>
      <c r="I1479" s="174" t="str">
        <f t="shared" si="1"/>
        <v>SUL</v>
      </c>
    </row>
    <row r="1480" ht="14.25" customHeight="1">
      <c r="G1480" s="174" t="s">
        <v>3150</v>
      </c>
      <c r="H1480" s="174" t="s">
        <v>1750</v>
      </c>
      <c r="I1480" s="174" t="str">
        <f t="shared" si="1"/>
        <v>SUDESTE</v>
      </c>
    </row>
    <row r="1481" ht="14.25" customHeight="1">
      <c r="G1481" s="174" t="s">
        <v>3151</v>
      </c>
      <c r="H1481" s="174" t="s">
        <v>1666</v>
      </c>
      <c r="I1481" s="174" t="str">
        <f t="shared" si="1"/>
        <v>SUDESTE</v>
      </c>
    </row>
    <row r="1482" ht="14.25" customHeight="1">
      <c r="G1482" s="174" t="s">
        <v>3152</v>
      </c>
      <c r="H1482" s="174" t="s">
        <v>1702</v>
      </c>
      <c r="I1482" s="174" t="str">
        <f t="shared" si="1"/>
        <v>SUL</v>
      </c>
    </row>
    <row r="1483" ht="14.25" customHeight="1">
      <c r="G1483" s="174" t="s">
        <v>3153</v>
      </c>
      <c r="H1483" s="174" t="s">
        <v>1702</v>
      </c>
      <c r="I1483" s="174" t="str">
        <f t="shared" si="1"/>
        <v>SUL</v>
      </c>
    </row>
    <row r="1484" ht="14.25" customHeight="1">
      <c r="G1484" s="174" t="s">
        <v>3154</v>
      </c>
      <c r="H1484" s="174" t="s">
        <v>1656</v>
      </c>
      <c r="I1484" s="174" t="str">
        <f t="shared" si="1"/>
        <v>NORTE</v>
      </c>
    </row>
    <row r="1485" ht="14.25" customHeight="1">
      <c r="G1485" s="174" t="s">
        <v>3154</v>
      </c>
      <c r="H1485" s="174" t="s">
        <v>1702</v>
      </c>
      <c r="I1485" s="174" t="str">
        <f t="shared" si="1"/>
        <v>SUL</v>
      </c>
    </row>
    <row r="1486" ht="14.25" customHeight="1">
      <c r="G1486" s="174" t="s">
        <v>3154</v>
      </c>
      <c r="H1486" s="174" t="s">
        <v>1742</v>
      </c>
      <c r="I1486" s="174" t="str">
        <f t="shared" si="1"/>
        <v>SUL</v>
      </c>
    </row>
    <row r="1487" ht="14.25" customHeight="1">
      <c r="G1487" s="174" t="s">
        <v>3155</v>
      </c>
      <c r="H1487" s="174" t="s">
        <v>1733</v>
      </c>
      <c r="I1487" s="174" t="str">
        <f t="shared" si="1"/>
        <v>NORDESTE</v>
      </c>
    </row>
    <row r="1488" ht="14.25" customHeight="1">
      <c r="G1488" s="174" t="s">
        <v>3156</v>
      </c>
      <c r="H1488" s="174" t="s">
        <v>1666</v>
      </c>
      <c r="I1488" s="174" t="str">
        <f t="shared" si="1"/>
        <v>SUDESTE</v>
      </c>
    </row>
    <row r="1489" ht="14.25" customHeight="1">
      <c r="G1489" s="174" t="s">
        <v>3157</v>
      </c>
      <c r="H1489" s="174" t="s">
        <v>1702</v>
      </c>
      <c r="I1489" s="174" t="str">
        <f t="shared" si="1"/>
        <v>SUL</v>
      </c>
    </row>
    <row r="1490" ht="14.25" customHeight="1">
      <c r="G1490" s="174" t="s">
        <v>3158</v>
      </c>
      <c r="H1490" s="174" t="s">
        <v>1750</v>
      </c>
      <c r="I1490" s="174" t="str">
        <f t="shared" si="1"/>
        <v>SUDESTE</v>
      </c>
    </row>
    <row r="1491" ht="14.25" customHeight="1">
      <c r="G1491" s="174" t="s">
        <v>3159</v>
      </c>
      <c r="H1491" s="174" t="s">
        <v>1719</v>
      </c>
      <c r="I1491" s="174" t="str">
        <f t="shared" si="1"/>
        <v>NORDESTE</v>
      </c>
    </row>
    <row r="1492" ht="14.25" customHeight="1">
      <c r="G1492" s="174" t="s">
        <v>3160</v>
      </c>
      <c r="H1492" s="174" t="s">
        <v>1713</v>
      </c>
      <c r="I1492" s="174" t="str">
        <f t="shared" si="1"/>
        <v>CENTRO OESTE</v>
      </c>
    </row>
    <row r="1493" ht="14.25" customHeight="1">
      <c r="G1493" s="174" t="s">
        <v>3161</v>
      </c>
      <c r="H1493" s="174" t="s">
        <v>1719</v>
      </c>
      <c r="I1493" s="174" t="str">
        <f t="shared" si="1"/>
        <v>NORDESTE</v>
      </c>
    </row>
    <row r="1494" ht="14.25" customHeight="1">
      <c r="G1494" s="174" t="s">
        <v>3162</v>
      </c>
      <c r="H1494" s="174" t="s">
        <v>1719</v>
      </c>
      <c r="I1494" s="174" t="str">
        <f t="shared" si="1"/>
        <v>NORDESTE</v>
      </c>
    </row>
    <row r="1495" ht="14.25" customHeight="1">
      <c r="G1495" s="174" t="s">
        <v>3163</v>
      </c>
      <c r="H1495" s="174" t="s">
        <v>1719</v>
      </c>
      <c r="I1495" s="174" t="str">
        <f t="shared" si="1"/>
        <v>NORDESTE</v>
      </c>
    </row>
    <row r="1496" ht="14.25" customHeight="1">
      <c r="G1496" s="174" t="s">
        <v>3164</v>
      </c>
      <c r="H1496" s="174" t="s">
        <v>1736</v>
      </c>
      <c r="I1496" s="174" t="str">
        <f t="shared" si="1"/>
        <v>NORTE</v>
      </c>
    </row>
    <row r="1497" ht="14.25" customHeight="1">
      <c r="G1497" s="174" t="s">
        <v>3165</v>
      </c>
      <c r="H1497" s="174" t="s">
        <v>1658</v>
      </c>
      <c r="I1497" s="174" t="str">
        <f t="shared" si="1"/>
        <v>CENTRO OESTE</v>
      </c>
    </row>
    <row r="1498" ht="14.25" customHeight="1">
      <c r="G1498" s="174" t="s">
        <v>3166</v>
      </c>
      <c r="H1498" s="174" t="s">
        <v>1717</v>
      </c>
      <c r="I1498" s="174" t="str">
        <f t="shared" si="1"/>
        <v>NORDESTE</v>
      </c>
    </row>
    <row r="1499" ht="14.25" customHeight="1">
      <c r="G1499" s="174" t="s">
        <v>3167</v>
      </c>
      <c r="H1499" s="174" t="s">
        <v>1687</v>
      </c>
      <c r="I1499" s="174" t="str">
        <f t="shared" si="1"/>
        <v>NORTE</v>
      </c>
    </row>
    <row r="1500" ht="14.25" customHeight="1">
      <c r="G1500" s="174" t="s">
        <v>3168</v>
      </c>
      <c r="H1500" s="174" t="s">
        <v>1747</v>
      </c>
      <c r="I1500" s="174" t="str">
        <f t="shared" si="1"/>
        <v>NORDESTE</v>
      </c>
    </row>
    <row r="1501" ht="14.25" customHeight="1">
      <c r="G1501" s="174" t="s">
        <v>3169</v>
      </c>
      <c r="H1501" s="174" t="s">
        <v>1750</v>
      </c>
      <c r="I1501" s="174" t="str">
        <f t="shared" si="1"/>
        <v>SUDESTE</v>
      </c>
    </row>
    <row r="1502" ht="14.25" customHeight="1">
      <c r="G1502" s="174" t="s">
        <v>3170</v>
      </c>
      <c r="H1502" s="174" t="s">
        <v>1706</v>
      </c>
      <c r="I1502" s="174" t="str">
        <f t="shared" si="1"/>
        <v>SUL</v>
      </c>
    </row>
    <row r="1503" ht="14.25" customHeight="1">
      <c r="G1503" s="174" t="s">
        <v>3171</v>
      </c>
      <c r="H1503" s="174" t="s">
        <v>1706</v>
      </c>
      <c r="I1503" s="174" t="str">
        <f t="shared" si="1"/>
        <v>SUL</v>
      </c>
    </row>
    <row r="1504" ht="14.25" customHeight="1">
      <c r="G1504" s="174" t="s">
        <v>3172</v>
      </c>
      <c r="H1504" s="174" t="s">
        <v>1666</v>
      </c>
      <c r="I1504" s="174" t="str">
        <f t="shared" si="1"/>
        <v>SUDESTE</v>
      </c>
    </row>
    <row r="1505" ht="14.25" customHeight="1">
      <c r="G1505" s="174" t="s">
        <v>3173</v>
      </c>
      <c r="H1505" s="174" t="s">
        <v>1717</v>
      </c>
      <c r="I1505" s="174" t="str">
        <f t="shared" si="1"/>
        <v>NORDESTE</v>
      </c>
    </row>
    <row r="1506" ht="14.25" customHeight="1">
      <c r="G1506" s="174" t="s">
        <v>3174</v>
      </c>
      <c r="H1506" s="174" t="s">
        <v>1685</v>
      </c>
      <c r="I1506" s="174" t="str">
        <f t="shared" si="1"/>
        <v>NORDESTE</v>
      </c>
    </row>
    <row r="1507" ht="14.25" customHeight="1">
      <c r="G1507" s="174" t="s">
        <v>3175</v>
      </c>
      <c r="H1507" s="174" t="s">
        <v>1725</v>
      </c>
      <c r="I1507" s="174" t="str">
        <f t="shared" si="1"/>
        <v>NORDESTE</v>
      </c>
    </row>
    <row r="1508" ht="14.25" customHeight="1">
      <c r="G1508" s="174" t="s">
        <v>3176</v>
      </c>
      <c r="H1508" s="174" t="s">
        <v>1687</v>
      </c>
      <c r="I1508" s="174" t="str">
        <f t="shared" si="1"/>
        <v>NORTE</v>
      </c>
    </row>
    <row r="1509" ht="14.25" customHeight="1">
      <c r="G1509" s="174" t="s">
        <v>3177</v>
      </c>
      <c r="H1509" s="174" t="s">
        <v>1702</v>
      </c>
      <c r="I1509" s="174" t="str">
        <f t="shared" si="1"/>
        <v>SUL</v>
      </c>
    </row>
    <row r="1510" ht="14.25" customHeight="1">
      <c r="G1510" s="174" t="s">
        <v>3178</v>
      </c>
      <c r="H1510" s="174" t="s">
        <v>1706</v>
      </c>
      <c r="I1510" s="174" t="str">
        <f t="shared" si="1"/>
        <v>SUL</v>
      </c>
    </row>
    <row r="1511" ht="14.25" customHeight="1">
      <c r="G1511" s="174" t="s">
        <v>3179</v>
      </c>
      <c r="H1511" s="174" t="s">
        <v>1702</v>
      </c>
      <c r="I1511" s="174" t="str">
        <f t="shared" si="1"/>
        <v>SUL</v>
      </c>
    </row>
    <row r="1512" ht="14.25" customHeight="1">
      <c r="G1512" s="174" t="s">
        <v>3180</v>
      </c>
      <c r="H1512" s="174" t="s">
        <v>1725</v>
      </c>
      <c r="I1512" s="174" t="str">
        <f t="shared" si="1"/>
        <v>NORDESTE</v>
      </c>
    </row>
    <row r="1513" ht="14.25" customHeight="1">
      <c r="G1513" s="174" t="s">
        <v>3181</v>
      </c>
      <c r="H1513" s="174" t="s">
        <v>1733</v>
      </c>
      <c r="I1513" s="174" t="str">
        <f t="shared" si="1"/>
        <v>NORDESTE</v>
      </c>
    </row>
    <row r="1514" ht="14.25" customHeight="1">
      <c r="G1514" s="174" t="s">
        <v>3182</v>
      </c>
      <c r="H1514" s="174" t="s">
        <v>1719</v>
      </c>
      <c r="I1514" s="174" t="str">
        <f t="shared" si="1"/>
        <v>NORDESTE</v>
      </c>
    </row>
    <row r="1515" ht="14.25" customHeight="1">
      <c r="G1515" s="174" t="s">
        <v>3183</v>
      </c>
      <c r="H1515" s="174" t="s">
        <v>1666</v>
      </c>
      <c r="I1515" s="174" t="str">
        <f t="shared" si="1"/>
        <v>SUDESTE</v>
      </c>
    </row>
    <row r="1516" ht="14.25" customHeight="1">
      <c r="G1516" s="174" t="s">
        <v>3184</v>
      </c>
      <c r="H1516" s="174" t="s">
        <v>1725</v>
      </c>
      <c r="I1516" s="174" t="str">
        <f t="shared" si="1"/>
        <v>NORDESTE</v>
      </c>
    </row>
    <row r="1517" ht="14.25" customHeight="1">
      <c r="G1517" s="174" t="s">
        <v>3185</v>
      </c>
      <c r="H1517" s="174" t="s">
        <v>1719</v>
      </c>
      <c r="I1517" s="174" t="str">
        <f t="shared" si="1"/>
        <v>NORDESTE</v>
      </c>
    </row>
    <row r="1518" ht="14.25" customHeight="1">
      <c r="G1518" s="174" t="s">
        <v>3186</v>
      </c>
      <c r="H1518" s="174" t="s">
        <v>1687</v>
      </c>
      <c r="I1518" s="174" t="str">
        <f t="shared" si="1"/>
        <v>NORTE</v>
      </c>
    </row>
    <row r="1519" ht="14.25" customHeight="1">
      <c r="G1519" s="174" t="s">
        <v>3187</v>
      </c>
      <c r="H1519" s="174" t="s">
        <v>1725</v>
      </c>
      <c r="I1519" s="174" t="str">
        <f t="shared" si="1"/>
        <v>NORDESTE</v>
      </c>
    </row>
    <row r="1520" ht="14.25" customHeight="1">
      <c r="G1520" s="174" t="s">
        <v>3188</v>
      </c>
      <c r="H1520" s="174" t="s">
        <v>1687</v>
      </c>
      <c r="I1520" s="174" t="str">
        <f t="shared" si="1"/>
        <v>NORTE</v>
      </c>
    </row>
    <row r="1521" ht="14.25" customHeight="1">
      <c r="G1521" s="174" t="s">
        <v>3189</v>
      </c>
      <c r="H1521" s="174" t="s">
        <v>1687</v>
      </c>
      <c r="I1521" s="174" t="str">
        <f t="shared" si="1"/>
        <v>NORTE</v>
      </c>
    </row>
    <row r="1522" ht="14.25" customHeight="1">
      <c r="G1522" s="174" t="s">
        <v>3190</v>
      </c>
      <c r="H1522" s="174" t="s">
        <v>1704</v>
      </c>
      <c r="I1522" s="174" t="str">
        <f t="shared" si="1"/>
        <v>NORDESTE</v>
      </c>
    </row>
    <row r="1523" ht="14.25" customHeight="1">
      <c r="G1523" s="174" t="s">
        <v>3191</v>
      </c>
      <c r="H1523" s="174" t="s">
        <v>1713</v>
      </c>
      <c r="I1523" s="174" t="str">
        <f t="shared" si="1"/>
        <v>CENTRO OESTE</v>
      </c>
    </row>
    <row r="1524" ht="14.25" customHeight="1">
      <c r="G1524" s="174" t="s">
        <v>3192</v>
      </c>
      <c r="H1524" s="174" t="s">
        <v>1666</v>
      </c>
      <c r="I1524" s="174" t="str">
        <f t="shared" si="1"/>
        <v>SUDESTE</v>
      </c>
    </row>
    <row r="1525" ht="14.25" customHeight="1">
      <c r="G1525" s="174" t="s">
        <v>3193</v>
      </c>
      <c r="H1525" s="174" t="s">
        <v>1717</v>
      </c>
      <c r="I1525" s="174" t="str">
        <f t="shared" si="1"/>
        <v>NORDESTE</v>
      </c>
    </row>
    <row r="1526" ht="14.25" customHeight="1">
      <c r="G1526" s="174" t="s">
        <v>3194</v>
      </c>
      <c r="H1526" s="174" t="s">
        <v>1679</v>
      </c>
      <c r="I1526" s="174" t="str">
        <f t="shared" si="1"/>
        <v>NORTE</v>
      </c>
    </row>
    <row r="1527" ht="14.25" customHeight="1">
      <c r="G1527" s="174" t="s">
        <v>3195</v>
      </c>
      <c r="H1527" s="174" t="s">
        <v>1658</v>
      </c>
      <c r="I1527" s="174" t="str">
        <f t="shared" si="1"/>
        <v>CENTRO OESTE</v>
      </c>
    </row>
    <row r="1528" ht="14.25" customHeight="1">
      <c r="G1528" s="174" t="s">
        <v>3196</v>
      </c>
      <c r="H1528" s="174" t="s">
        <v>1719</v>
      </c>
      <c r="I1528" s="174" t="str">
        <f t="shared" si="1"/>
        <v>NORDESTE</v>
      </c>
    </row>
    <row r="1529" ht="14.25" customHeight="1">
      <c r="G1529" s="174" t="s">
        <v>3197</v>
      </c>
      <c r="H1529" s="174" t="s">
        <v>1658</v>
      </c>
      <c r="I1529" s="174" t="str">
        <f t="shared" si="1"/>
        <v>CENTRO OESTE</v>
      </c>
    </row>
    <row r="1530" ht="14.25" customHeight="1">
      <c r="G1530" s="174" t="s">
        <v>3198</v>
      </c>
      <c r="H1530" s="174" t="s">
        <v>1721</v>
      </c>
      <c r="I1530" s="174" t="str">
        <f t="shared" si="1"/>
        <v>NORTE</v>
      </c>
    </row>
    <row r="1531" ht="14.25" customHeight="1">
      <c r="G1531" s="174" t="s">
        <v>3199</v>
      </c>
      <c r="H1531" s="174" t="s">
        <v>1685</v>
      </c>
      <c r="I1531" s="174" t="str">
        <f t="shared" si="1"/>
        <v>NORDESTE</v>
      </c>
    </row>
    <row r="1532" ht="14.25" customHeight="1">
      <c r="G1532" s="174" t="s">
        <v>3200</v>
      </c>
      <c r="H1532" s="174" t="s">
        <v>1666</v>
      </c>
      <c r="I1532" s="174" t="str">
        <f t="shared" si="1"/>
        <v>SUDESTE</v>
      </c>
    </row>
    <row r="1533" ht="14.25" customHeight="1">
      <c r="G1533" s="174" t="s">
        <v>3201</v>
      </c>
      <c r="H1533" s="174" t="s">
        <v>1742</v>
      </c>
      <c r="I1533" s="174" t="str">
        <f t="shared" si="1"/>
        <v>SUL</v>
      </c>
    </row>
    <row r="1534" ht="14.25" customHeight="1">
      <c r="G1534" s="174" t="s">
        <v>3202</v>
      </c>
      <c r="H1534" s="174" t="s">
        <v>1704</v>
      </c>
      <c r="I1534" s="174" t="str">
        <f t="shared" si="1"/>
        <v>NORDESTE</v>
      </c>
    </row>
    <row r="1535" ht="14.25" customHeight="1">
      <c r="G1535" s="174" t="s">
        <v>3202</v>
      </c>
      <c r="H1535" s="174" t="s">
        <v>1658</v>
      </c>
      <c r="I1535" s="174" t="str">
        <f t="shared" si="1"/>
        <v>CENTRO OESTE</v>
      </c>
    </row>
    <row r="1536" ht="14.25" customHeight="1">
      <c r="G1536" s="174" t="s">
        <v>3203</v>
      </c>
      <c r="H1536" s="174" t="s">
        <v>1666</v>
      </c>
      <c r="I1536" s="174" t="str">
        <f t="shared" si="1"/>
        <v>SUDESTE</v>
      </c>
    </row>
    <row r="1537" ht="14.25" customHeight="1">
      <c r="G1537" s="174" t="s">
        <v>3204</v>
      </c>
      <c r="H1537" s="174" t="s">
        <v>1666</v>
      </c>
      <c r="I1537" s="174" t="str">
        <f t="shared" si="1"/>
        <v>SUDESTE</v>
      </c>
    </row>
    <row r="1538" ht="14.25" customHeight="1">
      <c r="G1538" s="174" t="s">
        <v>3205</v>
      </c>
      <c r="H1538" s="174" t="s">
        <v>1664</v>
      </c>
      <c r="I1538" s="174" t="str">
        <f t="shared" si="1"/>
        <v>NORDESTE</v>
      </c>
    </row>
    <row r="1539" ht="14.25" customHeight="1">
      <c r="G1539" s="174" t="s">
        <v>3206</v>
      </c>
      <c r="H1539" s="174" t="s">
        <v>1666</v>
      </c>
      <c r="I1539" s="174" t="str">
        <f t="shared" si="1"/>
        <v>SUDESTE</v>
      </c>
    </row>
    <row r="1540" ht="14.25" customHeight="1">
      <c r="G1540" s="174" t="s">
        <v>3207</v>
      </c>
      <c r="H1540" s="174" t="s">
        <v>1725</v>
      </c>
      <c r="I1540" s="174" t="str">
        <f t="shared" si="1"/>
        <v>NORDESTE</v>
      </c>
    </row>
    <row r="1541" ht="14.25" customHeight="1">
      <c r="G1541" s="174" t="s">
        <v>3208</v>
      </c>
      <c r="H1541" s="174" t="s">
        <v>1713</v>
      </c>
      <c r="I1541" s="174" t="str">
        <f t="shared" si="1"/>
        <v>CENTRO OESTE</v>
      </c>
    </row>
    <row r="1542" ht="14.25" customHeight="1">
      <c r="G1542" s="174" t="s">
        <v>3209</v>
      </c>
      <c r="H1542" s="174" t="s">
        <v>1710</v>
      </c>
      <c r="I1542" s="174" t="str">
        <f t="shared" si="1"/>
        <v>CENTRO OESTE</v>
      </c>
    </row>
    <row r="1543" ht="14.25" customHeight="1">
      <c r="G1543" s="174" t="s">
        <v>3210</v>
      </c>
      <c r="H1543" s="174" t="s">
        <v>1690</v>
      </c>
      <c r="I1543" s="174" t="str">
        <f t="shared" si="1"/>
        <v>NORDESTE</v>
      </c>
    </row>
    <row r="1544" ht="14.25" customHeight="1">
      <c r="G1544" s="174" t="s">
        <v>3211</v>
      </c>
      <c r="H1544" s="174" t="s">
        <v>1742</v>
      </c>
      <c r="I1544" s="174" t="str">
        <f t="shared" si="1"/>
        <v>SUL</v>
      </c>
    </row>
    <row r="1545" ht="14.25" customHeight="1">
      <c r="G1545" s="174" t="s">
        <v>3212</v>
      </c>
      <c r="H1545" s="174" t="s">
        <v>1750</v>
      </c>
      <c r="I1545" s="174" t="str">
        <f t="shared" si="1"/>
        <v>SUDESTE</v>
      </c>
    </row>
    <row r="1546" ht="14.25" customHeight="1">
      <c r="G1546" s="174" t="s">
        <v>3213</v>
      </c>
      <c r="H1546" s="174" t="s">
        <v>1706</v>
      </c>
      <c r="I1546" s="174" t="str">
        <f t="shared" si="1"/>
        <v>SUL</v>
      </c>
    </row>
    <row r="1547" ht="14.25" customHeight="1">
      <c r="G1547" s="174" t="s">
        <v>3214</v>
      </c>
      <c r="H1547" s="174" t="s">
        <v>1666</v>
      </c>
      <c r="I1547" s="174" t="str">
        <f t="shared" si="1"/>
        <v>SUDESTE</v>
      </c>
    </row>
    <row r="1548" ht="14.25" customHeight="1">
      <c r="G1548" s="174" t="s">
        <v>3215</v>
      </c>
      <c r="H1548" s="174" t="s">
        <v>1719</v>
      </c>
      <c r="I1548" s="174" t="str">
        <f t="shared" si="1"/>
        <v>NORDESTE</v>
      </c>
    </row>
    <row r="1549" ht="14.25" customHeight="1">
      <c r="G1549" s="174" t="s">
        <v>3216</v>
      </c>
      <c r="H1549" s="174" t="s">
        <v>1666</v>
      </c>
      <c r="I1549" s="174" t="str">
        <f t="shared" si="1"/>
        <v>SUDESTE</v>
      </c>
    </row>
    <row r="1550" ht="14.25" customHeight="1">
      <c r="G1550" s="174" t="s">
        <v>3217</v>
      </c>
      <c r="H1550" s="174" t="s">
        <v>1666</v>
      </c>
      <c r="I1550" s="174" t="str">
        <f t="shared" si="1"/>
        <v>SUDESTE</v>
      </c>
    </row>
    <row r="1551" ht="14.25" customHeight="1">
      <c r="G1551" s="174" t="s">
        <v>3218</v>
      </c>
      <c r="H1551" s="174" t="s">
        <v>1742</v>
      </c>
      <c r="I1551" s="174" t="str">
        <f t="shared" si="1"/>
        <v>SUL</v>
      </c>
    </row>
    <row r="1552" ht="14.25" customHeight="1">
      <c r="G1552" s="174" t="s">
        <v>3219</v>
      </c>
      <c r="H1552" s="174" t="s">
        <v>1750</v>
      </c>
      <c r="I1552" s="174" t="str">
        <f t="shared" si="1"/>
        <v>SUDESTE</v>
      </c>
    </row>
    <row r="1553" ht="14.25" customHeight="1">
      <c r="G1553" s="174" t="s">
        <v>3220</v>
      </c>
      <c r="H1553" s="174" t="s">
        <v>1719</v>
      </c>
      <c r="I1553" s="174" t="str">
        <f t="shared" si="1"/>
        <v>NORDESTE</v>
      </c>
    </row>
    <row r="1554" ht="14.25" customHeight="1">
      <c r="G1554" s="174" t="s">
        <v>3221</v>
      </c>
      <c r="H1554" s="174" t="s">
        <v>1702</v>
      </c>
      <c r="I1554" s="174" t="str">
        <f t="shared" si="1"/>
        <v>SUL</v>
      </c>
    </row>
    <row r="1555" ht="14.25" customHeight="1">
      <c r="G1555" s="174" t="s">
        <v>3222</v>
      </c>
      <c r="H1555" s="174" t="s">
        <v>1702</v>
      </c>
      <c r="I1555" s="174" t="str">
        <f t="shared" si="1"/>
        <v>SUL</v>
      </c>
    </row>
    <row r="1556" ht="14.25" customHeight="1">
      <c r="G1556" s="174" t="s">
        <v>3223</v>
      </c>
      <c r="H1556" s="174" t="s">
        <v>1702</v>
      </c>
      <c r="I1556" s="174" t="str">
        <f t="shared" si="1"/>
        <v>SUL</v>
      </c>
    </row>
    <row r="1557" ht="14.25" customHeight="1">
      <c r="G1557" s="174" t="s">
        <v>3224</v>
      </c>
      <c r="H1557" s="174" t="s">
        <v>1666</v>
      </c>
      <c r="I1557" s="174" t="str">
        <f t="shared" si="1"/>
        <v>SUDESTE</v>
      </c>
    </row>
    <row r="1558" ht="14.25" customHeight="1">
      <c r="G1558" s="174" t="s">
        <v>3225</v>
      </c>
      <c r="H1558" s="174" t="s">
        <v>1713</v>
      </c>
      <c r="I1558" s="174" t="str">
        <f t="shared" si="1"/>
        <v>CENTRO OESTE</v>
      </c>
    </row>
    <row r="1559" ht="14.25" customHeight="1">
      <c r="G1559" s="174" t="s">
        <v>3226</v>
      </c>
      <c r="H1559" s="174" t="s">
        <v>1721</v>
      </c>
      <c r="I1559" s="174" t="str">
        <f t="shared" si="1"/>
        <v>NORTE</v>
      </c>
    </row>
    <row r="1560" ht="14.25" customHeight="1">
      <c r="G1560" s="174" t="s">
        <v>3227</v>
      </c>
      <c r="H1560" s="174" t="s">
        <v>1685</v>
      </c>
      <c r="I1560" s="174" t="str">
        <f t="shared" si="1"/>
        <v>NORDESTE</v>
      </c>
    </row>
    <row r="1561" ht="14.25" customHeight="1">
      <c r="G1561" s="174" t="s">
        <v>3228</v>
      </c>
      <c r="H1561" s="174" t="s">
        <v>1742</v>
      </c>
      <c r="I1561" s="174" t="str">
        <f t="shared" si="1"/>
        <v>SUL</v>
      </c>
    </row>
    <row r="1562" ht="14.25" customHeight="1">
      <c r="G1562" s="174" t="s">
        <v>3229</v>
      </c>
      <c r="H1562" s="174" t="s">
        <v>1666</v>
      </c>
      <c r="I1562" s="174" t="str">
        <f t="shared" si="1"/>
        <v>SUDESTE</v>
      </c>
    </row>
    <row r="1563" ht="14.25" customHeight="1">
      <c r="G1563" s="174" t="s">
        <v>3230</v>
      </c>
      <c r="H1563" s="174" t="s">
        <v>1666</v>
      </c>
      <c r="I1563" s="174" t="str">
        <f t="shared" si="1"/>
        <v>SUDESTE</v>
      </c>
    </row>
    <row r="1564" ht="14.25" customHeight="1">
      <c r="G1564" s="174" t="s">
        <v>3231</v>
      </c>
      <c r="H1564" s="174" t="s">
        <v>1706</v>
      </c>
      <c r="I1564" s="174" t="str">
        <f t="shared" si="1"/>
        <v>SUL</v>
      </c>
    </row>
    <row r="1565" ht="14.25" customHeight="1">
      <c r="G1565" s="174" t="s">
        <v>3232</v>
      </c>
      <c r="H1565" s="174" t="s">
        <v>1658</v>
      </c>
      <c r="I1565" s="174" t="str">
        <f t="shared" si="1"/>
        <v>CENTRO OESTE</v>
      </c>
    </row>
    <row r="1566" ht="14.25" customHeight="1">
      <c r="G1566" s="174" t="s">
        <v>3233</v>
      </c>
      <c r="H1566" s="174" t="s">
        <v>1750</v>
      </c>
      <c r="I1566" s="174" t="str">
        <f t="shared" si="1"/>
        <v>SUDESTE</v>
      </c>
    </row>
    <row r="1567" ht="14.25" customHeight="1">
      <c r="G1567" s="174" t="s">
        <v>3234</v>
      </c>
      <c r="H1567" s="174" t="s">
        <v>1725</v>
      </c>
      <c r="I1567" s="174" t="str">
        <f t="shared" si="1"/>
        <v>NORDESTE</v>
      </c>
    </row>
    <row r="1568" ht="14.25" customHeight="1">
      <c r="G1568" s="174" t="s">
        <v>3235</v>
      </c>
      <c r="H1568" s="174" t="s">
        <v>1747</v>
      </c>
      <c r="I1568" s="174" t="str">
        <f t="shared" si="1"/>
        <v>NORDESTE</v>
      </c>
    </row>
    <row r="1569" ht="14.25" customHeight="1">
      <c r="G1569" s="174" t="s">
        <v>3236</v>
      </c>
      <c r="H1569" s="174" t="s">
        <v>1666</v>
      </c>
      <c r="I1569" s="174" t="str">
        <f t="shared" si="1"/>
        <v>SUDESTE</v>
      </c>
    </row>
    <row r="1570" ht="14.25" customHeight="1">
      <c r="G1570" s="174" t="s">
        <v>3237</v>
      </c>
      <c r="H1570" s="174" t="s">
        <v>1666</v>
      </c>
      <c r="I1570" s="174" t="str">
        <f t="shared" si="1"/>
        <v>SUDESTE</v>
      </c>
    </row>
    <row r="1571" ht="14.25" customHeight="1">
      <c r="G1571" s="174" t="s">
        <v>3238</v>
      </c>
      <c r="H1571" s="174" t="s">
        <v>1666</v>
      </c>
      <c r="I1571" s="174" t="str">
        <f t="shared" si="1"/>
        <v>SUDESTE</v>
      </c>
    </row>
    <row r="1572" ht="14.25" customHeight="1">
      <c r="G1572" s="174" t="s">
        <v>3239</v>
      </c>
      <c r="H1572" s="174" t="s">
        <v>1698</v>
      </c>
      <c r="I1572" s="174" t="str">
        <f t="shared" si="1"/>
        <v>SUDESTE</v>
      </c>
    </row>
    <row r="1573" ht="14.25" customHeight="1">
      <c r="G1573" s="174" t="s">
        <v>3240</v>
      </c>
      <c r="H1573" s="174" t="s">
        <v>1750</v>
      </c>
      <c r="I1573" s="174" t="str">
        <f t="shared" si="1"/>
        <v>SUDESTE</v>
      </c>
    </row>
    <row r="1574" ht="14.25" customHeight="1">
      <c r="G1574" s="174" t="s">
        <v>3241</v>
      </c>
      <c r="H1574" s="174" t="s">
        <v>1666</v>
      </c>
      <c r="I1574" s="174" t="str">
        <f t="shared" si="1"/>
        <v>SUDESTE</v>
      </c>
    </row>
    <row r="1575" ht="14.25" customHeight="1">
      <c r="G1575" s="174" t="s">
        <v>3242</v>
      </c>
      <c r="H1575" s="174" t="s">
        <v>1666</v>
      </c>
      <c r="I1575" s="174" t="str">
        <f t="shared" si="1"/>
        <v>SUDESTE</v>
      </c>
    </row>
    <row r="1576" ht="14.25" customHeight="1">
      <c r="G1576" s="174" t="s">
        <v>3243</v>
      </c>
      <c r="H1576" s="174" t="s">
        <v>1658</v>
      </c>
      <c r="I1576" s="174" t="str">
        <f t="shared" si="1"/>
        <v>CENTRO OESTE</v>
      </c>
    </row>
    <row r="1577" ht="14.25" customHeight="1">
      <c r="G1577" s="174" t="s">
        <v>3244</v>
      </c>
      <c r="H1577" s="174" t="s">
        <v>1721</v>
      </c>
      <c r="I1577" s="174" t="str">
        <f t="shared" si="1"/>
        <v>NORTE</v>
      </c>
    </row>
    <row r="1578" ht="14.25" customHeight="1">
      <c r="G1578" s="174" t="s">
        <v>3245</v>
      </c>
      <c r="H1578" s="174" t="s">
        <v>1666</v>
      </c>
      <c r="I1578" s="174" t="str">
        <f t="shared" si="1"/>
        <v>SUDESTE</v>
      </c>
    </row>
    <row r="1579" ht="14.25" customHeight="1">
      <c r="G1579" s="174" t="s">
        <v>3246</v>
      </c>
      <c r="H1579" s="174" t="s">
        <v>1666</v>
      </c>
      <c r="I1579" s="174" t="str">
        <f t="shared" si="1"/>
        <v>SUDESTE</v>
      </c>
    </row>
    <row r="1580" ht="14.25" customHeight="1">
      <c r="G1580" s="174" t="s">
        <v>3247</v>
      </c>
      <c r="H1580" s="174" t="s">
        <v>1666</v>
      </c>
      <c r="I1580" s="174" t="str">
        <f t="shared" si="1"/>
        <v>SUDESTE</v>
      </c>
    </row>
    <row r="1581" ht="14.25" customHeight="1">
      <c r="G1581" s="174" t="s">
        <v>3248</v>
      </c>
      <c r="H1581" s="174" t="s">
        <v>1750</v>
      </c>
      <c r="I1581" s="174" t="str">
        <f t="shared" si="1"/>
        <v>SUDESTE</v>
      </c>
    </row>
    <row r="1582" ht="14.25" customHeight="1">
      <c r="G1582" s="174" t="s">
        <v>3249</v>
      </c>
      <c r="H1582" s="174" t="s">
        <v>1750</v>
      </c>
      <c r="I1582" s="174" t="str">
        <f t="shared" si="1"/>
        <v>SUDESTE</v>
      </c>
    </row>
    <row r="1583" ht="14.25" customHeight="1">
      <c r="G1583" s="174" t="s">
        <v>3250</v>
      </c>
      <c r="H1583" s="174" t="s">
        <v>1742</v>
      </c>
      <c r="I1583" s="174" t="str">
        <f t="shared" si="1"/>
        <v>SUL</v>
      </c>
    </row>
    <row r="1584" ht="14.25" customHeight="1">
      <c r="G1584" s="174" t="s">
        <v>3251</v>
      </c>
      <c r="H1584" s="174" t="s">
        <v>1742</v>
      </c>
      <c r="I1584" s="174" t="str">
        <f t="shared" si="1"/>
        <v>SUL</v>
      </c>
    </row>
    <row r="1585" ht="14.25" customHeight="1">
      <c r="G1585" s="174" t="s">
        <v>3252</v>
      </c>
      <c r="H1585" s="174" t="s">
        <v>1710</v>
      </c>
      <c r="I1585" s="174" t="str">
        <f t="shared" si="1"/>
        <v>CENTRO OESTE</v>
      </c>
    </row>
    <row r="1586" ht="14.25" customHeight="1">
      <c r="G1586" s="174" t="s">
        <v>3253</v>
      </c>
      <c r="H1586" s="174" t="s">
        <v>1721</v>
      </c>
      <c r="I1586" s="174" t="str">
        <f t="shared" si="1"/>
        <v>NORTE</v>
      </c>
    </row>
    <row r="1587" ht="14.25" customHeight="1">
      <c r="G1587" s="174" t="s">
        <v>3254</v>
      </c>
      <c r="H1587" s="174" t="s">
        <v>1742</v>
      </c>
      <c r="I1587" s="174" t="str">
        <f t="shared" si="1"/>
        <v>SUL</v>
      </c>
    </row>
    <row r="1588" ht="14.25" customHeight="1">
      <c r="G1588" s="174" t="s">
        <v>3255</v>
      </c>
      <c r="H1588" s="174" t="s">
        <v>1664</v>
      </c>
      <c r="I1588" s="174" t="str">
        <f t="shared" si="1"/>
        <v>NORDESTE</v>
      </c>
    </row>
    <row r="1589" ht="14.25" customHeight="1">
      <c r="G1589" s="174" t="s">
        <v>3256</v>
      </c>
      <c r="H1589" s="174" t="s">
        <v>1702</v>
      </c>
      <c r="I1589" s="174" t="str">
        <f t="shared" si="1"/>
        <v>SUL</v>
      </c>
    </row>
    <row r="1590" ht="14.25" customHeight="1">
      <c r="G1590" s="174" t="s">
        <v>3257</v>
      </c>
      <c r="H1590" s="174" t="s">
        <v>1750</v>
      </c>
      <c r="I1590" s="174" t="str">
        <f t="shared" si="1"/>
        <v>SUDESTE</v>
      </c>
    </row>
    <row r="1591" ht="14.25" customHeight="1">
      <c r="G1591" s="174" t="s">
        <v>3258</v>
      </c>
      <c r="H1591" s="174" t="s">
        <v>1713</v>
      </c>
      <c r="I1591" s="174" t="str">
        <f t="shared" si="1"/>
        <v>CENTRO OESTE</v>
      </c>
    </row>
    <row r="1592" ht="14.25" customHeight="1">
      <c r="G1592" s="174" t="s">
        <v>3259</v>
      </c>
      <c r="H1592" s="174" t="s">
        <v>1685</v>
      </c>
      <c r="I1592" s="174" t="str">
        <f t="shared" si="1"/>
        <v>NORDESTE</v>
      </c>
    </row>
    <row r="1593" ht="14.25" customHeight="1">
      <c r="G1593" s="174" t="s">
        <v>3260</v>
      </c>
      <c r="H1593" s="174" t="s">
        <v>1666</v>
      </c>
      <c r="I1593" s="174" t="str">
        <f t="shared" si="1"/>
        <v>SUDESTE</v>
      </c>
    </row>
    <row r="1594" ht="14.25" customHeight="1">
      <c r="G1594" s="174" t="s">
        <v>3261</v>
      </c>
      <c r="H1594" s="174" t="s">
        <v>1666</v>
      </c>
      <c r="I1594" s="174" t="str">
        <f t="shared" si="1"/>
        <v>SUDESTE</v>
      </c>
    </row>
    <row r="1595" ht="14.25" customHeight="1">
      <c r="G1595" s="174" t="s">
        <v>3262</v>
      </c>
      <c r="H1595" s="174" t="s">
        <v>1687</v>
      </c>
      <c r="I1595" s="174" t="str">
        <f t="shared" si="1"/>
        <v>NORTE</v>
      </c>
    </row>
    <row r="1596" ht="14.25" customHeight="1">
      <c r="G1596" s="174" t="s">
        <v>3263</v>
      </c>
      <c r="H1596" s="174" t="s">
        <v>1725</v>
      </c>
      <c r="I1596" s="174" t="str">
        <f t="shared" si="1"/>
        <v>NORDESTE</v>
      </c>
    </row>
    <row r="1597" ht="14.25" customHeight="1">
      <c r="G1597" s="174" t="s">
        <v>3264</v>
      </c>
      <c r="H1597" s="174" t="s">
        <v>1742</v>
      </c>
      <c r="I1597" s="174" t="str">
        <f t="shared" si="1"/>
        <v>SUL</v>
      </c>
    </row>
    <row r="1598" ht="14.25" customHeight="1">
      <c r="G1598" s="174" t="s">
        <v>3265</v>
      </c>
      <c r="H1598" s="174" t="s">
        <v>1725</v>
      </c>
      <c r="I1598" s="174" t="str">
        <f t="shared" si="1"/>
        <v>NORDESTE</v>
      </c>
    </row>
    <row r="1599" ht="14.25" customHeight="1">
      <c r="G1599" s="174" t="s">
        <v>3266</v>
      </c>
      <c r="H1599" s="174" t="s">
        <v>1666</v>
      </c>
      <c r="I1599" s="174" t="str">
        <f t="shared" si="1"/>
        <v>SUDESTE</v>
      </c>
    </row>
    <row r="1600" ht="14.25" customHeight="1">
      <c r="G1600" s="174" t="s">
        <v>3267</v>
      </c>
      <c r="H1600" s="174" t="s">
        <v>1685</v>
      </c>
      <c r="I1600" s="174" t="str">
        <f t="shared" si="1"/>
        <v>NORDESTE</v>
      </c>
    </row>
    <row r="1601" ht="14.25" customHeight="1">
      <c r="G1601" s="174" t="s">
        <v>3268</v>
      </c>
      <c r="H1601" s="174" t="s">
        <v>1742</v>
      </c>
      <c r="I1601" s="174" t="str">
        <f t="shared" si="1"/>
        <v>SUL</v>
      </c>
    </row>
    <row r="1602" ht="14.25" customHeight="1">
      <c r="G1602" s="174" t="s">
        <v>3269</v>
      </c>
      <c r="H1602" s="174" t="s">
        <v>1704</v>
      </c>
      <c r="I1602" s="174" t="str">
        <f t="shared" si="1"/>
        <v>NORDESTE</v>
      </c>
    </row>
    <row r="1603" ht="14.25" customHeight="1">
      <c r="G1603" s="174" t="s">
        <v>3270</v>
      </c>
      <c r="H1603" s="174" t="s">
        <v>1742</v>
      </c>
      <c r="I1603" s="174" t="str">
        <f t="shared" si="1"/>
        <v>SUL</v>
      </c>
    </row>
    <row r="1604" ht="14.25" customHeight="1">
      <c r="G1604" s="174" t="s">
        <v>3271</v>
      </c>
      <c r="H1604" s="174" t="s">
        <v>1666</v>
      </c>
      <c r="I1604" s="174" t="str">
        <f t="shared" si="1"/>
        <v>SUDESTE</v>
      </c>
    </row>
    <row r="1605" ht="14.25" customHeight="1">
      <c r="G1605" s="174" t="s">
        <v>3272</v>
      </c>
      <c r="H1605" s="174" t="s">
        <v>1666</v>
      </c>
      <c r="I1605" s="174" t="str">
        <f t="shared" si="1"/>
        <v>SUDESTE</v>
      </c>
    </row>
    <row r="1606" ht="14.25" customHeight="1">
      <c r="G1606" s="174" t="s">
        <v>3273</v>
      </c>
      <c r="H1606" s="174" t="s">
        <v>1698</v>
      </c>
      <c r="I1606" s="174" t="str">
        <f t="shared" si="1"/>
        <v>SUDESTE</v>
      </c>
    </row>
    <row r="1607" ht="14.25" customHeight="1">
      <c r="G1607" s="174" t="s">
        <v>3274</v>
      </c>
      <c r="H1607" s="174" t="s">
        <v>1725</v>
      </c>
      <c r="I1607" s="174" t="str">
        <f t="shared" si="1"/>
        <v>NORDESTE</v>
      </c>
    </row>
    <row r="1608" ht="14.25" customHeight="1">
      <c r="G1608" s="174" t="s">
        <v>3275</v>
      </c>
      <c r="H1608" s="174" t="s">
        <v>1706</v>
      </c>
      <c r="I1608" s="174" t="str">
        <f t="shared" si="1"/>
        <v>SUL</v>
      </c>
    </row>
    <row r="1609" ht="14.25" customHeight="1">
      <c r="G1609" s="174" t="s">
        <v>3276</v>
      </c>
      <c r="H1609" s="174" t="s">
        <v>1666</v>
      </c>
      <c r="I1609" s="174" t="str">
        <f t="shared" si="1"/>
        <v>SUDESTE</v>
      </c>
    </row>
    <row r="1610" ht="14.25" customHeight="1">
      <c r="G1610" s="174" t="s">
        <v>3277</v>
      </c>
      <c r="H1610" s="174" t="s">
        <v>1742</v>
      </c>
      <c r="I1610" s="174" t="str">
        <f t="shared" si="1"/>
        <v>SUL</v>
      </c>
    </row>
    <row r="1611" ht="14.25" customHeight="1">
      <c r="G1611" s="174" t="s">
        <v>3278</v>
      </c>
      <c r="H1611" s="174" t="s">
        <v>1719</v>
      </c>
      <c r="I1611" s="174" t="str">
        <f t="shared" si="1"/>
        <v>NORDESTE</v>
      </c>
    </row>
    <row r="1612" ht="14.25" customHeight="1">
      <c r="G1612" s="174" t="s">
        <v>3279</v>
      </c>
      <c r="H1612" s="174" t="s">
        <v>1666</v>
      </c>
      <c r="I1612" s="174" t="str">
        <f t="shared" si="1"/>
        <v>SUDESTE</v>
      </c>
    </row>
    <row r="1613" ht="14.25" customHeight="1">
      <c r="G1613" s="174" t="s">
        <v>3280</v>
      </c>
      <c r="H1613" s="174" t="s">
        <v>1666</v>
      </c>
      <c r="I1613" s="174" t="str">
        <f t="shared" si="1"/>
        <v>SUDESTE</v>
      </c>
    </row>
    <row r="1614" ht="14.25" customHeight="1">
      <c r="G1614" s="174" t="s">
        <v>3281</v>
      </c>
      <c r="H1614" s="174" t="s">
        <v>1666</v>
      </c>
      <c r="I1614" s="174" t="str">
        <f t="shared" si="1"/>
        <v>SUDESTE</v>
      </c>
    </row>
    <row r="1615" ht="14.25" customHeight="1">
      <c r="G1615" s="174" t="s">
        <v>3282</v>
      </c>
      <c r="H1615" s="174" t="s">
        <v>1698</v>
      </c>
      <c r="I1615" s="174" t="str">
        <f t="shared" si="1"/>
        <v>SUDESTE</v>
      </c>
    </row>
    <row r="1616" ht="14.25" customHeight="1">
      <c r="G1616" s="174" t="s">
        <v>3283</v>
      </c>
      <c r="H1616" s="174" t="s">
        <v>1666</v>
      </c>
      <c r="I1616" s="174" t="str">
        <f t="shared" si="1"/>
        <v>SUDESTE</v>
      </c>
    </row>
    <row r="1617" ht="14.25" customHeight="1">
      <c r="G1617" s="174" t="s">
        <v>3284</v>
      </c>
      <c r="H1617" s="174" t="s">
        <v>1666</v>
      </c>
      <c r="I1617" s="174" t="str">
        <f t="shared" si="1"/>
        <v>SUDESTE</v>
      </c>
    </row>
    <row r="1618" ht="14.25" customHeight="1">
      <c r="G1618" s="174" t="s">
        <v>3285</v>
      </c>
      <c r="H1618" s="174" t="s">
        <v>1717</v>
      </c>
      <c r="I1618" s="174" t="str">
        <f t="shared" si="1"/>
        <v>NORDESTE</v>
      </c>
    </row>
    <row r="1619" ht="14.25" customHeight="1">
      <c r="G1619" s="174" t="s">
        <v>3286</v>
      </c>
      <c r="H1619" s="174" t="s">
        <v>1702</v>
      </c>
      <c r="I1619" s="174" t="str">
        <f t="shared" si="1"/>
        <v>SUL</v>
      </c>
    </row>
    <row r="1620" ht="14.25" customHeight="1">
      <c r="G1620" s="174" t="s">
        <v>3286</v>
      </c>
      <c r="H1620" s="174" t="s">
        <v>1710</v>
      </c>
      <c r="I1620" s="174" t="str">
        <f t="shared" si="1"/>
        <v>CENTRO OESTE</v>
      </c>
    </row>
    <row r="1621" ht="14.25" customHeight="1">
      <c r="G1621" s="174" t="s">
        <v>3287</v>
      </c>
      <c r="H1621" s="174" t="s">
        <v>1750</v>
      </c>
      <c r="I1621" s="174" t="str">
        <f t="shared" si="1"/>
        <v>SUDESTE</v>
      </c>
    </row>
    <row r="1622" ht="14.25" customHeight="1">
      <c r="G1622" s="174" t="s">
        <v>3288</v>
      </c>
      <c r="H1622" s="174" t="s">
        <v>1666</v>
      </c>
      <c r="I1622" s="174" t="str">
        <f t="shared" si="1"/>
        <v>SUDESTE</v>
      </c>
    </row>
    <row r="1623" ht="14.25" customHeight="1">
      <c r="G1623" s="174" t="s">
        <v>3289</v>
      </c>
      <c r="H1623" s="174" t="s">
        <v>1710</v>
      </c>
      <c r="I1623" s="174" t="str">
        <f t="shared" si="1"/>
        <v>CENTRO OESTE</v>
      </c>
    </row>
    <row r="1624" ht="14.25" customHeight="1">
      <c r="G1624" s="174" t="s">
        <v>3290</v>
      </c>
      <c r="H1624" s="174" t="s">
        <v>1702</v>
      </c>
      <c r="I1624" s="174" t="str">
        <f t="shared" si="1"/>
        <v>SUL</v>
      </c>
    </row>
    <row r="1625" ht="14.25" customHeight="1">
      <c r="G1625" s="174" t="s">
        <v>3291</v>
      </c>
      <c r="H1625" s="174" t="s">
        <v>1742</v>
      </c>
      <c r="I1625" s="174" t="str">
        <f t="shared" si="1"/>
        <v>SUL</v>
      </c>
    </row>
    <row r="1626" ht="14.25" customHeight="1">
      <c r="G1626" s="174" t="s">
        <v>3292</v>
      </c>
      <c r="H1626" s="174" t="s">
        <v>1706</v>
      </c>
      <c r="I1626" s="174" t="str">
        <f t="shared" si="1"/>
        <v>SUL</v>
      </c>
    </row>
    <row r="1627" ht="14.25" customHeight="1">
      <c r="G1627" s="174" t="s">
        <v>3293</v>
      </c>
      <c r="H1627" s="174" t="s">
        <v>1742</v>
      </c>
      <c r="I1627" s="174" t="str">
        <f t="shared" si="1"/>
        <v>SUL</v>
      </c>
    </row>
    <row r="1628" ht="14.25" customHeight="1">
      <c r="G1628" s="174" t="s">
        <v>3294</v>
      </c>
      <c r="H1628" s="174" t="s">
        <v>1733</v>
      </c>
      <c r="I1628" s="174" t="str">
        <f t="shared" si="1"/>
        <v>NORDESTE</v>
      </c>
    </row>
    <row r="1629" ht="14.25" customHeight="1">
      <c r="G1629" s="174" t="s">
        <v>3295</v>
      </c>
      <c r="H1629" s="174" t="s">
        <v>1702</v>
      </c>
      <c r="I1629" s="174" t="str">
        <f t="shared" si="1"/>
        <v>SUL</v>
      </c>
    </row>
    <row r="1630" ht="14.25" customHeight="1">
      <c r="G1630" s="174" t="s">
        <v>3296</v>
      </c>
      <c r="H1630" s="174" t="s">
        <v>1658</v>
      </c>
      <c r="I1630" s="174" t="str">
        <f t="shared" si="1"/>
        <v>CENTRO OESTE</v>
      </c>
    </row>
    <row r="1631" ht="14.25" customHeight="1">
      <c r="G1631" s="174" t="s">
        <v>3297</v>
      </c>
      <c r="H1631" s="174" t="s">
        <v>1750</v>
      </c>
      <c r="I1631" s="174" t="str">
        <f t="shared" si="1"/>
        <v>SUDESTE</v>
      </c>
    </row>
    <row r="1632" ht="14.25" customHeight="1">
      <c r="G1632" s="174" t="s">
        <v>3298</v>
      </c>
      <c r="H1632" s="174" t="s">
        <v>1750</v>
      </c>
      <c r="I1632" s="174" t="str">
        <f t="shared" si="1"/>
        <v>SUDESTE</v>
      </c>
    </row>
    <row r="1633" ht="14.25" customHeight="1">
      <c r="G1633" s="174" t="s">
        <v>3299</v>
      </c>
      <c r="H1633" s="174" t="s">
        <v>1730</v>
      </c>
      <c r="I1633" s="174" t="str">
        <f t="shared" si="1"/>
        <v>SUDESTE</v>
      </c>
    </row>
    <row r="1634" ht="14.25" customHeight="1">
      <c r="G1634" s="174" t="s">
        <v>3300</v>
      </c>
      <c r="H1634" s="174" t="s">
        <v>1719</v>
      </c>
      <c r="I1634" s="174" t="str">
        <f t="shared" si="1"/>
        <v>NORDESTE</v>
      </c>
    </row>
    <row r="1635" ht="14.25" customHeight="1">
      <c r="G1635" s="174" t="s">
        <v>3301</v>
      </c>
      <c r="H1635" s="174" t="s">
        <v>1721</v>
      </c>
      <c r="I1635" s="174" t="str">
        <f t="shared" si="1"/>
        <v>NORTE</v>
      </c>
    </row>
    <row r="1636" ht="14.25" customHeight="1">
      <c r="G1636" s="174" t="s">
        <v>3302</v>
      </c>
      <c r="H1636" s="174" t="s">
        <v>1750</v>
      </c>
      <c r="I1636" s="174" t="str">
        <f t="shared" si="1"/>
        <v>SUDESTE</v>
      </c>
    </row>
    <row r="1637" ht="14.25" customHeight="1">
      <c r="G1637" s="174" t="s">
        <v>3303</v>
      </c>
      <c r="H1637" s="174" t="s">
        <v>1704</v>
      </c>
      <c r="I1637" s="174" t="str">
        <f t="shared" si="1"/>
        <v>NORDESTE</v>
      </c>
    </row>
    <row r="1638" ht="14.25" customHeight="1">
      <c r="G1638" s="174" t="s">
        <v>3304</v>
      </c>
      <c r="H1638" s="174" t="s">
        <v>1730</v>
      </c>
      <c r="I1638" s="174" t="str">
        <f t="shared" si="1"/>
        <v>SUDESTE</v>
      </c>
    </row>
    <row r="1639" ht="14.25" customHeight="1">
      <c r="G1639" s="174" t="s">
        <v>3305</v>
      </c>
      <c r="H1639" s="174" t="s">
        <v>1666</v>
      </c>
      <c r="I1639" s="174" t="str">
        <f t="shared" si="1"/>
        <v>SUDESTE</v>
      </c>
    </row>
    <row r="1640" ht="14.25" customHeight="1">
      <c r="G1640" s="174" t="s">
        <v>3306</v>
      </c>
      <c r="H1640" s="174" t="s">
        <v>1750</v>
      </c>
      <c r="I1640" s="174" t="str">
        <f t="shared" si="1"/>
        <v>SUDESTE</v>
      </c>
    </row>
    <row r="1641" ht="14.25" customHeight="1">
      <c r="G1641" s="174" t="s">
        <v>3307</v>
      </c>
      <c r="H1641" s="174" t="s">
        <v>1698</v>
      </c>
      <c r="I1641" s="174" t="str">
        <f t="shared" si="1"/>
        <v>SUDESTE</v>
      </c>
    </row>
    <row r="1642" ht="14.25" customHeight="1">
      <c r="G1642" s="174" t="s">
        <v>3308</v>
      </c>
      <c r="H1642" s="174" t="s">
        <v>1658</v>
      </c>
      <c r="I1642" s="174" t="str">
        <f t="shared" si="1"/>
        <v>CENTRO OESTE</v>
      </c>
    </row>
    <row r="1643" ht="14.25" customHeight="1">
      <c r="G1643" s="174" t="s">
        <v>3309</v>
      </c>
      <c r="H1643" s="174" t="s">
        <v>1658</v>
      </c>
      <c r="I1643" s="174" t="str">
        <f t="shared" si="1"/>
        <v>CENTRO OESTE</v>
      </c>
    </row>
    <row r="1644" ht="14.25" customHeight="1">
      <c r="G1644" s="174" t="s">
        <v>3310</v>
      </c>
      <c r="H1644" s="174" t="s">
        <v>1672</v>
      </c>
      <c r="I1644" s="174" t="str">
        <f t="shared" si="1"/>
        <v>NORTE</v>
      </c>
    </row>
    <row r="1645" ht="14.25" customHeight="1">
      <c r="G1645" s="174" t="s">
        <v>3311</v>
      </c>
      <c r="H1645" s="174" t="s">
        <v>1750</v>
      </c>
      <c r="I1645" s="174" t="str">
        <f t="shared" si="1"/>
        <v>SUDESTE</v>
      </c>
    </row>
    <row r="1646" ht="14.25" customHeight="1">
      <c r="G1646" s="174" t="s">
        <v>3311</v>
      </c>
      <c r="H1646" s="174" t="s">
        <v>1710</v>
      </c>
      <c r="I1646" s="174" t="str">
        <f t="shared" si="1"/>
        <v>CENTRO OESTE</v>
      </c>
    </row>
    <row r="1647" ht="14.25" customHeight="1">
      <c r="G1647" s="174" t="s">
        <v>3312</v>
      </c>
      <c r="H1647" s="174" t="s">
        <v>1742</v>
      </c>
      <c r="I1647" s="174" t="str">
        <f t="shared" si="1"/>
        <v>SUL</v>
      </c>
    </row>
    <row r="1648" ht="14.25" customHeight="1">
      <c r="G1648" s="174" t="s">
        <v>3313</v>
      </c>
      <c r="H1648" s="174" t="s">
        <v>1687</v>
      </c>
      <c r="I1648" s="174" t="str">
        <f t="shared" si="1"/>
        <v>NORTE</v>
      </c>
    </row>
    <row r="1649" ht="14.25" customHeight="1">
      <c r="G1649" s="174" t="s">
        <v>3314</v>
      </c>
      <c r="H1649" s="174" t="s">
        <v>1725</v>
      </c>
      <c r="I1649" s="174" t="str">
        <f t="shared" si="1"/>
        <v>NORDESTE</v>
      </c>
    </row>
    <row r="1650" ht="14.25" customHeight="1">
      <c r="G1650" s="174" t="s">
        <v>3315</v>
      </c>
      <c r="H1650" s="174" t="s">
        <v>1750</v>
      </c>
      <c r="I1650" s="174" t="str">
        <f t="shared" si="1"/>
        <v>SUDESTE</v>
      </c>
    </row>
    <row r="1651" ht="14.25" customHeight="1">
      <c r="G1651" s="174" t="s">
        <v>3316</v>
      </c>
      <c r="H1651" s="174" t="s">
        <v>1725</v>
      </c>
      <c r="I1651" s="174" t="str">
        <f t="shared" si="1"/>
        <v>NORDESTE</v>
      </c>
    </row>
    <row r="1652" ht="14.25" customHeight="1">
      <c r="G1652" s="174" t="s">
        <v>3317</v>
      </c>
      <c r="H1652" s="174" t="s">
        <v>1750</v>
      </c>
      <c r="I1652" s="174" t="str">
        <f t="shared" si="1"/>
        <v>SUDESTE</v>
      </c>
    </row>
    <row r="1653" ht="14.25" customHeight="1">
      <c r="G1653" s="174" t="s">
        <v>3318</v>
      </c>
      <c r="H1653" s="174" t="s">
        <v>1685</v>
      </c>
      <c r="I1653" s="174" t="str">
        <f t="shared" si="1"/>
        <v>NORDESTE</v>
      </c>
    </row>
    <row r="1654" ht="14.25" customHeight="1">
      <c r="G1654" s="174" t="s">
        <v>3319</v>
      </c>
      <c r="H1654" s="174" t="s">
        <v>1666</v>
      </c>
      <c r="I1654" s="174" t="str">
        <f t="shared" si="1"/>
        <v>SUDESTE</v>
      </c>
    </row>
    <row r="1655" ht="14.25" customHeight="1">
      <c r="G1655" s="174" t="s">
        <v>3320</v>
      </c>
      <c r="H1655" s="174" t="s">
        <v>1719</v>
      </c>
      <c r="I1655" s="174" t="str">
        <f t="shared" si="1"/>
        <v>NORDESTE</v>
      </c>
    </row>
    <row r="1656" ht="14.25" customHeight="1">
      <c r="G1656" s="174" t="s">
        <v>3321</v>
      </c>
      <c r="H1656" s="174" t="s">
        <v>1750</v>
      </c>
      <c r="I1656" s="174" t="str">
        <f t="shared" si="1"/>
        <v>SUDESTE</v>
      </c>
    </row>
    <row r="1657" ht="14.25" customHeight="1">
      <c r="G1657" s="174" t="s">
        <v>3322</v>
      </c>
      <c r="H1657" s="174" t="s">
        <v>1750</v>
      </c>
      <c r="I1657" s="174" t="str">
        <f t="shared" si="1"/>
        <v>SUDESTE</v>
      </c>
    </row>
    <row r="1658" ht="14.25" customHeight="1">
      <c r="G1658" s="174" t="s">
        <v>3323</v>
      </c>
      <c r="H1658" s="174" t="s">
        <v>1750</v>
      </c>
      <c r="I1658" s="174" t="str">
        <f t="shared" si="1"/>
        <v>SUDESTE</v>
      </c>
    </row>
    <row r="1659" ht="14.25" customHeight="1">
      <c r="G1659" s="174" t="s">
        <v>3324</v>
      </c>
      <c r="H1659" s="174" t="s">
        <v>1750</v>
      </c>
      <c r="I1659" s="174" t="str">
        <f t="shared" si="1"/>
        <v>SUDESTE</v>
      </c>
    </row>
    <row r="1660" ht="14.25" customHeight="1">
      <c r="G1660" s="174" t="s">
        <v>3325</v>
      </c>
      <c r="H1660" s="174" t="s">
        <v>1742</v>
      </c>
      <c r="I1660" s="174" t="str">
        <f t="shared" si="1"/>
        <v>SUL</v>
      </c>
    </row>
    <row r="1661" ht="14.25" customHeight="1">
      <c r="G1661" s="174" t="s">
        <v>3326</v>
      </c>
      <c r="H1661" s="174" t="s">
        <v>1733</v>
      </c>
      <c r="I1661" s="174" t="str">
        <f t="shared" si="1"/>
        <v>NORDESTE</v>
      </c>
    </row>
    <row r="1662" ht="14.25" customHeight="1">
      <c r="G1662" s="174" t="s">
        <v>3327</v>
      </c>
      <c r="H1662" s="174" t="s">
        <v>1685</v>
      </c>
      <c r="I1662" s="174" t="str">
        <f t="shared" si="1"/>
        <v>NORDESTE</v>
      </c>
    </row>
    <row r="1663" ht="14.25" customHeight="1">
      <c r="G1663" s="174" t="s">
        <v>3328</v>
      </c>
      <c r="H1663" s="174" t="s">
        <v>1742</v>
      </c>
      <c r="I1663" s="174" t="str">
        <f t="shared" si="1"/>
        <v>SUL</v>
      </c>
    </row>
    <row r="1664" ht="14.25" customHeight="1">
      <c r="G1664" s="174" t="s">
        <v>3329</v>
      </c>
      <c r="H1664" s="174" t="s">
        <v>1702</v>
      </c>
      <c r="I1664" s="174" t="str">
        <f t="shared" si="1"/>
        <v>SUL</v>
      </c>
    </row>
    <row r="1665" ht="14.25" customHeight="1">
      <c r="G1665" s="174" t="s">
        <v>3330</v>
      </c>
      <c r="H1665" s="174" t="s">
        <v>1702</v>
      </c>
      <c r="I1665" s="174" t="str">
        <f t="shared" si="1"/>
        <v>SUL</v>
      </c>
    </row>
    <row r="1666" ht="14.25" customHeight="1">
      <c r="G1666" s="174" t="s">
        <v>3331</v>
      </c>
      <c r="H1666" s="174" t="s">
        <v>1666</v>
      </c>
      <c r="I1666" s="174" t="str">
        <f t="shared" si="1"/>
        <v>SUDESTE</v>
      </c>
    </row>
    <row r="1667" ht="14.25" customHeight="1">
      <c r="G1667" s="174" t="s">
        <v>3332</v>
      </c>
      <c r="H1667" s="174" t="s">
        <v>1750</v>
      </c>
      <c r="I1667" s="174" t="str">
        <f t="shared" si="1"/>
        <v>SUDESTE</v>
      </c>
    </row>
    <row r="1668" ht="14.25" customHeight="1">
      <c r="G1668" s="174" t="s">
        <v>3333</v>
      </c>
      <c r="H1668" s="174" t="s">
        <v>1666</v>
      </c>
      <c r="I1668" s="174" t="str">
        <f t="shared" si="1"/>
        <v>SUDESTE</v>
      </c>
    </row>
    <row r="1669" ht="14.25" customHeight="1">
      <c r="G1669" s="174" t="s">
        <v>3334</v>
      </c>
      <c r="H1669" s="174" t="s">
        <v>1730</v>
      </c>
      <c r="I1669" s="174" t="str">
        <f t="shared" si="1"/>
        <v>SUDESTE</v>
      </c>
    </row>
    <row r="1670" ht="14.25" customHeight="1">
      <c r="G1670" s="174" t="s">
        <v>3335</v>
      </c>
      <c r="H1670" s="174" t="s">
        <v>1742</v>
      </c>
      <c r="I1670" s="174" t="str">
        <f t="shared" si="1"/>
        <v>SUL</v>
      </c>
    </row>
    <row r="1671" ht="14.25" customHeight="1">
      <c r="G1671" s="174" t="s">
        <v>3336</v>
      </c>
      <c r="H1671" s="174" t="s">
        <v>1666</v>
      </c>
      <c r="I1671" s="174" t="str">
        <f t="shared" si="1"/>
        <v>SUDESTE</v>
      </c>
    </row>
    <row r="1672" ht="14.25" customHeight="1">
      <c r="G1672" s="174" t="s">
        <v>3337</v>
      </c>
      <c r="H1672" s="174" t="s">
        <v>1685</v>
      </c>
      <c r="I1672" s="174" t="str">
        <f t="shared" si="1"/>
        <v>NORDESTE</v>
      </c>
    </row>
    <row r="1673" ht="14.25" customHeight="1">
      <c r="G1673" s="174" t="s">
        <v>3337</v>
      </c>
      <c r="H1673" s="174" t="s">
        <v>1706</v>
      </c>
      <c r="I1673" s="174" t="str">
        <f t="shared" si="1"/>
        <v>SUL</v>
      </c>
    </row>
    <row r="1674" ht="14.25" customHeight="1">
      <c r="G1674" s="174" t="s">
        <v>3338</v>
      </c>
      <c r="H1674" s="174" t="s">
        <v>1666</v>
      </c>
      <c r="I1674" s="174" t="str">
        <f t="shared" si="1"/>
        <v>SUDESTE</v>
      </c>
    </row>
    <row r="1675" ht="14.25" customHeight="1">
      <c r="G1675" s="174" t="s">
        <v>3339</v>
      </c>
      <c r="H1675" s="174" t="s">
        <v>1702</v>
      </c>
      <c r="I1675" s="174" t="str">
        <f t="shared" si="1"/>
        <v>SUL</v>
      </c>
    </row>
    <row r="1676" ht="14.25" customHeight="1">
      <c r="G1676" s="174" t="s">
        <v>3340</v>
      </c>
      <c r="H1676" s="174" t="s">
        <v>1742</v>
      </c>
      <c r="I1676" s="174" t="str">
        <f t="shared" si="1"/>
        <v>SUL</v>
      </c>
    </row>
    <row r="1677" ht="14.25" customHeight="1">
      <c r="G1677" s="174" t="s">
        <v>3341</v>
      </c>
      <c r="H1677" s="174" t="s">
        <v>1742</v>
      </c>
      <c r="I1677" s="174" t="str">
        <f t="shared" si="1"/>
        <v>SUL</v>
      </c>
    </row>
    <row r="1678" ht="14.25" customHeight="1">
      <c r="G1678" s="174" t="s">
        <v>3342</v>
      </c>
      <c r="H1678" s="174" t="s">
        <v>1672</v>
      </c>
      <c r="I1678" s="174" t="str">
        <f t="shared" si="1"/>
        <v>NORTE</v>
      </c>
    </row>
    <row r="1679" ht="14.25" customHeight="1">
      <c r="G1679" s="174" t="s">
        <v>3343</v>
      </c>
      <c r="H1679" s="174" t="s">
        <v>1656</v>
      </c>
      <c r="I1679" s="174" t="str">
        <f t="shared" si="1"/>
        <v>NORTE</v>
      </c>
    </row>
    <row r="1680" ht="14.25" customHeight="1">
      <c r="G1680" s="174" t="s">
        <v>3344</v>
      </c>
      <c r="H1680" s="174" t="s">
        <v>1733</v>
      </c>
      <c r="I1680" s="174" t="str">
        <f t="shared" si="1"/>
        <v>NORDESTE</v>
      </c>
    </row>
    <row r="1681" ht="14.25" customHeight="1">
      <c r="G1681" s="174" t="s">
        <v>3345</v>
      </c>
      <c r="H1681" s="174" t="s">
        <v>1742</v>
      </c>
      <c r="I1681" s="174" t="str">
        <f t="shared" si="1"/>
        <v>SUL</v>
      </c>
    </row>
    <row r="1682" ht="14.25" customHeight="1">
      <c r="G1682" s="174" t="s">
        <v>3346</v>
      </c>
      <c r="H1682" s="174" t="s">
        <v>1742</v>
      </c>
      <c r="I1682" s="174" t="str">
        <f t="shared" si="1"/>
        <v>SUL</v>
      </c>
    </row>
    <row r="1683" ht="14.25" customHeight="1">
      <c r="G1683" s="174" t="s">
        <v>3347</v>
      </c>
      <c r="H1683" s="174" t="s">
        <v>1690</v>
      </c>
      <c r="I1683" s="174" t="str">
        <f t="shared" si="1"/>
        <v>NORDESTE</v>
      </c>
    </row>
    <row r="1684" ht="14.25" customHeight="1">
      <c r="G1684" s="174" t="s">
        <v>3348</v>
      </c>
      <c r="H1684" s="174" t="s">
        <v>1685</v>
      </c>
      <c r="I1684" s="174" t="str">
        <f t="shared" si="1"/>
        <v>NORDESTE</v>
      </c>
    </row>
    <row r="1685" ht="14.25" customHeight="1">
      <c r="G1685" s="174" t="s">
        <v>3349</v>
      </c>
      <c r="H1685" s="174" t="s">
        <v>1706</v>
      </c>
      <c r="I1685" s="174" t="str">
        <f t="shared" si="1"/>
        <v>SUL</v>
      </c>
    </row>
    <row r="1686" ht="14.25" customHeight="1">
      <c r="G1686" s="174" t="s">
        <v>3350</v>
      </c>
      <c r="H1686" s="174" t="s">
        <v>1742</v>
      </c>
      <c r="I1686" s="174" t="str">
        <f t="shared" si="1"/>
        <v>SUL</v>
      </c>
    </row>
    <row r="1687" ht="14.25" customHeight="1">
      <c r="G1687" s="174" t="s">
        <v>3351</v>
      </c>
      <c r="H1687" s="174" t="s">
        <v>1742</v>
      </c>
      <c r="I1687" s="174" t="str">
        <f t="shared" si="1"/>
        <v>SUL</v>
      </c>
    </row>
    <row r="1688" ht="14.25" customHeight="1">
      <c r="G1688" s="174" t="s">
        <v>3352</v>
      </c>
      <c r="H1688" s="174" t="s">
        <v>1742</v>
      </c>
      <c r="I1688" s="174" t="str">
        <f t="shared" si="1"/>
        <v>SUL</v>
      </c>
    </row>
    <row r="1689" ht="14.25" customHeight="1">
      <c r="G1689" s="174" t="s">
        <v>3353</v>
      </c>
      <c r="H1689" s="174" t="s">
        <v>1706</v>
      </c>
      <c r="I1689" s="174" t="str">
        <f t="shared" si="1"/>
        <v>SUL</v>
      </c>
    </row>
    <row r="1690" ht="14.25" customHeight="1">
      <c r="G1690" s="174" t="s">
        <v>3354</v>
      </c>
      <c r="H1690" s="174" t="s">
        <v>1666</v>
      </c>
      <c r="I1690" s="174" t="str">
        <f t="shared" si="1"/>
        <v>SUDESTE</v>
      </c>
    </row>
    <row r="1691" ht="14.25" customHeight="1">
      <c r="G1691" s="174" t="s">
        <v>3355</v>
      </c>
      <c r="H1691" s="174" t="s">
        <v>1717</v>
      </c>
      <c r="I1691" s="174" t="str">
        <f t="shared" si="1"/>
        <v>NORDESTE</v>
      </c>
    </row>
    <row r="1692" ht="14.25" customHeight="1">
      <c r="G1692" s="174" t="s">
        <v>3356</v>
      </c>
      <c r="H1692" s="174" t="s">
        <v>1742</v>
      </c>
      <c r="I1692" s="174" t="str">
        <f t="shared" si="1"/>
        <v>SUL</v>
      </c>
    </row>
    <row r="1693" ht="14.25" customHeight="1">
      <c r="G1693" s="174" t="s">
        <v>3357</v>
      </c>
      <c r="H1693" s="174" t="s">
        <v>1666</v>
      </c>
      <c r="I1693" s="174" t="str">
        <f t="shared" si="1"/>
        <v>SUDESTE</v>
      </c>
    </row>
    <row r="1694" ht="14.25" customHeight="1">
      <c r="G1694" s="174" t="s">
        <v>3358</v>
      </c>
      <c r="H1694" s="174" t="s">
        <v>1666</v>
      </c>
      <c r="I1694" s="174" t="str">
        <f t="shared" si="1"/>
        <v>SUDESTE</v>
      </c>
    </row>
    <row r="1695" ht="14.25" customHeight="1">
      <c r="G1695" s="174" t="s">
        <v>3359</v>
      </c>
      <c r="H1695" s="174" t="s">
        <v>1719</v>
      </c>
      <c r="I1695" s="174" t="str">
        <f t="shared" si="1"/>
        <v>NORDESTE</v>
      </c>
    </row>
    <row r="1696" ht="14.25" customHeight="1">
      <c r="G1696" s="174" t="s">
        <v>3360</v>
      </c>
      <c r="H1696" s="174" t="s">
        <v>1742</v>
      </c>
      <c r="I1696" s="174" t="str">
        <f t="shared" si="1"/>
        <v>SUL</v>
      </c>
    </row>
    <row r="1697" ht="14.25" customHeight="1">
      <c r="G1697" s="174" t="s">
        <v>3361</v>
      </c>
      <c r="H1697" s="174" t="s">
        <v>1702</v>
      </c>
      <c r="I1697" s="174" t="str">
        <f t="shared" si="1"/>
        <v>SUL</v>
      </c>
    </row>
    <row r="1698" ht="14.25" customHeight="1">
      <c r="G1698" s="174" t="s">
        <v>3362</v>
      </c>
      <c r="H1698" s="174" t="s">
        <v>1721</v>
      </c>
      <c r="I1698" s="174" t="str">
        <f t="shared" si="1"/>
        <v>NORTE</v>
      </c>
    </row>
    <row r="1699" ht="14.25" customHeight="1">
      <c r="G1699" s="174" t="s">
        <v>3362</v>
      </c>
      <c r="H1699" s="174" t="s">
        <v>1725</v>
      </c>
      <c r="I1699" s="174" t="str">
        <f t="shared" si="1"/>
        <v>NORDESTE</v>
      </c>
    </row>
    <row r="1700" ht="14.25" customHeight="1">
      <c r="G1700" s="174" t="s">
        <v>3363</v>
      </c>
      <c r="H1700" s="174" t="s">
        <v>1704</v>
      </c>
      <c r="I1700" s="174" t="str">
        <f t="shared" si="1"/>
        <v>NORDESTE</v>
      </c>
    </row>
    <row r="1701" ht="14.25" customHeight="1">
      <c r="G1701" s="174" t="s">
        <v>3364</v>
      </c>
      <c r="H1701" s="174" t="s">
        <v>1702</v>
      </c>
      <c r="I1701" s="174" t="str">
        <f t="shared" si="1"/>
        <v>SUL</v>
      </c>
    </row>
    <row r="1702" ht="14.25" customHeight="1">
      <c r="G1702" s="174" t="s">
        <v>3365</v>
      </c>
      <c r="H1702" s="174" t="s">
        <v>1736</v>
      </c>
      <c r="I1702" s="174" t="str">
        <f t="shared" si="1"/>
        <v>NORTE</v>
      </c>
    </row>
    <row r="1703" ht="14.25" customHeight="1">
      <c r="G1703" s="174" t="s">
        <v>3366</v>
      </c>
      <c r="H1703" s="174" t="s">
        <v>1666</v>
      </c>
      <c r="I1703" s="174" t="str">
        <f t="shared" si="1"/>
        <v>SUDESTE</v>
      </c>
    </row>
    <row r="1704" ht="14.25" customHeight="1">
      <c r="G1704" s="174" t="s">
        <v>3367</v>
      </c>
      <c r="H1704" s="174" t="s">
        <v>1733</v>
      </c>
      <c r="I1704" s="174" t="str">
        <f t="shared" si="1"/>
        <v>NORDESTE</v>
      </c>
    </row>
    <row r="1705" ht="14.25" customHeight="1">
      <c r="G1705" s="174" t="s">
        <v>3368</v>
      </c>
      <c r="H1705" s="174" t="s">
        <v>1666</v>
      </c>
      <c r="I1705" s="174" t="str">
        <f t="shared" si="1"/>
        <v>SUDESTE</v>
      </c>
    </row>
    <row r="1706" ht="14.25" customHeight="1">
      <c r="G1706" s="174" t="s">
        <v>3369</v>
      </c>
      <c r="H1706" s="174" t="s">
        <v>1750</v>
      </c>
      <c r="I1706" s="174" t="str">
        <f t="shared" si="1"/>
        <v>SUDESTE</v>
      </c>
    </row>
    <row r="1707" ht="14.25" customHeight="1">
      <c r="G1707" s="174" t="s">
        <v>3370</v>
      </c>
      <c r="H1707" s="174" t="s">
        <v>1750</v>
      </c>
      <c r="I1707" s="174" t="str">
        <f t="shared" si="1"/>
        <v>SUDESTE</v>
      </c>
    </row>
    <row r="1708" ht="14.25" customHeight="1">
      <c r="G1708" s="174" t="s">
        <v>3371</v>
      </c>
      <c r="H1708" s="174" t="s">
        <v>1685</v>
      </c>
      <c r="I1708" s="174" t="str">
        <f t="shared" si="1"/>
        <v>NORDESTE</v>
      </c>
    </row>
    <row r="1709" ht="14.25" customHeight="1">
      <c r="G1709" s="174" t="s">
        <v>3372</v>
      </c>
      <c r="H1709" s="174" t="s">
        <v>1742</v>
      </c>
      <c r="I1709" s="174" t="str">
        <f t="shared" si="1"/>
        <v>SUL</v>
      </c>
    </row>
    <row r="1710" ht="14.25" customHeight="1">
      <c r="G1710" s="174" t="s">
        <v>3373</v>
      </c>
      <c r="H1710" s="174" t="s">
        <v>1742</v>
      </c>
      <c r="I1710" s="174" t="str">
        <f t="shared" si="1"/>
        <v>SUL</v>
      </c>
    </row>
    <row r="1711" ht="14.25" customHeight="1">
      <c r="G1711" s="174" t="s">
        <v>3374</v>
      </c>
      <c r="H1711" s="174" t="s">
        <v>1747</v>
      </c>
      <c r="I1711" s="174" t="str">
        <f t="shared" si="1"/>
        <v>NORDESTE</v>
      </c>
    </row>
    <row r="1712" ht="14.25" customHeight="1">
      <c r="G1712" s="174" t="s">
        <v>3375</v>
      </c>
      <c r="H1712" s="174" t="s">
        <v>1742</v>
      </c>
      <c r="I1712" s="174" t="str">
        <f t="shared" si="1"/>
        <v>SUL</v>
      </c>
    </row>
    <row r="1713" ht="14.25" customHeight="1">
      <c r="G1713" s="174" t="s">
        <v>3376</v>
      </c>
      <c r="H1713" s="174" t="s">
        <v>1742</v>
      </c>
      <c r="I1713" s="174" t="str">
        <f t="shared" si="1"/>
        <v>SUL</v>
      </c>
    </row>
    <row r="1714" ht="14.25" customHeight="1">
      <c r="G1714" s="174" t="s">
        <v>3377</v>
      </c>
      <c r="H1714" s="174" t="s">
        <v>1666</v>
      </c>
      <c r="I1714" s="174" t="str">
        <f t="shared" si="1"/>
        <v>SUDESTE</v>
      </c>
    </row>
    <row r="1715" ht="14.25" customHeight="1">
      <c r="G1715" s="174" t="s">
        <v>3378</v>
      </c>
      <c r="H1715" s="174" t="s">
        <v>1750</v>
      </c>
      <c r="I1715" s="174" t="str">
        <f t="shared" si="1"/>
        <v>SUDESTE</v>
      </c>
    </row>
    <row r="1716" ht="14.25" customHeight="1">
      <c r="G1716" s="174" t="s">
        <v>3379</v>
      </c>
      <c r="H1716" s="174" t="s">
        <v>1704</v>
      </c>
      <c r="I1716" s="174" t="str">
        <f t="shared" si="1"/>
        <v>NORDESTE</v>
      </c>
    </row>
    <row r="1717" ht="14.25" customHeight="1">
      <c r="G1717" s="174" t="s">
        <v>3380</v>
      </c>
      <c r="H1717" s="174" t="s">
        <v>1742</v>
      </c>
      <c r="I1717" s="174" t="str">
        <f t="shared" si="1"/>
        <v>SUL</v>
      </c>
    </row>
    <row r="1718" ht="14.25" customHeight="1">
      <c r="G1718" s="174" t="s">
        <v>3381</v>
      </c>
      <c r="H1718" s="174" t="s">
        <v>1750</v>
      </c>
      <c r="I1718" s="174" t="str">
        <f t="shared" si="1"/>
        <v>SUDESTE</v>
      </c>
    </row>
    <row r="1719" ht="14.25" customHeight="1">
      <c r="G1719" s="174" t="s">
        <v>3382</v>
      </c>
      <c r="H1719" s="174" t="s">
        <v>1666</v>
      </c>
      <c r="I1719" s="174" t="str">
        <f t="shared" si="1"/>
        <v>SUDESTE</v>
      </c>
    </row>
    <row r="1720" ht="14.25" customHeight="1">
      <c r="G1720" s="174" t="s">
        <v>3383</v>
      </c>
      <c r="H1720" s="174" t="s">
        <v>1664</v>
      </c>
      <c r="I1720" s="174" t="str">
        <f t="shared" si="1"/>
        <v>NORDESTE</v>
      </c>
    </row>
    <row r="1721" ht="14.25" customHeight="1">
      <c r="G1721" s="174" t="s">
        <v>3384</v>
      </c>
      <c r="H1721" s="174" t="s">
        <v>1666</v>
      </c>
      <c r="I1721" s="174" t="str">
        <f t="shared" si="1"/>
        <v>SUDESTE</v>
      </c>
    </row>
    <row r="1722" ht="14.25" customHeight="1">
      <c r="G1722" s="174" t="s">
        <v>3385</v>
      </c>
      <c r="H1722" s="174" t="s">
        <v>1750</v>
      </c>
      <c r="I1722" s="174" t="str">
        <f t="shared" si="1"/>
        <v>SUDESTE</v>
      </c>
    </row>
    <row r="1723" ht="14.25" customHeight="1">
      <c r="G1723" s="174" t="s">
        <v>3385</v>
      </c>
      <c r="H1723" s="174" t="s">
        <v>1658</v>
      </c>
      <c r="I1723" s="174" t="str">
        <f t="shared" si="1"/>
        <v>CENTRO OESTE</v>
      </c>
    </row>
    <row r="1724" ht="14.25" customHeight="1">
      <c r="G1724" s="174" t="s">
        <v>3386</v>
      </c>
      <c r="H1724" s="174" t="s">
        <v>1666</v>
      </c>
      <c r="I1724" s="174" t="str">
        <f t="shared" si="1"/>
        <v>SUDESTE</v>
      </c>
    </row>
    <row r="1725" ht="14.25" customHeight="1">
      <c r="G1725" s="174" t="s">
        <v>3387</v>
      </c>
      <c r="H1725" s="174" t="s">
        <v>1742</v>
      </c>
      <c r="I1725" s="174" t="str">
        <f t="shared" si="1"/>
        <v>SUL</v>
      </c>
    </row>
    <row r="1726" ht="14.25" customHeight="1">
      <c r="G1726" s="174" t="s">
        <v>3388</v>
      </c>
      <c r="H1726" s="174" t="s">
        <v>1685</v>
      </c>
      <c r="I1726" s="174" t="str">
        <f t="shared" si="1"/>
        <v>NORDESTE</v>
      </c>
    </row>
    <row r="1727" ht="14.25" customHeight="1">
      <c r="G1727" s="174" t="s">
        <v>3389</v>
      </c>
      <c r="H1727" s="174" t="s">
        <v>1750</v>
      </c>
      <c r="I1727" s="174" t="str">
        <f t="shared" si="1"/>
        <v>SUDESTE</v>
      </c>
    </row>
    <row r="1728" ht="14.25" customHeight="1">
      <c r="G1728" s="174" t="s">
        <v>3390</v>
      </c>
      <c r="H1728" s="174" t="s">
        <v>1742</v>
      </c>
      <c r="I1728" s="174" t="str">
        <f t="shared" si="1"/>
        <v>SUL</v>
      </c>
    </row>
    <row r="1729" ht="14.25" customHeight="1">
      <c r="G1729" s="174" t="s">
        <v>3391</v>
      </c>
      <c r="H1729" s="174" t="s">
        <v>1666</v>
      </c>
      <c r="I1729" s="174" t="str">
        <f t="shared" si="1"/>
        <v>SUDESTE</v>
      </c>
    </row>
    <row r="1730" ht="14.25" customHeight="1">
      <c r="G1730" s="174" t="s">
        <v>3392</v>
      </c>
      <c r="H1730" s="174" t="s">
        <v>1685</v>
      </c>
      <c r="I1730" s="174" t="str">
        <f t="shared" si="1"/>
        <v>NORDESTE</v>
      </c>
    </row>
    <row r="1731" ht="14.25" customHeight="1">
      <c r="G1731" s="174" t="s">
        <v>3393</v>
      </c>
      <c r="H1731" s="174" t="s">
        <v>1690</v>
      </c>
      <c r="I1731" s="174" t="str">
        <f t="shared" si="1"/>
        <v>NORDESTE</v>
      </c>
    </row>
    <row r="1732" ht="14.25" customHeight="1">
      <c r="G1732" s="174" t="s">
        <v>3394</v>
      </c>
      <c r="H1732" s="174" t="s">
        <v>1666</v>
      </c>
      <c r="I1732" s="174" t="str">
        <f t="shared" si="1"/>
        <v>SUDESTE</v>
      </c>
    </row>
    <row r="1733" ht="14.25" customHeight="1">
      <c r="G1733" s="174" t="s">
        <v>3395</v>
      </c>
      <c r="H1733" s="174" t="s">
        <v>1666</v>
      </c>
      <c r="I1733" s="174" t="str">
        <f t="shared" si="1"/>
        <v>SUDESTE</v>
      </c>
    </row>
    <row r="1734" ht="14.25" customHeight="1">
      <c r="G1734" s="174" t="s">
        <v>3396</v>
      </c>
      <c r="H1734" s="174" t="s">
        <v>1733</v>
      </c>
      <c r="I1734" s="174" t="str">
        <f t="shared" si="1"/>
        <v>NORDESTE</v>
      </c>
    </row>
    <row r="1735" ht="14.25" customHeight="1">
      <c r="G1735" s="174" t="s">
        <v>3397</v>
      </c>
      <c r="H1735" s="174" t="s">
        <v>1717</v>
      </c>
      <c r="I1735" s="174" t="str">
        <f t="shared" si="1"/>
        <v>NORDESTE</v>
      </c>
    </row>
    <row r="1736" ht="14.25" customHeight="1">
      <c r="G1736" s="174" t="s">
        <v>3398</v>
      </c>
      <c r="H1736" s="174" t="s">
        <v>1719</v>
      </c>
      <c r="I1736" s="174" t="str">
        <f t="shared" si="1"/>
        <v>NORDESTE</v>
      </c>
    </row>
    <row r="1737" ht="14.25" customHeight="1">
      <c r="G1737" s="174" t="s">
        <v>3399</v>
      </c>
      <c r="H1737" s="174" t="s">
        <v>1742</v>
      </c>
      <c r="I1737" s="174" t="str">
        <f t="shared" si="1"/>
        <v>SUL</v>
      </c>
    </row>
    <row r="1738" ht="14.25" customHeight="1">
      <c r="G1738" s="174" t="s">
        <v>3400</v>
      </c>
      <c r="H1738" s="174" t="s">
        <v>1658</v>
      </c>
      <c r="I1738" s="174" t="str">
        <f t="shared" si="1"/>
        <v>CENTRO OESTE</v>
      </c>
    </row>
    <row r="1739" ht="14.25" customHeight="1">
      <c r="G1739" s="174" t="s">
        <v>3401</v>
      </c>
      <c r="H1739" s="174" t="s">
        <v>1666</v>
      </c>
      <c r="I1739" s="174" t="str">
        <f t="shared" si="1"/>
        <v>SUDESTE</v>
      </c>
    </row>
    <row r="1740" ht="14.25" customHeight="1">
      <c r="G1740" s="174" t="s">
        <v>3402</v>
      </c>
      <c r="H1740" s="174" t="s">
        <v>1666</v>
      </c>
      <c r="I1740" s="174" t="str">
        <f t="shared" si="1"/>
        <v>SUDESTE</v>
      </c>
    </row>
    <row r="1741" ht="14.25" customHeight="1">
      <c r="G1741" s="174" t="s">
        <v>3403</v>
      </c>
      <c r="H1741" s="174" t="s">
        <v>1690</v>
      </c>
      <c r="I1741" s="174" t="str">
        <f t="shared" si="1"/>
        <v>NORDESTE</v>
      </c>
    </row>
    <row r="1742" ht="14.25" customHeight="1">
      <c r="G1742" s="174" t="s">
        <v>3404</v>
      </c>
      <c r="H1742" s="174" t="s">
        <v>1687</v>
      </c>
      <c r="I1742" s="174" t="str">
        <f t="shared" si="1"/>
        <v>NORTE</v>
      </c>
    </row>
    <row r="1743" ht="14.25" customHeight="1">
      <c r="G1743" s="174" t="s">
        <v>3405</v>
      </c>
      <c r="H1743" s="174" t="s">
        <v>1702</v>
      </c>
      <c r="I1743" s="174" t="str">
        <f t="shared" si="1"/>
        <v>SUL</v>
      </c>
    </row>
    <row r="1744" ht="14.25" customHeight="1">
      <c r="G1744" s="174" t="s">
        <v>3406</v>
      </c>
      <c r="H1744" s="174" t="s">
        <v>1742</v>
      </c>
      <c r="I1744" s="174" t="str">
        <f t="shared" si="1"/>
        <v>SUL</v>
      </c>
    </row>
    <row r="1745" ht="14.25" customHeight="1">
      <c r="G1745" s="174" t="s">
        <v>3407</v>
      </c>
      <c r="H1745" s="174" t="s">
        <v>1750</v>
      </c>
      <c r="I1745" s="174" t="str">
        <f t="shared" si="1"/>
        <v>SUDESTE</v>
      </c>
    </row>
    <row r="1746" ht="14.25" customHeight="1">
      <c r="G1746" s="174" t="s">
        <v>3408</v>
      </c>
      <c r="H1746" s="174" t="s">
        <v>1725</v>
      </c>
      <c r="I1746" s="174" t="str">
        <f t="shared" si="1"/>
        <v>NORDESTE</v>
      </c>
    </row>
    <row r="1747" ht="14.25" customHeight="1">
      <c r="G1747" s="174" t="s">
        <v>3409</v>
      </c>
      <c r="H1747" s="174" t="s">
        <v>1721</v>
      </c>
      <c r="I1747" s="174" t="str">
        <f t="shared" si="1"/>
        <v>NORTE</v>
      </c>
    </row>
    <row r="1748" ht="14.25" customHeight="1">
      <c r="G1748" s="174" t="s">
        <v>3409</v>
      </c>
      <c r="H1748" s="174" t="s">
        <v>1685</v>
      </c>
      <c r="I1748" s="174" t="str">
        <f t="shared" si="1"/>
        <v>NORDESTE</v>
      </c>
    </row>
    <row r="1749" ht="14.25" customHeight="1">
      <c r="G1749" s="174" t="s">
        <v>3410</v>
      </c>
      <c r="H1749" s="174" t="s">
        <v>1710</v>
      </c>
      <c r="I1749" s="174" t="str">
        <f t="shared" si="1"/>
        <v>CENTRO OESTE</v>
      </c>
    </row>
    <row r="1750" ht="14.25" customHeight="1">
      <c r="G1750" s="174" t="s">
        <v>3411</v>
      </c>
      <c r="H1750" s="174" t="s">
        <v>1702</v>
      </c>
      <c r="I1750" s="174" t="str">
        <f t="shared" si="1"/>
        <v>SUL</v>
      </c>
    </row>
    <row r="1751" ht="14.25" customHeight="1">
      <c r="G1751" s="174" t="s">
        <v>3412</v>
      </c>
      <c r="H1751" s="174" t="s">
        <v>1742</v>
      </c>
      <c r="I1751" s="174" t="str">
        <f t="shared" si="1"/>
        <v>SUL</v>
      </c>
    </row>
    <row r="1752" ht="14.25" customHeight="1">
      <c r="G1752" s="174" t="s">
        <v>3413</v>
      </c>
      <c r="H1752" s="174" t="s">
        <v>1706</v>
      </c>
      <c r="I1752" s="174" t="str">
        <f t="shared" si="1"/>
        <v>SUL</v>
      </c>
    </row>
    <row r="1753" ht="14.25" customHeight="1">
      <c r="G1753" s="174" t="s">
        <v>3414</v>
      </c>
      <c r="H1753" s="174" t="s">
        <v>1742</v>
      </c>
      <c r="I1753" s="174" t="str">
        <f t="shared" si="1"/>
        <v>SUL</v>
      </c>
    </row>
    <row r="1754" ht="14.25" customHeight="1">
      <c r="G1754" s="174" t="s">
        <v>3415</v>
      </c>
      <c r="H1754" s="174" t="s">
        <v>1658</v>
      </c>
      <c r="I1754" s="174" t="str">
        <f t="shared" si="1"/>
        <v>CENTRO OESTE</v>
      </c>
    </row>
    <row r="1755" ht="14.25" customHeight="1">
      <c r="G1755" s="174" t="s">
        <v>3416</v>
      </c>
      <c r="H1755" s="174" t="s">
        <v>1702</v>
      </c>
      <c r="I1755" s="174" t="str">
        <f t="shared" si="1"/>
        <v>SUL</v>
      </c>
    </row>
    <row r="1756" ht="14.25" customHeight="1">
      <c r="G1756" s="174" t="s">
        <v>3417</v>
      </c>
      <c r="H1756" s="174" t="s">
        <v>1742</v>
      </c>
      <c r="I1756" s="174" t="str">
        <f t="shared" si="1"/>
        <v>SUL</v>
      </c>
    </row>
    <row r="1757" ht="14.25" customHeight="1">
      <c r="G1757" s="174" t="s">
        <v>3418</v>
      </c>
      <c r="H1757" s="174" t="s">
        <v>1656</v>
      </c>
      <c r="I1757" s="174" t="str">
        <f t="shared" si="1"/>
        <v>NORTE</v>
      </c>
    </row>
    <row r="1758" ht="14.25" customHeight="1">
      <c r="G1758" s="174" t="s">
        <v>3419</v>
      </c>
      <c r="H1758" s="174" t="s">
        <v>1685</v>
      </c>
      <c r="I1758" s="174" t="str">
        <f t="shared" si="1"/>
        <v>NORDESTE</v>
      </c>
    </row>
    <row r="1759" ht="14.25" customHeight="1">
      <c r="G1759" s="174" t="s">
        <v>3420</v>
      </c>
      <c r="H1759" s="174" t="s">
        <v>1685</v>
      </c>
      <c r="I1759" s="174" t="str">
        <f t="shared" si="1"/>
        <v>NORDESTE</v>
      </c>
    </row>
    <row r="1760" ht="14.25" customHeight="1">
      <c r="G1760" s="174" t="s">
        <v>3421</v>
      </c>
      <c r="H1760" s="174" t="s">
        <v>1664</v>
      </c>
      <c r="I1760" s="174" t="str">
        <f t="shared" si="1"/>
        <v>NORDESTE</v>
      </c>
    </row>
    <row r="1761" ht="14.25" customHeight="1">
      <c r="G1761" s="174" t="s">
        <v>3422</v>
      </c>
      <c r="H1761" s="174" t="s">
        <v>1717</v>
      </c>
      <c r="I1761" s="174" t="str">
        <f t="shared" si="1"/>
        <v>NORDESTE</v>
      </c>
    </row>
    <row r="1762" ht="14.25" customHeight="1">
      <c r="G1762" s="174" t="s">
        <v>3422</v>
      </c>
      <c r="H1762" s="174" t="s">
        <v>1747</v>
      </c>
      <c r="I1762" s="174" t="str">
        <f t="shared" si="1"/>
        <v>NORDESTE</v>
      </c>
    </row>
    <row r="1763" ht="14.25" customHeight="1">
      <c r="G1763" s="174" t="s">
        <v>3423</v>
      </c>
      <c r="H1763" s="174" t="s">
        <v>1704</v>
      </c>
      <c r="I1763" s="174" t="str">
        <f t="shared" si="1"/>
        <v>NORDESTE</v>
      </c>
    </row>
    <row r="1764" ht="14.25" customHeight="1">
      <c r="G1764" s="174" t="s">
        <v>3424</v>
      </c>
      <c r="H1764" s="174" t="s">
        <v>1666</v>
      </c>
      <c r="I1764" s="174" t="str">
        <f t="shared" si="1"/>
        <v>SUDESTE</v>
      </c>
    </row>
    <row r="1765" ht="14.25" customHeight="1">
      <c r="G1765" s="174" t="s">
        <v>3425</v>
      </c>
      <c r="H1765" s="174" t="s">
        <v>1733</v>
      </c>
      <c r="I1765" s="174" t="str">
        <f t="shared" si="1"/>
        <v>NORDESTE</v>
      </c>
    </row>
    <row r="1766" ht="14.25" customHeight="1">
      <c r="G1766" s="174" t="s">
        <v>3426</v>
      </c>
      <c r="H1766" s="174" t="s">
        <v>1666</v>
      </c>
      <c r="I1766" s="174" t="str">
        <f t="shared" si="1"/>
        <v>SUDESTE</v>
      </c>
    </row>
    <row r="1767" ht="14.25" customHeight="1">
      <c r="G1767" s="174" t="s">
        <v>3427</v>
      </c>
      <c r="H1767" s="174" t="s">
        <v>1666</v>
      </c>
      <c r="I1767" s="174" t="str">
        <f t="shared" si="1"/>
        <v>SUDESTE</v>
      </c>
    </row>
    <row r="1768" ht="14.25" customHeight="1">
      <c r="G1768" s="174" t="s">
        <v>3428</v>
      </c>
      <c r="H1768" s="174" t="s">
        <v>1742</v>
      </c>
      <c r="I1768" s="174" t="str">
        <f t="shared" si="1"/>
        <v>SUL</v>
      </c>
    </row>
    <row r="1769" ht="14.25" customHeight="1">
      <c r="G1769" s="174" t="s">
        <v>3429</v>
      </c>
      <c r="H1769" s="174" t="s">
        <v>1664</v>
      </c>
      <c r="I1769" s="174" t="str">
        <f t="shared" si="1"/>
        <v>NORDESTE</v>
      </c>
    </row>
    <row r="1770" ht="14.25" customHeight="1">
      <c r="G1770" s="174" t="s">
        <v>3430</v>
      </c>
      <c r="H1770" s="174" t="s">
        <v>1713</v>
      </c>
      <c r="I1770" s="174" t="str">
        <f t="shared" si="1"/>
        <v>CENTRO OESTE</v>
      </c>
    </row>
    <row r="1771" ht="14.25" customHeight="1">
      <c r="G1771" s="174" t="s">
        <v>3431</v>
      </c>
      <c r="H1771" s="174" t="s">
        <v>1702</v>
      </c>
      <c r="I1771" s="174" t="str">
        <f t="shared" si="1"/>
        <v>SUL</v>
      </c>
    </row>
    <row r="1772" ht="14.25" customHeight="1">
      <c r="G1772" s="174" t="s">
        <v>3432</v>
      </c>
      <c r="H1772" s="174" t="s">
        <v>1702</v>
      </c>
      <c r="I1772" s="174" t="str">
        <f t="shared" si="1"/>
        <v>SUL</v>
      </c>
    </row>
    <row r="1773" ht="14.25" customHeight="1">
      <c r="G1773" s="174" t="s">
        <v>3433</v>
      </c>
      <c r="H1773" s="174" t="s">
        <v>1666</v>
      </c>
      <c r="I1773" s="174" t="str">
        <f t="shared" si="1"/>
        <v>SUDESTE</v>
      </c>
    </row>
    <row r="1774" ht="14.25" customHeight="1">
      <c r="G1774" s="174" t="s">
        <v>3434</v>
      </c>
      <c r="H1774" s="174" t="s">
        <v>1717</v>
      </c>
      <c r="I1774" s="174" t="str">
        <f t="shared" si="1"/>
        <v>NORDESTE</v>
      </c>
    </row>
    <row r="1775" ht="14.25" customHeight="1">
      <c r="G1775" s="174" t="s">
        <v>3435</v>
      </c>
      <c r="H1775" s="174" t="s">
        <v>1704</v>
      </c>
      <c r="I1775" s="174" t="str">
        <f t="shared" si="1"/>
        <v>NORDESTE</v>
      </c>
    </row>
    <row r="1776" ht="14.25" customHeight="1">
      <c r="G1776" s="174" t="s">
        <v>3436</v>
      </c>
      <c r="H1776" s="174" t="s">
        <v>1733</v>
      </c>
      <c r="I1776" s="174" t="str">
        <f t="shared" si="1"/>
        <v>NORDESTE</v>
      </c>
    </row>
    <row r="1777" ht="14.25" customHeight="1">
      <c r="G1777" s="174" t="s">
        <v>3437</v>
      </c>
      <c r="H1777" s="174" t="s">
        <v>1750</v>
      </c>
      <c r="I1777" s="174" t="str">
        <f t="shared" si="1"/>
        <v>SUDESTE</v>
      </c>
    </row>
    <row r="1778" ht="14.25" customHeight="1">
      <c r="G1778" s="174" t="s">
        <v>3438</v>
      </c>
      <c r="H1778" s="174" t="s">
        <v>1750</v>
      </c>
      <c r="I1778" s="174" t="str">
        <f t="shared" si="1"/>
        <v>SUDESTE</v>
      </c>
    </row>
    <row r="1779" ht="14.25" customHeight="1">
      <c r="G1779" s="174" t="s">
        <v>3439</v>
      </c>
      <c r="H1779" s="174" t="s">
        <v>1750</v>
      </c>
      <c r="I1779" s="174" t="str">
        <f t="shared" si="1"/>
        <v>SUDESTE</v>
      </c>
    </row>
    <row r="1780" ht="14.25" customHeight="1">
      <c r="G1780" s="174" t="s">
        <v>3440</v>
      </c>
      <c r="H1780" s="174" t="s">
        <v>1750</v>
      </c>
      <c r="I1780" s="174" t="str">
        <f t="shared" si="1"/>
        <v>SUDESTE</v>
      </c>
    </row>
    <row r="1781" ht="14.25" customHeight="1">
      <c r="G1781" s="174" t="s">
        <v>3441</v>
      </c>
      <c r="H1781" s="174" t="s">
        <v>1679</v>
      </c>
      <c r="I1781" s="174" t="str">
        <f t="shared" si="1"/>
        <v>NORTE</v>
      </c>
    </row>
    <row r="1782" ht="14.25" customHeight="1">
      <c r="G1782" s="174" t="s">
        <v>3442</v>
      </c>
      <c r="H1782" s="174" t="s">
        <v>1717</v>
      </c>
      <c r="I1782" s="174" t="str">
        <f t="shared" si="1"/>
        <v>NORDESTE</v>
      </c>
    </row>
    <row r="1783" ht="14.25" customHeight="1">
      <c r="G1783" s="174" t="s">
        <v>3443</v>
      </c>
      <c r="H1783" s="174" t="s">
        <v>1666</v>
      </c>
      <c r="I1783" s="174" t="str">
        <f t="shared" si="1"/>
        <v>SUDESTE</v>
      </c>
    </row>
    <row r="1784" ht="14.25" customHeight="1">
      <c r="G1784" s="174" t="s">
        <v>3444</v>
      </c>
      <c r="H1784" s="174" t="s">
        <v>1666</v>
      </c>
      <c r="I1784" s="174" t="str">
        <f t="shared" si="1"/>
        <v>SUDESTE</v>
      </c>
    </row>
    <row r="1785" ht="14.25" customHeight="1">
      <c r="G1785" s="174" t="s">
        <v>3445</v>
      </c>
      <c r="H1785" s="174" t="s">
        <v>1702</v>
      </c>
      <c r="I1785" s="174" t="str">
        <f t="shared" si="1"/>
        <v>SUL</v>
      </c>
    </row>
    <row r="1786" ht="14.25" customHeight="1">
      <c r="G1786" s="174" t="s">
        <v>3446</v>
      </c>
      <c r="H1786" s="174" t="s">
        <v>1710</v>
      </c>
      <c r="I1786" s="174" t="str">
        <f t="shared" si="1"/>
        <v>CENTRO OESTE</v>
      </c>
    </row>
    <row r="1787" ht="14.25" customHeight="1">
      <c r="G1787" s="174" t="s">
        <v>3447</v>
      </c>
      <c r="H1787" s="174" t="s">
        <v>1721</v>
      </c>
      <c r="I1787" s="174" t="str">
        <f t="shared" si="1"/>
        <v>NORTE</v>
      </c>
    </row>
    <row r="1788" ht="14.25" customHeight="1">
      <c r="G1788" s="174" t="s">
        <v>3448</v>
      </c>
      <c r="H1788" s="174" t="s">
        <v>1713</v>
      </c>
      <c r="I1788" s="174" t="str">
        <f t="shared" si="1"/>
        <v>CENTRO OESTE</v>
      </c>
    </row>
    <row r="1789" ht="14.25" customHeight="1">
      <c r="G1789" s="174" t="s">
        <v>3449</v>
      </c>
      <c r="H1789" s="174" t="s">
        <v>1721</v>
      </c>
      <c r="I1789" s="174" t="str">
        <f t="shared" si="1"/>
        <v>NORTE</v>
      </c>
    </row>
    <row r="1790" ht="14.25" customHeight="1">
      <c r="G1790" s="174" t="s">
        <v>3449</v>
      </c>
      <c r="H1790" s="174" t="s">
        <v>1685</v>
      </c>
      <c r="I1790" s="174" t="str">
        <f t="shared" si="1"/>
        <v>NORDESTE</v>
      </c>
    </row>
    <row r="1791" ht="14.25" customHeight="1">
      <c r="G1791" s="174" t="s">
        <v>3450</v>
      </c>
      <c r="H1791" s="174" t="s">
        <v>1685</v>
      </c>
      <c r="I1791" s="174" t="str">
        <f t="shared" si="1"/>
        <v>NORDESTE</v>
      </c>
    </row>
    <row r="1792" ht="14.25" customHeight="1">
      <c r="G1792" s="174" t="s">
        <v>3451</v>
      </c>
      <c r="H1792" s="174" t="s">
        <v>1658</v>
      </c>
      <c r="I1792" s="174" t="str">
        <f t="shared" si="1"/>
        <v>CENTRO OESTE</v>
      </c>
    </row>
    <row r="1793" ht="14.25" customHeight="1">
      <c r="G1793" s="174" t="s">
        <v>3452</v>
      </c>
      <c r="H1793" s="174" t="s">
        <v>1664</v>
      </c>
      <c r="I1793" s="174" t="str">
        <f t="shared" si="1"/>
        <v>NORDESTE</v>
      </c>
    </row>
    <row r="1794" ht="14.25" customHeight="1">
      <c r="G1794" s="174" t="s">
        <v>3453</v>
      </c>
      <c r="H1794" s="174" t="s">
        <v>1702</v>
      </c>
      <c r="I1794" s="174" t="str">
        <f t="shared" si="1"/>
        <v>SUL</v>
      </c>
    </row>
    <row r="1795" ht="14.25" customHeight="1">
      <c r="G1795" s="174" t="s">
        <v>3454</v>
      </c>
      <c r="H1795" s="174" t="s">
        <v>1706</v>
      </c>
      <c r="I1795" s="174" t="str">
        <f t="shared" si="1"/>
        <v>SUL</v>
      </c>
    </row>
    <row r="1796" ht="14.25" customHeight="1">
      <c r="G1796" s="174" t="s">
        <v>3455</v>
      </c>
      <c r="H1796" s="174" t="s">
        <v>1750</v>
      </c>
      <c r="I1796" s="174" t="str">
        <f t="shared" si="1"/>
        <v>SUDESTE</v>
      </c>
    </row>
    <row r="1797" ht="14.25" customHeight="1">
      <c r="G1797" s="174" t="s">
        <v>3456</v>
      </c>
      <c r="H1797" s="174" t="s">
        <v>1702</v>
      </c>
      <c r="I1797" s="174" t="str">
        <f t="shared" si="1"/>
        <v>SUL</v>
      </c>
    </row>
    <row r="1798" ht="14.25" customHeight="1">
      <c r="G1798" s="174" t="s">
        <v>3457</v>
      </c>
      <c r="H1798" s="174" t="s">
        <v>1733</v>
      </c>
      <c r="I1798" s="174" t="str">
        <f t="shared" si="1"/>
        <v>NORDESTE</v>
      </c>
    </row>
    <row r="1799" ht="14.25" customHeight="1">
      <c r="G1799" s="174" t="s">
        <v>3458</v>
      </c>
      <c r="H1799" s="174" t="s">
        <v>1750</v>
      </c>
      <c r="I1799" s="174" t="str">
        <f t="shared" si="1"/>
        <v>SUDESTE</v>
      </c>
    </row>
    <row r="1800" ht="14.25" customHeight="1">
      <c r="G1800" s="174" t="s">
        <v>3459</v>
      </c>
      <c r="H1800" s="174" t="s">
        <v>1717</v>
      </c>
      <c r="I1800" s="174" t="str">
        <f t="shared" si="1"/>
        <v>NORDESTE</v>
      </c>
    </row>
    <row r="1801" ht="14.25" customHeight="1">
      <c r="G1801" s="174" t="s">
        <v>3460</v>
      </c>
      <c r="H1801" s="174" t="s">
        <v>1742</v>
      </c>
      <c r="I1801" s="174" t="str">
        <f t="shared" si="1"/>
        <v>SUL</v>
      </c>
    </row>
    <row r="1802" ht="14.25" customHeight="1">
      <c r="G1802" s="174" t="s">
        <v>3461</v>
      </c>
      <c r="H1802" s="174" t="s">
        <v>1658</v>
      </c>
      <c r="I1802" s="174" t="str">
        <f t="shared" si="1"/>
        <v>CENTRO OESTE</v>
      </c>
    </row>
    <row r="1803" ht="14.25" customHeight="1">
      <c r="G1803" s="174" t="s">
        <v>3462</v>
      </c>
      <c r="H1803" s="174" t="s">
        <v>1725</v>
      </c>
      <c r="I1803" s="174" t="str">
        <f t="shared" si="1"/>
        <v>NORDESTE</v>
      </c>
    </row>
    <row r="1804" ht="14.25" customHeight="1">
      <c r="G1804" s="174" t="s">
        <v>3463</v>
      </c>
      <c r="H1804" s="174" t="s">
        <v>1717</v>
      </c>
      <c r="I1804" s="174" t="str">
        <f t="shared" si="1"/>
        <v>NORDESTE</v>
      </c>
    </row>
    <row r="1805" ht="14.25" customHeight="1">
      <c r="G1805" s="174" t="s">
        <v>3463</v>
      </c>
      <c r="H1805" s="174" t="s">
        <v>1702</v>
      </c>
      <c r="I1805" s="174" t="str">
        <f t="shared" si="1"/>
        <v>SUL</v>
      </c>
    </row>
    <row r="1806" ht="14.25" customHeight="1">
      <c r="G1806" s="174" t="s">
        <v>3464</v>
      </c>
      <c r="H1806" s="174" t="s">
        <v>1685</v>
      </c>
      <c r="I1806" s="174" t="str">
        <f t="shared" si="1"/>
        <v>NORDESTE</v>
      </c>
    </row>
    <row r="1807" ht="14.25" customHeight="1">
      <c r="G1807" s="174" t="s">
        <v>3465</v>
      </c>
      <c r="H1807" s="174" t="s">
        <v>1687</v>
      </c>
      <c r="I1807" s="174" t="str">
        <f t="shared" si="1"/>
        <v>NORTE</v>
      </c>
    </row>
    <row r="1808" ht="14.25" customHeight="1">
      <c r="G1808" s="174" t="s">
        <v>3466</v>
      </c>
      <c r="H1808" s="174" t="s">
        <v>1725</v>
      </c>
      <c r="I1808" s="174" t="str">
        <f t="shared" si="1"/>
        <v>NORDESTE</v>
      </c>
    </row>
    <row r="1809" ht="14.25" customHeight="1">
      <c r="G1809" s="174" t="s">
        <v>3467</v>
      </c>
      <c r="H1809" s="174" t="s">
        <v>1666</v>
      </c>
      <c r="I1809" s="174" t="str">
        <f t="shared" si="1"/>
        <v>SUDESTE</v>
      </c>
    </row>
    <row r="1810" ht="14.25" customHeight="1">
      <c r="G1810" s="174" t="s">
        <v>3468</v>
      </c>
      <c r="H1810" s="174" t="s">
        <v>1702</v>
      </c>
      <c r="I1810" s="174" t="str">
        <f t="shared" si="1"/>
        <v>SUL</v>
      </c>
    </row>
    <row r="1811" ht="14.25" customHeight="1">
      <c r="G1811" s="174" t="s">
        <v>3469</v>
      </c>
      <c r="H1811" s="174" t="s">
        <v>1725</v>
      </c>
      <c r="I1811" s="174" t="str">
        <f t="shared" si="1"/>
        <v>NORDESTE</v>
      </c>
    </row>
    <row r="1812" ht="14.25" customHeight="1">
      <c r="G1812" s="174" t="s">
        <v>3470</v>
      </c>
      <c r="H1812" s="174" t="s">
        <v>1742</v>
      </c>
      <c r="I1812" s="174" t="str">
        <f t="shared" si="1"/>
        <v>SUL</v>
      </c>
    </row>
    <row r="1813" ht="14.25" customHeight="1">
      <c r="G1813" s="174" t="s">
        <v>3471</v>
      </c>
      <c r="H1813" s="174" t="s">
        <v>1706</v>
      </c>
      <c r="I1813" s="174" t="str">
        <f t="shared" si="1"/>
        <v>SUL</v>
      </c>
    </row>
    <row r="1814" ht="14.25" customHeight="1">
      <c r="G1814" s="174" t="s">
        <v>3472</v>
      </c>
      <c r="H1814" s="174" t="s">
        <v>1702</v>
      </c>
      <c r="I1814" s="174" t="str">
        <f t="shared" si="1"/>
        <v>SUL</v>
      </c>
    </row>
    <row r="1815" ht="14.25" customHeight="1">
      <c r="G1815" s="174" t="s">
        <v>3473</v>
      </c>
      <c r="H1815" s="174" t="s">
        <v>1750</v>
      </c>
      <c r="I1815" s="174" t="str">
        <f t="shared" si="1"/>
        <v>SUDESTE</v>
      </c>
    </row>
    <row r="1816" ht="14.25" customHeight="1">
      <c r="G1816" s="174" t="s">
        <v>3474</v>
      </c>
      <c r="H1816" s="174" t="s">
        <v>1750</v>
      </c>
      <c r="I1816" s="174" t="str">
        <f t="shared" si="1"/>
        <v>SUDESTE</v>
      </c>
    </row>
    <row r="1817" ht="14.25" customHeight="1">
      <c r="G1817" s="174" t="s">
        <v>3475</v>
      </c>
      <c r="H1817" s="174" t="s">
        <v>1672</v>
      </c>
      <c r="I1817" s="174" t="str">
        <f t="shared" si="1"/>
        <v>NORTE</v>
      </c>
    </row>
    <row r="1818" ht="14.25" customHeight="1">
      <c r="G1818" s="174" t="s">
        <v>3476</v>
      </c>
      <c r="H1818" s="174" t="s">
        <v>1742</v>
      </c>
      <c r="I1818" s="174" t="str">
        <f t="shared" si="1"/>
        <v>SUL</v>
      </c>
    </row>
    <row r="1819" ht="14.25" customHeight="1">
      <c r="G1819" s="174" t="s">
        <v>3477</v>
      </c>
      <c r="H1819" s="174" t="s">
        <v>1666</v>
      </c>
      <c r="I1819" s="174" t="str">
        <f t="shared" si="1"/>
        <v>SUDESTE</v>
      </c>
    </row>
    <row r="1820" ht="14.25" customHeight="1">
      <c r="G1820" s="174" t="s">
        <v>3478</v>
      </c>
      <c r="H1820" s="174" t="s">
        <v>1742</v>
      </c>
      <c r="I1820" s="174" t="str">
        <f t="shared" si="1"/>
        <v>SUL</v>
      </c>
    </row>
    <row r="1821" ht="14.25" customHeight="1">
      <c r="G1821" s="174" t="s">
        <v>3479</v>
      </c>
      <c r="H1821" s="174" t="s">
        <v>1658</v>
      </c>
      <c r="I1821" s="174" t="str">
        <f t="shared" si="1"/>
        <v>CENTRO OESTE</v>
      </c>
    </row>
    <row r="1822" ht="14.25" customHeight="1">
      <c r="G1822" s="174" t="s">
        <v>3480</v>
      </c>
      <c r="H1822" s="174" t="s">
        <v>1704</v>
      </c>
      <c r="I1822" s="174" t="str">
        <f t="shared" si="1"/>
        <v>NORDESTE</v>
      </c>
    </row>
    <row r="1823" ht="14.25" customHeight="1">
      <c r="G1823" s="174" t="s">
        <v>3481</v>
      </c>
      <c r="H1823" s="174" t="s">
        <v>1702</v>
      </c>
      <c r="I1823" s="174" t="str">
        <f t="shared" si="1"/>
        <v>SUL</v>
      </c>
    </row>
    <row r="1824" ht="14.25" customHeight="1">
      <c r="G1824" s="174" t="s">
        <v>3482</v>
      </c>
      <c r="H1824" s="174" t="s">
        <v>1685</v>
      </c>
      <c r="I1824" s="174" t="str">
        <f t="shared" si="1"/>
        <v>NORDESTE</v>
      </c>
    </row>
    <row r="1825" ht="14.25" customHeight="1">
      <c r="G1825" s="174" t="s">
        <v>3483</v>
      </c>
      <c r="H1825" s="174" t="s">
        <v>1706</v>
      </c>
      <c r="I1825" s="174" t="str">
        <f t="shared" si="1"/>
        <v>SUL</v>
      </c>
    </row>
    <row r="1826" ht="14.25" customHeight="1">
      <c r="G1826" s="174" t="s">
        <v>3484</v>
      </c>
      <c r="H1826" s="174" t="s">
        <v>1666</v>
      </c>
      <c r="I1826" s="174" t="str">
        <f t="shared" si="1"/>
        <v>SUDESTE</v>
      </c>
    </row>
    <row r="1827" ht="14.25" customHeight="1">
      <c r="G1827" s="174" t="s">
        <v>3484</v>
      </c>
      <c r="H1827" s="174" t="s">
        <v>1658</v>
      </c>
      <c r="I1827" s="174" t="str">
        <f t="shared" si="1"/>
        <v>CENTRO OESTE</v>
      </c>
    </row>
    <row r="1828" ht="14.25" customHeight="1">
      <c r="G1828" s="174" t="s">
        <v>3485</v>
      </c>
      <c r="H1828" s="174" t="s">
        <v>1721</v>
      </c>
      <c r="I1828" s="174" t="str">
        <f t="shared" si="1"/>
        <v>NORTE</v>
      </c>
    </row>
    <row r="1829" ht="14.25" customHeight="1">
      <c r="G1829" s="174" t="s">
        <v>3486</v>
      </c>
      <c r="H1829" s="174" t="s">
        <v>1742</v>
      </c>
      <c r="I1829" s="174" t="str">
        <f t="shared" si="1"/>
        <v>SUL</v>
      </c>
    </row>
    <row r="1830" ht="14.25" customHeight="1">
      <c r="G1830" s="174" t="s">
        <v>3487</v>
      </c>
      <c r="H1830" s="174" t="s">
        <v>1690</v>
      </c>
      <c r="I1830" s="174" t="str">
        <f t="shared" si="1"/>
        <v>NORDESTE</v>
      </c>
    </row>
    <row r="1831" ht="14.25" customHeight="1">
      <c r="G1831" s="174" t="s">
        <v>3488</v>
      </c>
      <c r="H1831" s="174" t="s">
        <v>1706</v>
      </c>
      <c r="I1831" s="174" t="str">
        <f t="shared" si="1"/>
        <v>SUL</v>
      </c>
    </row>
    <row r="1832" ht="14.25" customHeight="1">
      <c r="G1832" s="174" t="s">
        <v>3489</v>
      </c>
      <c r="H1832" s="174" t="s">
        <v>1690</v>
      </c>
      <c r="I1832" s="174" t="str">
        <f t="shared" si="1"/>
        <v>NORDESTE</v>
      </c>
    </row>
    <row r="1833" ht="14.25" customHeight="1">
      <c r="G1833" s="174" t="s">
        <v>3490</v>
      </c>
      <c r="H1833" s="174" t="s">
        <v>1666</v>
      </c>
      <c r="I1833" s="174" t="str">
        <f t="shared" si="1"/>
        <v>SUDESTE</v>
      </c>
    </row>
    <row r="1834" ht="14.25" customHeight="1">
      <c r="G1834" s="174" t="s">
        <v>3491</v>
      </c>
      <c r="H1834" s="174" t="s">
        <v>1721</v>
      </c>
      <c r="I1834" s="174" t="str">
        <f t="shared" si="1"/>
        <v>NORTE</v>
      </c>
    </row>
    <row r="1835" ht="14.25" customHeight="1">
      <c r="G1835" s="174" t="s">
        <v>3492</v>
      </c>
      <c r="H1835" s="174" t="s">
        <v>1704</v>
      </c>
      <c r="I1835" s="174" t="str">
        <f t="shared" si="1"/>
        <v>NORDESTE</v>
      </c>
    </row>
    <row r="1836" ht="14.25" customHeight="1">
      <c r="G1836" s="174" t="s">
        <v>3493</v>
      </c>
      <c r="H1836" s="174" t="s">
        <v>1742</v>
      </c>
      <c r="I1836" s="174" t="str">
        <f t="shared" si="1"/>
        <v>SUL</v>
      </c>
    </row>
    <row r="1837" ht="14.25" customHeight="1">
      <c r="G1837" s="174" t="s">
        <v>3494</v>
      </c>
      <c r="H1837" s="174" t="s">
        <v>1690</v>
      </c>
      <c r="I1837" s="174" t="str">
        <f t="shared" si="1"/>
        <v>NORDESTE</v>
      </c>
    </row>
    <row r="1838" ht="14.25" customHeight="1">
      <c r="G1838" s="174" t="s">
        <v>3495</v>
      </c>
      <c r="H1838" s="174" t="s">
        <v>1704</v>
      </c>
      <c r="I1838" s="174" t="str">
        <f t="shared" si="1"/>
        <v>NORDESTE</v>
      </c>
    </row>
    <row r="1839" ht="14.25" customHeight="1">
      <c r="G1839" s="174" t="s">
        <v>3496</v>
      </c>
      <c r="H1839" s="174" t="s">
        <v>1666</v>
      </c>
      <c r="I1839" s="174" t="str">
        <f t="shared" si="1"/>
        <v>SUDESTE</v>
      </c>
    </row>
    <row r="1840" ht="14.25" customHeight="1">
      <c r="G1840" s="174" t="s">
        <v>3497</v>
      </c>
      <c r="H1840" s="174" t="s">
        <v>1702</v>
      </c>
      <c r="I1840" s="174" t="str">
        <f t="shared" si="1"/>
        <v>SUL</v>
      </c>
    </row>
    <row r="1841" ht="14.25" customHeight="1">
      <c r="G1841" s="174" t="s">
        <v>3498</v>
      </c>
      <c r="H1841" s="174" t="s">
        <v>1702</v>
      </c>
      <c r="I1841" s="174" t="str">
        <f t="shared" si="1"/>
        <v>SUL</v>
      </c>
    </row>
    <row r="1842" ht="14.25" customHeight="1">
      <c r="G1842" s="174" t="s">
        <v>3499</v>
      </c>
      <c r="H1842" s="174" t="s">
        <v>1706</v>
      </c>
      <c r="I1842" s="174" t="str">
        <f t="shared" si="1"/>
        <v>SUL</v>
      </c>
    </row>
    <row r="1843" ht="14.25" customHeight="1">
      <c r="G1843" s="174" t="s">
        <v>3500</v>
      </c>
      <c r="H1843" s="174" t="s">
        <v>1750</v>
      </c>
      <c r="I1843" s="174" t="str">
        <f t="shared" si="1"/>
        <v>SUDESTE</v>
      </c>
    </row>
    <row r="1844" ht="14.25" customHeight="1">
      <c r="G1844" s="174" t="s">
        <v>3501</v>
      </c>
      <c r="H1844" s="174" t="s">
        <v>1725</v>
      </c>
      <c r="I1844" s="174" t="str">
        <f t="shared" si="1"/>
        <v>NORDESTE</v>
      </c>
    </row>
    <row r="1845" ht="14.25" customHeight="1">
      <c r="G1845" s="174" t="s">
        <v>3502</v>
      </c>
      <c r="H1845" s="174" t="s">
        <v>1702</v>
      </c>
      <c r="I1845" s="174" t="str">
        <f t="shared" si="1"/>
        <v>SUL</v>
      </c>
    </row>
    <row r="1846" ht="14.25" customHeight="1">
      <c r="G1846" s="174" t="s">
        <v>3503</v>
      </c>
      <c r="H1846" s="174" t="s">
        <v>1725</v>
      </c>
      <c r="I1846" s="174" t="str">
        <f t="shared" si="1"/>
        <v>NORDESTE</v>
      </c>
    </row>
    <row r="1847" ht="14.25" customHeight="1">
      <c r="G1847" s="174" t="s">
        <v>3504</v>
      </c>
      <c r="H1847" s="174" t="s">
        <v>1666</v>
      </c>
      <c r="I1847" s="174" t="str">
        <f t="shared" si="1"/>
        <v>SUDESTE</v>
      </c>
    </row>
    <row r="1848" ht="14.25" customHeight="1">
      <c r="G1848" s="174" t="s">
        <v>3505</v>
      </c>
      <c r="H1848" s="174" t="s">
        <v>1702</v>
      </c>
      <c r="I1848" s="174" t="str">
        <f t="shared" si="1"/>
        <v>SUL</v>
      </c>
    </row>
    <row r="1849" ht="14.25" customHeight="1">
      <c r="G1849" s="174" t="s">
        <v>3506</v>
      </c>
      <c r="H1849" s="174" t="s">
        <v>1733</v>
      </c>
      <c r="I1849" s="174" t="str">
        <f t="shared" si="1"/>
        <v>NORDESTE</v>
      </c>
    </row>
    <row r="1850" ht="14.25" customHeight="1">
      <c r="G1850" s="174" t="s">
        <v>3507</v>
      </c>
      <c r="H1850" s="174" t="s">
        <v>1666</v>
      </c>
      <c r="I1850" s="174" t="str">
        <f t="shared" si="1"/>
        <v>SUDESTE</v>
      </c>
    </row>
    <row r="1851" ht="14.25" customHeight="1">
      <c r="G1851" s="174" t="s">
        <v>3508</v>
      </c>
      <c r="H1851" s="174" t="s">
        <v>1725</v>
      </c>
      <c r="I1851" s="174" t="str">
        <f t="shared" si="1"/>
        <v>NORDESTE</v>
      </c>
    </row>
    <row r="1852" ht="14.25" customHeight="1">
      <c r="G1852" s="174" t="s">
        <v>3509</v>
      </c>
      <c r="H1852" s="174" t="s">
        <v>1750</v>
      </c>
      <c r="I1852" s="174" t="str">
        <f t="shared" si="1"/>
        <v>SUDESTE</v>
      </c>
    </row>
    <row r="1853" ht="14.25" customHeight="1">
      <c r="G1853" s="174" t="s">
        <v>3510</v>
      </c>
      <c r="H1853" s="174" t="s">
        <v>1666</v>
      </c>
      <c r="I1853" s="174" t="str">
        <f t="shared" si="1"/>
        <v>SUDESTE</v>
      </c>
    </row>
    <row r="1854" ht="14.25" customHeight="1">
      <c r="G1854" s="174" t="s">
        <v>3511</v>
      </c>
      <c r="H1854" s="174" t="s">
        <v>1725</v>
      </c>
      <c r="I1854" s="174" t="str">
        <f t="shared" si="1"/>
        <v>NORDESTE</v>
      </c>
    </row>
    <row r="1855" ht="14.25" customHeight="1">
      <c r="G1855" s="174" t="s">
        <v>3512</v>
      </c>
      <c r="H1855" s="174" t="s">
        <v>1666</v>
      </c>
      <c r="I1855" s="174" t="str">
        <f t="shared" si="1"/>
        <v>SUDESTE</v>
      </c>
    </row>
    <row r="1856" ht="14.25" customHeight="1">
      <c r="G1856" s="174" t="s">
        <v>3513</v>
      </c>
      <c r="H1856" s="174" t="s">
        <v>1750</v>
      </c>
      <c r="I1856" s="174" t="str">
        <f t="shared" si="1"/>
        <v>SUDESTE</v>
      </c>
    </row>
    <row r="1857" ht="14.25" customHeight="1">
      <c r="G1857" s="174" t="s">
        <v>3514</v>
      </c>
      <c r="H1857" s="174" t="s">
        <v>1690</v>
      </c>
      <c r="I1857" s="174" t="str">
        <f t="shared" si="1"/>
        <v>NORDESTE</v>
      </c>
    </row>
    <row r="1858" ht="14.25" customHeight="1">
      <c r="G1858" s="174" t="s">
        <v>3515</v>
      </c>
      <c r="H1858" s="174" t="s">
        <v>1742</v>
      </c>
      <c r="I1858" s="174" t="str">
        <f t="shared" si="1"/>
        <v>SUL</v>
      </c>
    </row>
    <row r="1859" ht="14.25" customHeight="1">
      <c r="G1859" s="174" t="s">
        <v>3516</v>
      </c>
      <c r="H1859" s="174" t="s">
        <v>1666</v>
      </c>
      <c r="I1859" s="174" t="str">
        <f t="shared" si="1"/>
        <v>SUDESTE</v>
      </c>
    </row>
    <row r="1860" ht="14.25" customHeight="1">
      <c r="G1860" s="174" t="s">
        <v>3517</v>
      </c>
      <c r="H1860" s="174" t="s">
        <v>1666</v>
      </c>
      <c r="I1860" s="174" t="str">
        <f t="shared" si="1"/>
        <v>SUDESTE</v>
      </c>
    </row>
    <row r="1861" ht="14.25" customHeight="1">
      <c r="G1861" s="174" t="s">
        <v>3518</v>
      </c>
      <c r="H1861" s="174" t="s">
        <v>1666</v>
      </c>
      <c r="I1861" s="174" t="str">
        <f t="shared" si="1"/>
        <v>SUDESTE</v>
      </c>
    </row>
    <row r="1862" ht="14.25" customHeight="1">
      <c r="G1862" s="174" t="s">
        <v>3519</v>
      </c>
      <c r="H1862" s="174" t="s">
        <v>1719</v>
      </c>
      <c r="I1862" s="174" t="str">
        <f t="shared" si="1"/>
        <v>NORDESTE</v>
      </c>
    </row>
    <row r="1863" ht="14.25" customHeight="1">
      <c r="G1863" s="174" t="s">
        <v>3520</v>
      </c>
      <c r="H1863" s="174" t="s">
        <v>1717</v>
      </c>
      <c r="I1863" s="174" t="str">
        <f t="shared" si="1"/>
        <v>NORDESTE</v>
      </c>
    </row>
    <row r="1864" ht="14.25" customHeight="1">
      <c r="G1864" s="174" t="s">
        <v>3521</v>
      </c>
      <c r="H1864" s="174" t="s">
        <v>1747</v>
      </c>
      <c r="I1864" s="174" t="str">
        <f t="shared" si="1"/>
        <v>NORDESTE</v>
      </c>
    </row>
    <row r="1865" ht="14.25" customHeight="1">
      <c r="G1865" s="174" t="s">
        <v>3522</v>
      </c>
      <c r="H1865" s="174" t="s">
        <v>1706</v>
      </c>
      <c r="I1865" s="174" t="str">
        <f t="shared" si="1"/>
        <v>SUL</v>
      </c>
    </row>
    <row r="1866" ht="14.25" customHeight="1">
      <c r="G1866" s="174" t="s">
        <v>3523</v>
      </c>
      <c r="H1866" s="174" t="s">
        <v>1666</v>
      </c>
      <c r="I1866" s="174" t="str">
        <f t="shared" si="1"/>
        <v>SUDESTE</v>
      </c>
    </row>
    <row r="1867" ht="14.25" customHeight="1">
      <c r="G1867" s="174" t="s">
        <v>3524</v>
      </c>
      <c r="H1867" s="174" t="s">
        <v>1666</v>
      </c>
      <c r="I1867" s="174" t="str">
        <f t="shared" si="1"/>
        <v>SUDESTE</v>
      </c>
    </row>
    <row r="1868" ht="14.25" customHeight="1">
      <c r="G1868" s="174" t="s">
        <v>3525</v>
      </c>
      <c r="H1868" s="174" t="s">
        <v>1725</v>
      </c>
      <c r="I1868" s="174" t="str">
        <f t="shared" si="1"/>
        <v>NORDESTE</v>
      </c>
    </row>
    <row r="1869" ht="14.25" customHeight="1">
      <c r="G1869" s="174" t="s">
        <v>3526</v>
      </c>
      <c r="H1869" s="174" t="s">
        <v>1666</v>
      </c>
      <c r="I1869" s="174" t="str">
        <f t="shared" si="1"/>
        <v>SUDESTE</v>
      </c>
    </row>
    <row r="1870" ht="14.25" customHeight="1">
      <c r="G1870" s="174" t="s">
        <v>3527</v>
      </c>
      <c r="H1870" s="174" t="s">
        <v>1666</v>
      </c>
      <c r="I1870" s="174" t="str">
        <f t="shared" si="1"/>
        <v>SUDESTE</v>
      </c>
    </row>
    <row r="1871" ht="14.25" customHeight="1">
      <c r="G1871" s="174" t="s">
        <v>3528</v>
      </c>
      <c r="H1871" s="174" t="s">
        <v>1733</v>
      </c>
      <c r="I1871" s="174" t="str">
        <f t="shared" si="1"/>
        <v>NORDESTE</v>
      </c>
    </row>
    <row r="1872" ht="14.25" customHeight="1">
      <c r="G1872" s="174" t="s">
        <v>3529</v>
      </c>
      <c r="H1872" s="174" t="s">
        <v>1698</v>
      </c>
      <c r="I1872" s="174" t="str">
        <f t="shared" si="1"/>
        <v>SUDESTE</v>
      </c>
    </row>
    <row r="1873" ht="14.25" customHeight="1">
      <c r="G1873" s="174" t="s">
        <v>3530</v>
      </c>
      <c r="H1873" s="174" t="s">
        <v>1666</v>
      </c>
      <c r="I1873" s="174" t="str">
        <f t="shared" si="1"/>
        <v>SUDESTE</v>
      </c>
    </row>
    <row r="1874" ht="14.25" customHeight="1">
      <c r="G1874" s="174" t="s">
        <v>3531</v>
      </c>
      <c r="H1874" s="174" t="s">
        <v>1750</v>
      </c>
      <c r="I1874" s="174" t="str">
        <f t="shared" si="1"/>
        <v>SUDESTE</v>
      </c>
    </row>
    <row r="1875" ht="14.25" customHeight="1">
      <c r="G1875" s="174" t="s">
        <v>3532</v>
      </c>
      <c r="H1875" s="174" t="s">
        <v>1719</v>
      </c>
      <c r="I1875" s="174" t="str">
        <f t="shared" si="1"/>
        <v>NORDESTE</v>
      </c>
    </row>
    <row r="1876" ht="14.25" customHeight="1">
      <c r="G1876" s="174" t="s">
        <v>3533</v>
      </c>
      <c r="H1876" s="174" t="s">
        <v>1750</v>
      </c>
      <c r="I1876" s="174" t="str">
        <f t="shared" si="1"/>
        <v>SUDESTE</v>
      </c>
    </row>
    <row r="1877" ht="14.25" customHeight="1">
      <c r="G1877" s="174" t="s">
        <v>3534</v>
      </c>
      <c r="H1877" s="174" t="s">
        <v>1666</v>
      </c>
      <c r="I1877" s="174" t="str">
        <f t="shared" si="1"/>
        <v>SUDESTE</v>
      </c>
    </row>
    <row r="1878" ht="14.25" customHeight="1">
      <c r="G1878" s="174" t="s">
        <v>3535</v>
      </c>
      <c r="H1878" s="174" t="s">
        <v>1733</v>
      </c>
      <c r="I1878" s="174" t="str">
        <f t="shared" si="1"/>
        <v>NORDESTE</v>
      </c>
    </row>
    <row r="1879" ht="14.25" customHeight="1">
      <c r="G1879" s="174" t="s">
        <v>3536</v>
      </c>
      <c r="H1879" s="174" t="s">
        <v>1706</v>
      </c>
      <c r="I1879" s="174" t="str">
        <f t="shared" si="1"/>
        <v>SUL</v>
      </c>
    </row>
    <row r="1880" ht="14.25" customHeight="1">
      <c r="G1880" s="174" t="s">
        <v>3537</v>
      </c>
      <c r="H1880" s="174" t="s">
        <v>1717</v>
      </c>
      <c r="I1880" s="174" t="str">
        <f t="shared" si="1"/>
        <v>NORDESTE</v>
      </c>
    </row>
    <row r="1881" ht="14.25" customHeight="1">
      <c r="G1881" s="174" t="s">
        <v>3538</v>
      </c>
      <c r="H1881" s="174" t="s">
        <v>1658</v>
      </c>
      <c r="I1881" s="174" t="str">
        <f t="shared" si="1"/>
        <v>CENTRO OESTE</v>
      </c>
    </row>
    <row r="1882" ht="14.25" customHeight="1">
      <c r="G1882" s="174" t="s">
        <v>3539</v>
      </c>
      <c r="H1882" s="174" t="s">
        <v>1666</v>
      </c>
      <c r="I1882" s="174" t="str">
        <f t="shared" si="1"/>
        <v>SUDESTE</v>
      </c>
    </row>
    <row r="1883" ht="14.25" customHeight="1">
      <c r="G1883" s="174" t="s">
        <v>3540</v>
      </c>
      <c r="H1883" s="174" t="s">
        <v>1685</v>
      </c>
      <c r="I1883" s="174" t="str">
        <f t="shared" si="1"/>
        <v>NORDESTE</v>
      </c>
    </row>
    <row r="1884" ht="14.25" customHeight="1">
      <c r="G1884" s="174" t="s">
        <v>3541</v>
      </c>
      <c r="H1884" s="174" t="s">
        <v>1717</v>
      </c>
      <c r="I1884" s="174" t="str">
        <f t="shared" si="1"/>
        <v>NORDESTE</v>
      </c>
    </row>
    <row r="1885" ht="14.25" customHeight="1">
      <c r="G1885" s="174" t="s">
        <v>3542</v>
      </c>
      <c r="H1885" s="174" t="s">
        <v>1747</v>
      </c>
      <c r="I1885" s="174" t="str">
        <f t="shared" si="1"/>
        <v>NORDESTE</v>
      </c>
    </row>
    <row r="1886" ht="14.25" customHeight="1">
      <c r="G1886" s="174" t="s">
        <v>3543</v>
      </c>
      <c r="H1886" s="174" t="s">
        <v>1750</v>
      </c>
      <c r="I1886" s="174" t="str">
        <f t="shared" si="1"/>
        <v>SUDESTE</v>
      </c>
    </row>
    <row r="1887" ht="14.25" customHeight="1">
      <c r="G1887" s="174" t="s">
        <v>3544</v>
      </c>
      <c r="H1887" s="174" t="s">
        <v>1742</v>
      </c>
      <c r="I1887" s="174" t="str">
        <f t="shared" si="1"/>
        <v>SUL</v>
      </c>
    </row>
    <row r="1888" ht="14.25" customHeight="1">
      <c r="G1888" s="174" t="s">
        <v>3545</v>
      </c>
      <c r="H1888" s="174" t="s">
        <v>1706</v>
      </c>
      <c r="I1888" s="174" t="str">
        <f t="shared" si="1"/>
        <v>SUL</v>
      </c>
    </row>
    <row r="1889" ht="14.25" customHeight="1">
      <c r="G1889" s="174" t="s">
        <v>3546</v>
      </c>
      <c r="H1889" s="174" t="s">
        <v>1687</v>
      </c>
      <c r="I1889" s="174" t="str">
        <f t="shared" si="1"/>
        <v>NORTE</v>
      </c>
    </row>
    <row r="1890" ht="14.25" customHeight="1">
      <c r="G1890" s="174" t="s">
        <v>3547</v>
      </c>
      <c r="H1890" s="174" t="s">
        <v>1742</v>
      </c>
      <c r="I1890" s="174" t="str">
        <f t="shared" si="1"/>
        <v>SUL</v>
      </c>
    </row>
    <row r="1891" ht="14.25" customHeight="1">
      <c r="G1891" s="174" t="s">
        <v>3548</v>
      </c>
      <c r="H1891" s="174" t="s">
        <v>1706</v>
      </c>
      <c r="I1891" s="174" t="str">
        <f t="shared" si="1"/>
        <v>SUL</v>
      </c>
    </row>
    <row r="1892" ht="14.25" customHeight="1">
      <c r="G1892" s="174" t="s">
        <v>3549</v>
      </c>
      <c r="H1892" s="174" t="s">
        <v>1706</v>
      </c>
      <c r="I1892" s="174" t="str">
        <f t="shared" si="1"/>
        <v>SUL</v>
      </c>
    </row>
    <row r="1893" ht="14.25" customHeight="1">
      <c r="G1893" s="174" t="s">
        <v>3550</v>
      </c>
      <c r="H1893" s="174" t="s">
        <v>1750</v>
      </c>
      <c r="I1893" s="174" t="str">
        <f t="shared" si="1"/>
        <v>SUDESTE</v>
      </c>
    </row>
    <row r="1894" ht="14.25" customHeight="1">
      <c r="G1894" s="174" t="s">
        <v>3551</v>
      </c>
      <c r="H1894" s="174" t="s">
        <v>1713</v>
      </c>
      <c r="I1894" s="174" t="str">
        <f t="shared" si="1"/>
        <v>CENTRO OESTE</v>
      </c>
    </row>
    <row r="1895" ht="14.25" customHeight="1">
      <c r="G1895" s="174" t="s">
        <v>3552</v>
      </c>
      <c r="H1895" s="174" t="s">
        <v>1742</v>
      </c>
      <c r="I1895" s="174" t="str">
        <f t="shared" si="1"/>
        <v>SUL</v>
      </c>
    </row>
    <row r="1896" ht="14.25" customHeight="1">
      <c r="G1896" s="174" t="s">
        <v>3553</v>
      </c>
      <c r="H1896" s="174" t="s">
        <v>1685</v>
      </c>
      <c r="I1896" s="174" t="str">
        <f t="shared" si="1"/>
        <v>NORDESTE</v>
      </c>
    </row>
    <row r="1897" ht="14.25" customHeight="1">
      <c r="G1897" s="174" t="s">
        <v>3554</v>
      </c>
      <c r="H1897" s="174" t="s">
        <v>1750</v>
      </c>
      <c r="I1897" s="174" t="str">
        <f t="shared" si="1"/>
        <v>SUDESTE</v>
      </c>
    </row>
    <row r="1898" ht="14.25" customHeight="1">
      <c r="G1898" s="174" t="s">
        <v>3555</v>
      </c>
      <c r="H1898" s="174" t="s">
        <v>1725</v>
      </c>
      <c r="I1898" s="174" t="str">
        <f t="shared" si="1"/>
        <v>NORDESTE</v>
      </c>
    </row>
    <row r="1899" ht="14.25" customHeight="1">
      <c r="G1899" s="174" t="s">
        <v>3556</v>
      </c>
      <c r="H1899" s="174" t="s">
        <v>1742</v>
      </c>
      <c r="I1899" s="174" t="str">
        <f t="shared" si="1"/>
        <v>SUL</v>
      </c>
    </row>
    <row r="1900" ht="14.25" customHeight="1">
      <c r="G1900" s="174" t="s">
        <v>3557</v>
      </c>
      <c r="H1900" s="174" t="s">
        <v>1702</v>
      </c>
      <c r="I1900" s="174" t="str">
        <f t="shared" si="1"/>
        <v>SUL</v>
      </c>
    </row>
    <row r="1901" ht="14.25" customHeight="1">
      <c r="G1901" s="174" t="s">
        <v>3557</v>
      </c>
      <c r="H1901" s="174" t="s">
        <v>1713</v>
      </c>
      <c r="I1901" s="174" t="str">
        <f t="shared" si="1"/>
        <v>CENTRO OESTE</v>
      </c>
    </row>
    <row r="1902" ht="14.25" customHeight="1">
      <c r="G1902" s="174" t="s">
        <v>3558</v>
      </c>
      <c r="H1902" s="174" t="s">
        <v>1747</v>
      </c>
      <c r="I1902" s="174" t="str">
        <f t="shared" si="1"/>
        <v>NORDESTE</v>
      </c>
    </row>
    <row r="1903" ht="14.25" customHeight="1">
      <c r="G1903" s="174" t="s">
        <v>3559</v>
      </c>
      <c r="H1903" s="174" t="s">
        <v>1750</v>
      </c>
      <c r="I1903" s="174" t="str">
        <f t="shared" si="1"/>
        <v>SUDESTE</v>
      </c>
    </row>
    <row r="1904" ht="14.25" customHeight="1">
      <c r="G1904" s="174" t="s">
        <v>3560</v>
      </c>
      <c r="H1904" s="174" t="s">
        <v>1690</v>
      </c>
      <c r="I1904" s="174" t="str">
        <f t="shared" si="1"/>
        <v>NORDESTE</v>
      </c>
    </row>
    <row r="1905" ht="14.25" customHeight="1">
      <c r="G1905" s="174" t="s">
        <v>3561</v>
      </c>
      <c r="H1905" s="174" t="s">
        <v>1742</v>
      </c>
      <c r="I1905" s="174" t="str">
        <f t="shared" si="1"/>
        <v>SUL</v>
      </c>
    </row>
    <row r="1906" ht="14.25" customHeight="1">
      <c r="G1906" s="174" t="s">
        <v>3562</v>
      </c>
      <c r="H1906" s="174" t="s">
        <v>1685</v>
      </c>
      <c r="I1906" s="174" t="str">
        <f t="shared" si="1"/>
        <v>NORDESTE</v>
      </c>
    </row>
    <row r="1907" ht="14.25" customHeight="1">
      <c r="G1907" s="174" t="s">
        <v>3563</v>
      </c>
      <c r="H1907" s="174" t="s">
        <v>1750</v>
      </c>
      <c r="I1907" s="174" t="str">
        <f t="shared" si="1"/>
        <v>SUDESTE</v>
      </c>
    </row>
    <row r="1908" ht="14.25" customHeight="1">
      <c r="G1908" s="174" t="s">
        <v>3564</v>
      </c>
      <c r="H1908" s="174" t="s">
        <v>1742</v>
      </c>
      <c r="I1908" s="174" t="str">
        <f t="shared" si="1"/>
        <v>SUL</v>
      </c>
    </row>
    <row r="1909" ht="14.25" customHeight="1">
      <c r="G1909" s="174" t="s">
        <v>3565</v>
      </c>
      <c r="H1909" s="174" t="s">
        <v>1725</v>
      </c>
      <c r="I1909" s="174" t="str">
        <f t="shared" si="1"/>
        <v>NORDESTE</v>
      </c>
    </row>
    <row r="1910" ht="14.25" customHeight="1">
      <c r="G1910" s="174" t="s">
        <v>3566</v>
      </c>
      <c r="H1910" s="174" t="s">
        <v>1664</v>
      </c>
      <c r="I1910" s="174" t="str">
        <f t="shared" si="1"/>
        <v>NORDESTE</v>
      </c>
    </row>
    <row r="1911" ht="14.25" customHeight="1">
      <c r="G1911" s="174" t="s">
        <v>3567</v>
      </c>
      <c r="H1911" s="174" t="s">
        <v>1742</v>
      </c>
      <c r="I1911" s="174" t="str">
        <f t="shared" si="1"/>
        <v>SUL</v>
      </c>
    </row>
    <row r="1912" ht="14.25" customHeight="1">
      <c r="G1912" s="174" t="s">
        <v>3568</v>
      </c>
      <c r="H1912" s="174" t="s">
        <v>1666</v>
      </c>
      <c r="I1912" s="174" t="str">
        <f t="shared" si="1"/>
        <v>SUDESTE</v>
      </c>
    </row>
    <row r="1913" ht="14.25" customHeight="1">
      <c r="G1913" s="174" t="s">
        <v>3569</v>
      </c>
      <c r="H1913" s="174" t="s">
        <v>1750</v>
      </c>
      <c r="I1913" s="174" t="str">
        <f t="shared" si="1"/>
        <v>SUDESTE</v>
      </c>
    </row>
    <row r="1914" ht="14.25" customHeight="1">
      <c r="G1914" s="174" t="s">
        <v>3570</v>
      </c>
      <c r="H1914" s="174" t="s">
        <v>1685</v>
      </c>
      <c r="I1914" s="174" t="str">
        <f t="shared" si="1"/>
        <v>NORDESTE</v>
      </c>
    </row>
    <row r="1915" ht="14.25" customHeight="1">
      <c r="G1915" s="174" t="s">
        <v>3571</v>
      </c>
      <c r="H1915" s="174" t="s">
        <v>1713</v>
      </c>
      <c r="I1915" s="174" t="str">
        <f t="shared" si="1"/>
        <v>CENTRO OESTE</v>
      </c>
    </row>
    <row r="1916" ht="14.25" customHeight="1">
      <c r="G1916" s="174" t="s">
        <v>3572</v>
      </c>
      <c r="H1916" s="174" t="s">
        <v>1710</v>
      </c>
      <c r="I1916" s="174" t="str">
        <f t="shared" si="1"/>
        <v>CENTRO OESTE</v>
      </c>
    </row>
    <row r="1917" ht="14.25" customHeight="1">
      <c r="G1917" s="174" t="s">
        <v>3573</v>
      </c>
      <c r="H1917" s="174" t="s">
        <v>1717</v>
      </c>
      <c r="I1917" s="174" t="str">
        <f t="shared" si="1"/>
        <v>NORDESTE</v>
      </c>
    </row>
    <row r="1918" ht="14.25" customHeight="1">
      <c r="G1918" s="174" t="s">
        <v>3574</v>
      </c>
      <c r="H1918" s="174" t="s">
        <v>1742</v>
      </c>
      <c r="I1918" s="174" t="str">
        <f t="shared" si="1"/>
        <v>SUL</v>
      </c>
    </row>
    <row r="1919" ht="14.25" customHeight="1">
      <c r="G1919" s="174" t="s">
        <v>3575</v>
      </c>
      <c r="H1919" s="174" t="s">
        <v>1704</v>
      </c>
      <c r="I1919" s="174" t="str">
        <f t="shared" si="1"/>
        <v>NORDESTE</v>
      </c>
    </row>
    <row r="1920" ht="14.25" customHeight="1">
      <c r="G1920" s="174" t="s">
        <v>3576</v>
      </c>
      <c r="H1920" s="174" t="s">
        <v>1702</v>
      </c>
      <c r="I1920" s="174" t="str">
        <f t="shared" si="1"/>
        <v>SUL</v>
      </c>
    </row>
    <row r="1921" ht="14.25" customHeight="1">
      <c r="G1921" s="174" t="s">
        <v>3577</v>
      </c>
      <c r="H1921" s="174" t="s">
        <v>1666</v>
      </c>
      <c r="I1921" s="174" t="str">
        <f t="shared" si="1"/>
        <v>SUDESTE</v>
      </c>
    </row>
    <row r="1922" ht="14.25" customHeight="1">
      <c r="G1922" s="174" t="s">
        <v>3578</v>
      </c>
      <c r="H1922" s="174" t="s">
        <v>1717</v>
      </c>
      <c r="I1922" s="174" t="str">
        <f t="shared" si="1"/>
        <v>NORDESTE</v>
      </c>
    </row>
    <row r="1923" ht="14.25" customHeight="1">
      <c r="G1923" s="174" t="s">
        <v>3579</v>
      </c>
      <c r="H1923" s="174" t="s">
        <v>1666</v>
      </c>
      <c r="I1923" s="174" t="str">
        <f t="shared" si="1"/>
        <v>SUDESTE</v>
      </c>
    </row>
    <row r="1924" ht="14.25" customHeight="1">
      <c r="G1924" s="174" t="s">
        <v>3580</v>
      </c>
      <c r="H1924" s="174" t="s">
        <v>1658</v>
      </c>
      <c r="I1924" s="174" t="str">
        <f t="shared" si="1"/>
        <v>CENTRO OESTE</v>
      </c>
    </row>
    <row r="1925" ht="14.25" customHeight="1">
      <c r="G1925" s="174" t="s">
        <v>3581</v>
      </c>
      <c r="H1925" s="174" t="s">
        <v>1658</v>
      </c>
      <c r="I1925" s="174" t="str">
        <f t="shared" si="1"/>
        <v>CENTRO OESTE</v>
      </c>
    </row>
    <row r="1926" ht="14.25" customHeight="1">
      <c r="G1926" s="174" t="s">
        <v>3582</v>
      </c>
      <c r="H1926" s="174" t="s">
        <v>1658</v>
      </c>
      <c r="I1926" s="174" t="str">
        <f t="shared" si="1"/>
        <v>CENTRO OESTE</v>
      </c>
    </row>
    <row r="1927" ht="14.25" customHeight="1">
      <c r="G1927" s="174" t="s">
        <v>3583</v>
      </c>
      <c r="H1927" s="174" t="s">
        <v>1687</v>
      </c>
      <c r="I1927" s="174" t="str">
        <f t="shared" si="1"/>
        <v>NORTE</v>
      </c>
    </row>
    <row r="1928" ht="14.25" customHeight="1">
      <c r="G1928" s="174" t="s">
        <v>3584</v>
      </c>
      <c r="H1928" s="174" t="s">
        <v>1658</v>
      </c>
      <c r="I1928" s="174" t="str">
        <f t="shared" si="1"/>
        <v>CENTRO OESTE</v>
      </c>
    </row>
    <row r="1929" ht="14.25" customHeight="1">
      <c r="G1929" s="174" t="s">
        <v>3585</v>
      </c>
      <c r="H1929" s="174" t="s">
        <v>1733</v>
      </c>
      <c r="I1929" s="174" t="str">
        <f t="shared" si="1"/>
        <v>NORDESTE</v>
      </c>
    </row>
    <row r="1930" ht="14.25" customHeight="1">
      <c r="G1930" s="174" t="s">
        <v>3586</v>
      </c>
      <c r="H1930" s="174" t="s">
        <v>1658</v>
      </c>
      <c r="I1930" s="174" t="str">
        <f t="shared" si="1"/>
        <v>CENTRO OESTE</v>
      </c>
    </row>
    <row r="1931" ht="14.25" customHeight="1">
      <c r="G1931" s="174" t="s">
        <v>3587</v>
      </c>
      <c r="H1931" s="174" t="s">
        <v>1721</v>
      </c>
      <c r="I1931" s="174" t="str">
        <f t="shared" si="1"/>
        <v>NORTE</v>
      </c>
    </row>
    <row r="1932" ht="14.25" customHeight="1">
      <c r="G1932" s="174" t="s">
        <v>3588</v>
      </c>
      <c r="H1932" s="174" t="s">
        <v>1658</v>
      </c>
      <c r="I1932" s="174" t="str">
        <f t="shared" si="1"/>
        <v>CENTRO OESTE</v>
      </c>
    </row>
    <row r="1933" ht="14.25" customHeight="1">
      <c r="G1933" s="174" t="s">
        <v>3589</v>
      </c>
      <c r="H1933" s="174" t="s">
        <v>1721</v>
      </c>
      <c r="I1933" s="174" t="str">
        <f t="shared" si="1"/>
        <v>NORTE</v>
      </c>
    </row>
    <row r="1934" ht="14.25" customHeight="1">
      <c r="G1934" s="174" t="s">
        <v>3590</v>
      </c>
      <c r="H1934" s="174" t="s">
        <v>1658</v>
      </c>
      <c r="I1934" s="174" t="str">
        <f t="shared" si="1"/>
        <v>CENTRO OESTE</v>
      </c>
    </row>
    <row r="1935" ht="14.25" customHeight="1">
      <c r="G1935" s="174" t="s">
        <v>3591</v>
      </c>
      <c r="H1935" s="174" t="s">
        <v>1702</v>
      </c>
      <c r="I1935" s="174" t="str">
        <f t="shared" si="1"/>
        <v>SUL</v>
      </c>
    </row>
    <row r="1936" ht="14.25" customHeight="1">
      <c r="G1936" s="174" t="s">
        <v>3592</v>
      </c>
      <c r="H1936" s="174" t="s">
        <v>1702</v>
      </c>
      <c r="I1936" s="174" t="str">
        <f t="shared" si="1"/>
        <v>SUL</v>
      </c>
    </row>
    <row r="1937" ht="14.25" customHeight="1">
      <c r="G1937" s="174" t="s">
        <v>3593</v>
      </c>
      <c r="H1937" s="174" t="s">
        <v>1666</v>
      </c>
      <c r="I1937" s="174" t="str">
        <f t="shared" si="1"/>
        <v>SUDESTE</v>
      </c>
    </row>
    <row r="1938" ht="14.25" customHeight="1">
      <c r="G1938" s="174" t="s">
        <v>3594</v>
      </c>
      <c r="H1938" s="174" t="s">
        <v>1704</v>
      </c>
      <c r="I1938" s="174" t="str">
        <f t="shared" si="1"/>
        <v>NORDESTE</v>
      </c>
    </row>
    <row r="1939" ht="14.25" customHeight="1">
      <c r="G1939" s="174" t="s">
        <v>3595</v>
      </c>
      <c r="H1939" s="174" t="s">
        <v>1685</v>
      </c>
      <c r="I1939" s="174" t="str">
        <f t="shared" si="1"/>
        <v>NORDESTE</v>
      </c>
    </row>
    <row r="1940" ht="14.25" customHeight="1">
      <c r="G1940" s="174" t="s">
        <v>3596</v>
      </c>
      <c r="H1940" s="174" t="s">
        <v>1666</v>
      </c>
      <c r="I1940" s="174" t="str">
        <f t="shared" si="1"/>
        <v>SUDESTE</v>
      </c>
    </row>
    <row r="1941" ht="14.25" customHeight="1">
      <c r="G1941" s="174" t="s">
        <v>3597</v>
      </c>
      <c r="H1941" s="174" t="s">
        <v>1666</v>
      </c>
      <c r="I1941" s="174" t="str">
        <f t="shared" si="1"/>
        <v>SUDESTE</v>
      </c>
    </row>
    <row r="1942" ht="14.25" customHeight="1">
      <c r="G1942" s="174" t="s">
        <v>3598</v>
      </c>
      <c r="H1942" s="174" t="s">
        <v>1658</v>
      </c>
      <c r="I1942" s="174" t="str">
        <f t="shared" si="1"/>
        <v>CENTRO OESTE</v>
      </c>
    </row>
    <row r="1943" ht="14.25" customHeight="1">
      <c r="G1943" s="174" t="s">
        <v>3599</v>
      </c>
      <c r="H1943" s="174" t="s">
        <v>1704</v>
      </c>
      <c r="I1943" s="174" t="str">
        <f t="shared" si="1"/>
        <v>NORDESTE</v>
      </c>
    </row>
    <row r="1944" ht="14.25" customHeight="1">
      <c r="G1944" s="174" t="s">
        <v>3600</v>
      </c>
      <c r="H1944" s="174" t="s">
        <v>1706</v>
      </c>
      <c r="I1944" s="174" t="str">
        <f t="shared" si="1"/>
        <v>SUL</v>
      </c>
    </row>
    <row r="1945" ht="14.25" customHeight="1">
      <c r="G1945" s="174" t="s">
        <v>3601</v>
      </c>
      <c r="H1945" s="174" t="s">
        <v>1733</v>
      </c>
      <c r="I1945" s="174" t="str">
        <f t="shared" si="1"/>
        <v>NORDESTE</v>
      </c>
    </row>
    <row r="1946" ht="14.25" customHeight="1">
      <c r="G1946" s="174" t="s">
        <v>3602</v>
      </c>
      <c r="H1946" s="174" t="s">
        <v>1704</v>
      </c>
      <c r="I1946" s="174" t="str">
        <f t="shared" si="1"/>
        <v>NORDESTE</v>
      </c>
    </row>
    <row r="1947" ht="14.25" customHeight="1">
      <c r="G1947" s="174" t="s">
        <v>3603</v>
      </c>
      <c r="H1947" s="174" t="s">
        <v>1704</v>
      </c>
      <c r="I1947" s="174" t="str">
        <f t="shared" si="1"/>
        <v>NORDESTE</v>
      </c>
    </row>
    <row r="1948" ht="14.25" customHeight="1">
      <c r="G1948" s="174" t="s">
        <v>3604</v>
      </c>
      <c r="H1948" s="174" t="s">
        <v>1736</v>
      </c>
      <c r="I1948" s="174" t="str">
        <f t="shared" si="1"/>
        <v>NORTE</v>
      </c>
    </row>
    <row r="1949" ht="14.25" customHeight="1">
      <c r="G1949" s="174" t="s">
        <v>3605</v>
      </c>
      <c r="H1949" s="174" t="s">
        <v>1698</v>
      </c>
      <c r="I1949" s="174" t="str">
        <f t="shared" si="1"/>
        <v>SUDESTE</v>
      </c>
    </row>
    <row r="1950" ht="14.25" customHeight="1">
      <c r="G1950" s="174" t="s">
        <v>3606</v>
      </c>
      <c r="H1950" s="174" t="s">
        <v>1685</v>
      </c>
      <c r="I1950" s="174" t="str">
        <f t="shared" si="1"/>
        <v>NORDESTE</v>
      </c>
    </row>
    <row r="1951" ht="14.25" customHeight="1">
      <c r="G1951" s="174" t="s">
        <v>3607</v>
      </c>
      <c r="H1951" s="174" t="s">
        <v>1704</v>
      </c>
      <c r="I1951" s="174" t="str">
        <f t="shared" si="1"/>
        <v>NORDESTE</v>
      </c>
    </row>
    <row r="1952" ht="14.25" customHeight="1">
      <c r="G1952" s="174" t="s">
        <v>3608</v>
      </c>
      <c r="H1952" s="174" t="s">
        <v>1685</v>
      </c>
      <c r="I1952" s="174" t="str">
        <f t="shared" si="1"/>
        <v>NORDESTE</v>
      </c>
    </row>
    <row r="1953" ht="14.25" customHeight="1">
      <c r="G1953" s="174" t="s">
        <v>3609</v>
      </c>
      <c r="H1953" s="174" t="s">
        <v>1704</v>
      </c>
      <c r="I1953" s="174" t="str">
        <f t="shared" si="1"/>
        <v>NORDESTE</v>
      </c>
    </row>
    <row r="1954" ht="14.25" customHeight="1">
      <c r="G1954" s="174" t="s">
        <v>3610</v>
      </c>
      <c r="H1954" s="174" t="s">
        <v>1704</v>
      </c>
      <c r="I1954" s="174" t="str">
        <f t="shared" si="1"/>
        <v>NORDESTE</v>
      </c>
    </row>
    <row r="1955" ht="14.25" customHeight="1">
      <c r="G1955" s="174" t="s">
        <v>3611</v>
      </c>
      <c r="H1955" s="174" t="s">
        <v>1666</v>
      </c>
      <c r="I1955" s="174" t="str">
        <f t="shared" si="1"/>
        <v>SUDESTE</v>
      </c>
    </row>
    <row r="1956" ht="14.25" customHeight="1">
      <c r="G1956" s="174" t="s">
        <v>3612</v>
      </c>
      <c r="H1956" s="174" t="s">
        <v>1690</v>
      </c>
      <c r="I1956" s="174" t="str">
        <f t="shared" si="1"/>
        <v>NORDESTE</v>
      </c>
    </row>
    <row r="1957" ht="14.25" customHeight="1">
      <c r="G1957" s="174" t="s">
        <v>3613</v>
      </c>
      <c r="H1957" s="174" t="s">
        <v>1704</v>
      </c>
      <c r="I1957" s="174" t="str">
        <f t="shared" si="1"/>
        <v>NORDESTE</v>
      </c>
    </row>
    <row r="1958" ht="14.25" customHeight="1">
      <c r="G1958" s="174" t="s">
        <v>3614</v>
      </c>
      <c r="H1958" s="174" t="s">
        <v>1747</v>
      </c>
      <c r="I1958" s="174" t="str">
        <f t="shared" si="1"/>
        <v>NORDESTE</v>
      </c>
    </row>
    <row r="1959" ht="14.25" customHeight="1">
      <c r="G1959" s="174" t="s">
        <v>3615</v>
      </c>
      <c r="H1959" s="174" t="s">
        <v>1704</v>
      </c>
      <c r="I1959" s="174" t="str">
        <f t="shared" si="1"/>
        <v>NORDESTE</v>
      </c>
    </row>
    <row r="1960" ht="14.25" customHeight="1">
      <c r="G1960" s="174" t="s">
        <v>3616</v>
      </c>
      <c r="H1960" s="174" t="s">
        <v>1742</v>
      </c>
      <c r="I1960" s="174" t="str">
        <f t="shared" si="1"/>
        <v>SUL</v>
      </c>
    </row>
    <row r="1961" ht="14.25" customHeight="1">
      <c r="G1961" s="174" t="s">
        <v>3617</v>
      </c>
      <c r="H1961" s="174" t="s">
        <v>1742</v>
      </c>
      <c r="I1961" s="174" t="str">
        <f t="shared" si="1"/>
        <v>SUL</v>
      </c>
    </row>
    <row r="1962" ht="14.25" customHeight="1">
      <c r="G1962" s="174" t="s">
        <v>3618</v>
      </c>
      <c r="H1962" s="174" t="s">
        <v>1742</v>
      </c>
      <c r="I1962" s="174" t="str">
        <f t="shared" si="1"/>
        <v>SUL</v>
      </c>
    </row>
    <row r="1963" ht="14.25" customHeight="1">
      <c r="G1963" s="174" t="s">
        <v>3619</v>
      </c>
      <c r="H1963" s="174" t="s">
        <v>1702</v>
      </c>
      <c r="I1963" s="174" t="str">
        <f t="shared" si="1"/>
        <v>SUL</v>
      </c>
    </row>
    <row r="1964" ht="14.25" customHeight="1">
      <c r="G1964" s="174" t="s">
        <v>3620</v>
      </c>
      <c r="H1964" s="174" t="s">
        <v>1717</v>
      </c>
      <c r="I1964" s="174" t="str">
        <f t="shared" si="1"/>
        <v>NORDESTE</v>
      </c>
    </row>
    <row r="1965" ht="14.25" customHeight="1">
      <c r="G1965" s="174" t="s">
        <v>3621</v>
      </c>
      <c r="H1965" s="174" t="s">
        <v>1690</v>
      </c>
      <c r="I1965" s="174" t="str">
        <f t="shared" si="1"/>
        <v>NORDESTE</v>
      </c>
    </row>
    <row r="1966" ht="14.25" customHeight="1">
      <c r="G1966" s="174" t="s">
        <v>3622</v>
      </c>
      <c r="H1966" s="174" t="s">
        <v>1690</v>
      </c>
      <c r="I1966" s="174" t="str">
        <f t="shared" si="1"/>
        <v>NORDESTE</v>
      </c>
    </row>
    <row r="1967" ht="14.25" customHeight="1">
      <c r="G1967" s="174" t="s">
        <v>3623</v>
      </c>
      <c r="H1967" s="174" t="s">
        <v>1666</v>
      </c>
      <c r="I1967" s="174" t="str">
        <f t="shared" si="1"/>
        <v>SUDESTE</v>
      </c>
    </row>
    <row r="1968" ht="14.25" customHeight="1">
      <c r="G1968" s="174" t="s">
        <v>3624</v>
      </c>
      <c r="H1968" s="174" t="s">
        <v>1706</v>
      </c>
      <c r="I1968" s="174" t="str">
        <f t="shared" si="1"/>
        <v>SUL</v>
      </c>
    </row>
    <row r="1969" ht="14.25" customHeight="1">
      <c r="G1969" s="174" t="s">
        <v>3625</v>
      </c>
      <c r="H1969" s="174" t="s">
        <v>1717</v>
      </c>
      <c r="I1969" s="174" t="str">
        <f t="shared" si="1"/>
        <v>NORDESTE</v>
      </c>
    </row>
    <row r="1970" ht="14.25" customHeight="1">
      <c r="G1970" s="174" t="s">
        <v>3626</v>
      </c>
      <c r="H1970" s="174" t="s">
        <v>1742</v>
      </c>
      <c r="I1970" s="174" t="str">
        <f t="shared" si="1"/>
        <v>SUL</v>
      </c>
    </row>
    <row r="1971" ht="14.25" customHeight="1">
      <c r="G1971" s="174" t="s">
        <v>3627</v>
      </c>
      <c r="H1971" s="174" t="s">
        <v>1706</v>
      </c>
      <c r="I1971" s="174" t="str">
        <f t="shared" si="1"/>
        <v>SUL</v>
      </c>
    </row>
    <row r="1972" ht="14.25" customHeight="1">
      <c r="G1972" s="174" t="s">
        <v>3628</v>
      </c>
      <c r="H1972" s="174" t="s">
        <v>1690</v>
      </c>
      <c r="I1972" s="174" t="str">
        <f t="shared" si="1"/>
        <v>NORDESTE</v>
      </c>
    </row>
    <row r="1973" ht="14.25" customHeight="1">
      <c r="G1973" s="174" t="s">
        <v>3629</v>
      </c>
      <c r="H1973" s="174" t="s">
        <v>1733</v>
      </c>
      <c r="I1973" s="174" t="str">
        <f t="shared" si="1"/>
        <v>NORDESTE</v>
      </c>
    </row>
    <row r="1974" ht="14.25" customHeight="1">
      <c r="G1974" s="174" t="s">
        <v>3630</v>
      </c>
      <c r="H1974" s="174" t="s">
        <v>1666</v>
      </c>
      <c r="I1974" s="174" t="str">
        <f t="shared" si="1"/>
        <v>SUDESTE</v>
      </c>
    </row>
    <row r="1975" ht="14.25" customHeight="1">
      <c r="G1975" s="174" t="s">
        <v>3631</v>
      </c>
      <c r="H1975" s="174" t="s">
        <v>1742</v>
      </c>
      <c r="I1975" s="174" t="str">
        <f t="shared" si="1"/>
        <v>SUL</v>
      </c>
    </row>
    <row r="1976" ht="14.25" customHeight="1">
      <c r="G1976" s="174" t="s">
        <v>3632</v>
      </c>
      <c r="H1976" s="174" t="s">
        <v>1706</v>
      </c>
      <c r="I1976" s="174" t="str">
        <f t="shared" si="1"/>
        <v>SUL</v>
      </c>
    </row>
    <row r="1977" ht="14.25" customHeight="1">
      <c r="G1977" s="174" t="s">
        <v>3633</v>
      </c>
      <c r="H1977" s="174" t="s">
        <v>1698</v>
      </c>
      <c r="I1977" s="174" t="str">
        <f t="shared" si="1"/>
        <v>SUDESTE</v>
      </c>
    </row>
    <row r="1978" ht="14.25" customHeight="1">
      <c r="G1978" s="174" t="s">
        <v>3634</v>
      </c>
      <c r="H1978" s="174" t="s">
        <v>1725</v>
      </c>
      <c r="I1978" s="174" t="str">
        <f t="shared" si="1"/>
        <v>NORDESTE</v>
      </c>
    </row>
    <row r="1979" ht="14.25" customHeight="1">
      <c r="G1979" s="174" t="s">
        <v>3635</v>
      </c>
      <c r="H1979" s="174" t="s">
        <v>1742</v>
      </c>
      <c r="I1979" s="174" t="str">
        <f t="shared" si="1"/>
        <v>SUL</v>
      </c>
    </row>
    <row r="1980" ht="14.25" customHeight="1">
      <c r="G1980" s="174" t="s">
        <v>3636</v>
      </c>
      <c r="H1980" s="174" t="s">
        <v>1750</v>
      </c>
      <c r="I1980" s="174" t="str">
        <f t="shared" si="1"/>
        <v>SUDESTE</v>
      </c>
    </row>
    <row r="1981" ht="14.25" customHeight="1">
      <c r="G1981" s="174" t="s">
        <v>3637</v>
      </c>
      <c r="H1981" s="174" t="s">
        <v>1750</v>
      </c>
      <c r="I1981" s="174" t="str">
        <f t="shared" si="1"/>
        <v>SUDESTE</v>
      </c>
    </row>
    <row r="1982" ht="14.25" customHeight="1">
      <c r="G1982" s="174" t="s">
        <v>3638</v>
      </c>
      <c r="H1982" s="174" t="s">
        <v>1750</v>
      </c>
      <c r="I1982" s="174" t="str">
        <f t="shared" si="1"/>
        <v>SUDESTE</v>
      </c>
    </row>
    <row r="1983" ht="14.25" customHeight="1">
      <c r="G1983" s="174" t="s">
        <v>3638</v>
      </c>
      <c r="H1983" s="174" t="s">
        <v>1702</v>
      </c>
      <c r="I1983" s="174" t="str">
        <f t="shared" si="1"/>
        <v>SUL</v>
      </c>
    </row>
    <row r="1984" ht="14.25" customHeight="1">
      <c r="G1984" s="174" t="s">
        <v>3639</v>
      </c>
      <c r="H1984" s="174" t="s">
        <v>1702</v>
      </c>
      <c r="I1984" s="174" t="str">
        <f t="shared" si="1"/>
        <v>SUL</v>
      </c>
    </row>
    <row r="1985" ht="14.25" customHeight="1">
      <c r="G1985" s="174" t="s">
        <v>3640</v>
      </c>
      <c r="H1985" s="174" t="s">
        <v>1690</v>
      </c>
      <c r="I1985" s="174" t="str">
        <f t="shared" si="1"/>
        <v>NORDESTE</v>
      </c>
    </row>
    <row r="1986" ht="14.25" customHeight="1">
      <c r="G1986" s="174" t="s">
        <v>3641</v>
      </c>
      <c r="H1986" s="174" t="s">
        <v>1672</v>
      </c>
      <c r="I1986" s="174" t="str">
        <f t="shared" si="1"/>
        <v>NORTE</v>
      </c>
    </row>
    <row r="1987" ht="14.25" customHeight="1">
      <c r="G1987" s="174" t="s">
        <v>3642</v>
      </c>
      <c r="H1987" s="174" t="s">
        <v>1736</v>
      </c>
      <c r="I1987" s="174" t="str">
        <f t="shared" si="1"/>
        <v>NORTE</v>
      </c>
    </row>
    <row r="1988" ht="14.25" customHeight="1">
      <c r="G1988" s="174" t="s">
        <v>3643</v>
      </c>
      <c r="H1988" s="174" t="s">
        <v>1685</v>
      </c>
      <c r="I1988" s="174" t="str">
        <f t="shared" si="1"/>
        <v>NORDESTE</v>
      </c>
    </row>
    <row r="1989" ht="14.25" customHeight="1">
      <c r="G1989" s="174" t="s">
        <v>3644</v>
      </c>
      <c r="H1989" s="174" t="s">
        <v>1733</v>
      </c>
      <c r="I1989" s="174" t="str">
        <f t="shared" si="1"/>
        <v>NORDESTE</v>
      </c>
    </row>
    <row r="1990" ht="14.25" customHeight="1">
      <c r="G1990" s="174" t="s">
        <v>3645</v>
      </c>
      <c r="H1990" s="174" t="s">
        <v>1702</v>
      </c>
      <c r="I1990" s="174" t="str">
        <f t="shared" si="1"/>
        <v>SUL</v>
      </c>
    </row>
    <row r="1991" ht="14.25" customHeight="1">
      <c r="G1991" s="174" t="s">
        <v>3646</v>
      </c>
      <c r="H1991" s="174" t="s">
        <v>1685</v>
      </c>
      <c r="I1991" s="174" t="str">
        <f t="shared" si="1"/>
        <v>NORDESTE</v>
      </c>
    </row>
    <row r="1992" ht="14.25" customHeight="1">
      <c r="G1992" s="174" t="s">
        <v>3647</v>
      </c>
      <c r="H1992" s="174" t="s">
        <v>1666</v>
      </c>
      <c r="I1992" s="174" t="str">
        <f t="shared" si="1"/>
        <v>SUDESTE</v>
      </c>
    </row>
    <row r="1993" ht="14.25" customHeight="1">
      <c r="G1993" s="174" t="s">
        <v>3648</v>
      </c>
      <c r="H1993" s="174" t="s">
        <v>1666</v>
      </c>
      <c r="I1993" s="174" t="str">
        <f t="shared" si="1"/>
        <v>SUDESTE</v>
      </c>
    </row>
    <row r="1994" ht="14.25" customHeight="1">
      <c r="G1994" s="174" t="s">
        <v>3649</v>
      </c>
      <c r="H1994" s="174" t="s">
        <v>1750</v>
      </c>
      <c r="I1994" s="174" t="str">
        <f t="shared" si="1"/>
        <v>SUDESTE</v>
      </c>
    </row>
    <row r="1995" ht="14.25" customHeight="1">
      <c r="G1995" s="174" t="s">
        <v>3650</v>
      </c>
      <c r="H1995" s="174" t="s">
        <v>1750</v>
      </c>
      <c r="I1995" s="174" t="str">
        <f t="shared" si="1"/>
        <v>SUDESTE</v>
      </c>
    </row>
    <row r="1996" ht="14.25" customHeight="1">
      <c r="G1996" s="174" t="s">
        <v>3651</v>
      </c>
      <c r="H1996" s="174" t="s">
        <v>1730</v>
      </c>
      <c r="I1996" s="174" t="str">
        <f t="shared" si="1"/>
        <v>SUDESTE</v>
      </c>
    </row>
    <row r="1997" ht="14.25" customHeight="1">
      <c r="G1997" s="174" t="s">
        <v>3652</v>
      </c>
      <c r="H1997" s="174" t="s">
        <v>1702</v>
      </c>
      <c r="I1997" s="174" t="str">
        <f t="shared" si="1"/>
        <v>SUL</v>
      </c>
    </row>
    <row r="1998" ht="14.25" customHeight="1">
      <c r="G1998" s="174" t="s">
        <v>3653</v>
      </c>
      <c r="H1998" s="174" t="s">
        <v>1658</v>
      </c>
      <c r="I1998" s="174" t="str">
        <f t="shared" si="1"/>
        <v>CENTRO OESTE</v>
      </c>
    </row>
    <row r="1999" ht="14.25" customHeight="1">
      <c r="G1999" s="174" t="s">
        <v>3654</v>
      </c>
      <c r="H1999" s="174" t="s">
        <v>1742</v>
      </c>
      <c r="I1999" s="174" t="str">
        <f t="shared" si="1"/>
        <v>SUL</v>
      </c>
    </row>
    <row r="2000" ht="14.25" customHeight="1">
      <c r="G2000" s="174" t="s">
        <v>3655</v>
      </c>
      <c r="H2000" s="174" t="s">
        <v>1702</v>
      </c>
      <c r="I2000" s="174" t="str">
        <f t="shared" si="1"/>
        <v>SUL</v>
      </c>
    </row>
    <row r="2001" ht="14.25" customHeight="1">
      <c r="G2001" s="174" t="s">
        <v>3656</v>
      </c>
      <c r="H2001" s="174" t="s">
        <v>1750</v>
      </c>
      <c r="I2001" s="174" t="str">
        <f t="shared" si="1"/>
        <v>SUDESTE</v>
      </c>
    </row>
    <row r="2002" ht="14.25" customHeight="1">
      <c r="G2002" s="174" t="s">
        <v>3657</v>
      </c>
      <c r="H2002" s="174" t="s">
        <v>1719</v>
      </c>
      <c r="I2002" s="174" t="str">
        <f t="shared" si="1"/>
        <v>NORDESTE</v>
      </c>
    </row>
    <row r="2003" ht="14.25" customHeight="1">
      <c r="G2003" s="174" t="s">
        <v>3658</v>
      </c>
      <c r="H2003" s="174" t="s">
        <v>1750</v>
      </c>
      <c r="I2003" s="174" t="str">
        <f t="shared" si="1"/>
        <v>SUDESTE</v>
      </c>
    </row>
    <row r="2004" ht="14.25" customHeight="1">
      <c r="G2004" s="174" t="s">
        <v>3659</v>
      </c>
      <c r="H2004" s="174" t="s">
        <v>1750</v>
      </c>
      <c r="I2004" s="174" t="str">
        <f t="shared" si="1"/>
        <v>SUDESTE</v>
      </c>
    </row>
    <row r="2005" ht="14.25" customHeight="1">
      <c r="G2005" s="174" t="s">
        <v>3659</v>
      </c>
      <c r="H2005" s="174" t="s">
        <v>1702</v>
      </c>
      <c r="I2005" s="174" t="str">
        <f t="shared" si="1"/>
        <v>SUL</v>
      </c>
    </row>
    <row r="2006" ht="14.25" customHeight="1">
      <c r="G2006" s="174" t="s">
        <v>3660</v>
      </c>
      <c r="H2006" s="174" t="s">
        <v>1666</v>
      </c>
      <c r="I2006" s="174" t="str">
        <f t="shared" si="1"/>
        <v>SUDESTE</v>
      </c>
    </row>
    <row r="2007" ht="14.25" customHeight="1">
      <c r="G2007" s="174" t="s">
        <v>3660</v>
      </c>
      <c r="H2007" s="174" t="s">
        <v>1706</v>
      </c>
      <c r="I2007" s="174" t="str">
        <f t="shared" si="1"/>
        <v>SUL</v>
      </c>
    </row>
    <row r="2008" ht="14.25" customHeight="1">
      <c r="G2008" s="174" t="s">
        <v>3661</v>
      </c>
      <c r="H2008" s="174" t="s">
        <v>1690</v>
      </c>
      <c r="I2008" s="174" t="str">
        <f t="shared" si="1"/>
        <v>NORDESTE</v>
      </c>
    </row>
    <row r="2009" ht="14.25" customHeight="1">
      <c r="G2009" s="174" t="s">
        <v>3662</v>
      </c>
      <c r="H2009" s="174" t="s">
        <v>1666</v>
      </c>
      <c r="I2009" s="174" t="str">
        <f t="shared" si="1"/>
        <v>SUDESTE</v>
      </c>
    </row>
    <row r="2010" ht="14.25" customHeight="1">
      <c r="G2010" s="174" t="s">
        <v>3663</v>
      </c>
      <c r="H2010" s="174" t="s">
        <v>1721</v>
      </c>
      <c r="I2010" s="174" t="str">
        <f t="shared" si="1"/>
        <v>NORTE</v>
      </c>
    </row>
    <row r="2011" ht="14.25" customHeight="1">
      <c r="G2011" s="174" t="s">
        <v>3664</v>
      </c>
      <c r="H2011" s="174" t="s">
        <v>1658</v>
      </c>
      <c r="I2011" s="174" t="str">
        <f t="shared" si="1"/>
        <v>CENTRO OESTE</v>
      </c>
    </row>
    <row r="2012" ht="14.25" customHeight="1">
      <c r="G2012" s="174" t="s">
        <v>3665</v>
      </c>
      <c r="H2012" s="174" t="s">
        <v>1690</v>
      </c>
      <c r="I2012" s="174" t="str">
        <f t="shared" si="1"/>
        <v>NORDESTE</v>
      </c>
    </row>
    <row r="2013" ht="14.25" customHeight="1">
      <c r="G2013" s="174" t="s">
        <v>3666</v>
      </c>
      <c r="H2013" s="174" t="s">
        <v>1706</v>
      </c>
      <c r="I2013" s="174" t="str">
        <f t="shared" si="1"/>
        <v>SUL</v>
      </c>
    </row>
    <row r="2014" ht="14.25" customHeight="1">
      <c r="G2014" s="174" t="s">
        <v>3667</v>
      </c>
      <c r="H2014" s="174" t="s">
        <v>1666</v>
      </c>
      <c r="I2014" s="174" t="str">
        <f t="shared" si="1"/>
        <v>SUDESTE</v>
      </c>
    </row>
    <row r="2015" ht="14.25" customHeight="1">
      <c r="G2015" s="174" t="s">
        <v>3668</v>
      </c>
      <c r="H2015" s="174" t="s">
        <v>1666</v>
      </c>
      <c r="I2015" s="174" t="str">
        <f t="shared" si="1"/>
        <v>SUDESTE</v>
      </c>
    </row>
    <row r="2016" ht="14.25" customHeight="1">
      <c r="G2016" s="174" t="s">
        <v>3669</v>
      </c>
      <c r="H2016" s="174" t="s">
        <v>1750</v>
      </c>
      <c r="I2016" s="174" t="str">
        <f t="shared" si="1"/>
        <v>SUDESTE</v>
      </c>
    </row>
    <row r="2017" ht="14.25" customHeight="1">
      <c r="G2017" s="174" t="s">
        <v>3670</v>
      </c>
      <c r="H2017" s="174" t="s">
        <v>1742</v>
      </c>
      <c r="I2017" s="174" t="str">
        <f t="shared" si="1"/>
        <v>SUL</v>
      </c>
    </row>
    <row r="2018" ht="14.25" customHeight="1">
      <c r="G2018" s="174" t="s">
        <v>3671</v>
      </c>
      <c r="H2018" s="174" t="s">
        <v>1658</v>
      </c>
      <c r="I2018" s="174" t="str">
        <f t="shared" si="1"/>
        <v>CENTRO OESTE</v>
      </c>
    </row>
    <row r="2019" ht="14.25" customHeight="1">
      <c r="G2019" s="174" t="s">
        <v>3672</v>
      </c>
      <c r="H2019" s="174" t="s">
        <v>1702</v>
      </c>
      <c r="I2019" s="174" t="str">
        <f t="shared" si="1"/>
        <v>SUL</v>
      </c>
    </row>
    <row r="2020" ht="14.25" customHeight="1">
      <c r="G2020" s="174" t="s">
        <v>3673</v>
      </c>
      <c r="H2020" s="174" t="s">
        <v>1750</v>
      </c>
      <c r="I2020" s="174" t="str">
        <f t="shared" si="1"/>
        <v>SUDESTE</v>
      </c>
    </row>
    <row r="2021" ht="14.25" customHeight="1">
      <c r="G2021" s="174" t="s">
        <v>3674</v>
      </c>
      <c r="H2021" s="174" t="s">
        <v>1713</v>
      </c>
      <c r="I2021" s="174" t="str">
        <f t="shared" si="1"/>
        <v>CENTRO OESTE</v>
      </c>
    </row>
    <row r="2022" ht="14.25" customHeight="1">
      <c r="G2022" s="174" t="s">
        <v>3675</v>
      </c>
      <c r="H2022" s="174" t="s">
        <v>1698</v>
      </c>
      <c r="I2022" s="174" t="str">
        <f t="shared" si="1"/>
        <v>SUDESTE</v>
      </c>
    </row>
    <row r="2023" ht="14.25" customHeight="1">
      <c r="G2023" s="174" t="s">
        <v>3676</v>
      </c>
      <c r="H2023" s="174" t="s">
        <v>1702</v>
      </c>
      <c r="I2023" s="174" t="str">
        <f t="shared" si="1"/>
        <v>SUL</v>
      </c>
    </row>
    <row r="2024" ht="14.25" customHeight="1">
      <c r="G2024" s="174" t="s">
        <v>3677</v>
      </c>
      <c r="H2024" s="174" t="s">
        <v>1702</v>
      </c>
      <c r="I2024" s="174" t="str">
        <f t="shared" si="1"/>
        <v>SUL</v>
      </c>
    </row>
    <row r="2025" ht="14.25" customHeight="1">
      <c r="G2025" s="174" t="s">
        <v>3678</v>
      </c>
      <c r="H2025" s="174" t="s">
        <v>1666</v>
      </c>
      <c r="I2025" s="174" t="str">
        <f t="shared" si="1"/>
        <v>SUDESTE</v>
      </c>
    </row>
    <row r="2026" ht="14.25" customHeight="1">
      <c r="G2026" s="174" t="s">
        <v>3679</v>
      </c>
      <c r="H2026" s="174" t="s">
        <v>1750</v>
      </c>
      <c r="I2026" s="174" t="str">
        <f t="shared" si="1"/>
        <v>SUDESTE</v>
      </c>
    </row>
    <row r="2027" ht="14.25" customHeight="1">
      <c r="G2027" s="174" t="s">
        <v>3680</v>
      </c>
      <c r="H2027" s="174" t="s">
        <v>1750</v>
      </c>
      <c r="I2027" s="174" t="str">
        <f t="shared" si="1"/>
        <v>SUDESTE</v>
      </c>
    </row>
    <row r="2028" ht="14.25" customHeight="1">
      <c r="G2028" s="174" t="s">
        <v>3681</v>
      </c>
      <c r="H2028" s="174" t="s">
        <v>1685</v>
      </c>
      <c r="I2028" s="174" t="str">
        <f t="shared" si="1"/>
        <v>NORDESTE</v>
      </c>
    </row>
    <row r="2029" ht="14.25" customHeight="1">
      <c r="G2029" s="174" t="s">
        <v>3682</v>
      </c>
      <c r="H2029" s="174" t="s">
        <v>1750</v>
      </c>
      <c r="I2029" s="174" t="str">
        <f t="shared" si="1"/>
        <v>SUDESTE</v>
      </c>
    </row>
    <row r="2030" ht="14.25" customHeight="1">
      <c r="G2030" s="174" t="s">
        <v>3683</v>
      </c>
      <c r="H2030" s="174" t="s">
        <v>1702</v>
      </c>
      <c r="I2030" s="174" t="str">
        <f t="shared" si="1"/>
        <v>SUL</v>
      </c>
    </row>
    <row r="2031" ht="14.25" customHeight="1">
      <c r="G2031" s="174" t="s">
        <v>3684</v>
      </c>
      <c r="H2031" s="174" t="s">
        <v>1666</v>
      </c>
      <c r="I2031" s="174" t="str">
        <f t="shared" si="1"/>
        <v>SUDESTE</v>
      </c>
    </row>
    <row r="2032" ht="14.25" customHeight="1">
      <c r="G2032" s="174" t="s">
        <v>3685</v>
      </c>
      <c r="H2032" s="174" t="s">
        <v>1750</v>
      </c>
      <c r="I2032" s="174" t="str">
        <f t="shared" si="1"/>
        <v>SUDESTE</v>
      </c>
    </row>
    <row r="2033" ht="14.25" customHeight="1">
      <c r="G2033" s="174" t="s">
        <v>3686</v>
      </c>
      <c r="H2033" s="174" t="s">
        <v>1750</v>
      </c>
      <c r="I2033" s="174" t="str">
        <f t="shared" si="1"/>
        <v>SUDESTE</v>
      </c>
    </row>
    <row r="2034" ht="14.25" customHeight="1">
      <c r="G2034" s="174" t="s">
        <v>3687</v>
      </c>
      <c r="H2034" s="174" t="s">
        <v>1725</v>
      </c>
      <c r="I2034" s="174" t="str">
        <f t="shared" si="1"/>
        <v>NORDESTE</v>
      </c>
    </row>
    <row r="2035" ht="14.25" customHeight="1">
      <c r="G2035" s="174" t="s">
        <v>3688</v>
      </c>
      <c r="H2035" s="174" t="s">
        <v>1658</v>
      </c>
      <c r="I2035" s="174" t="str">
        <f t="shared" si="1"/>
        <v>CENTRO OESTE</v>
      </c>
    </row>
    <row r="2036" ht="14.25" customHeight="1">
      <c r="G2036" s="174" t="s">
        <v>3689</v>
      </c>
      <c r="H2036" s="174" t="s">
        <v>1750</v>
      </c>
      <c r="I2036" s="174" t="str">
        <f t="shared" si="1"/>
        <v>SUDESTE</v>
      </c>
    </row>
    <row r="2037" ht="14.25" customHeight="1">
      <c r="G2037" s="174" t="s">
        <v>3690</v>
      </c>
      <c r="H2037" s="174" t="s">
        <v>1706</v>
      </c>
      <c r="I2037" s="174" t="str">
        <f t="shared" si="1"/>
        <v>SUL</v>
      </c>
    </row>
    <row r="2038" ht="14.25" customHeight="1">
      <c r="G2038" s="174" t="s">
        <v>3691</v>
      </c>
      <c r="H2038" s="174" t="s">
        <v>1750</v>
      </c>
      <c r="I2038" s="174" t="str">
        <f t="shared" si="1"/>
        <v>SUDESTE</v>
      </c>
    </row>
    <row r="2039" ht="14.25" customHeight="1">
      <c r="G2039" s="174" t="s">
        <v>3692</v>
      </c>
      <c r="H2039" s="174" t="s">
        <v>1706</v>
      </c>
      <c r="I2039" s="174" t="str">
        <f t="shared" si="1"/>
        <v>SUL</v>
      </c>
    </row>
    <row r="2040" ht="14.25" customHeight="1">
      <c r="G2040" s="174" t="s">
        <v>3693</v>
      </c>
      <c r="H2040" s="174" t="s">
        <v>1750</v>
      </c>
      <c r="I2040" s="174" t="str">
        <f t="shared" si="1"/>
        <v>SUDESTE</v>
      </c>
    </row>
    <row r="2041" ht="14.25" customHeight="1">
      <c r="G2041" s="174" t="s">
        <v>3694</v>
      </c>
      <c r="H2041" s="174" t="s">
        <v>1666</v>
      </c>
      <c r="I2041" s="174" t="str">
        <f t="shared" si="1"/>
        <v>SUDESTE</v>
      </c>
    </row>
    <row r="2042" ht="14.25" customHeight="1">
      <c r="G2042" s="174" t="s">
        <v>3695</v>
      </c>
      <c r="H2042" s="174" t="s">
        <v>1710</v>
      </c>
      <c r="I2042" s="174" t="str">
        <f t="shared" si="1"/>
        <v>CENTRO OESTE</v>
      </c>
    </row>
    <row r="2043" ht="14.25" customHeight="1">
      <c r="G2043" s="174" t="s">
        <v>3696</v>
      </c>
      <c r="H2043" s="174" t="s">
        <v>1666</v>
      </c>
      <c r="I2043" s="174" t="str">
        <f t="shared" si="1"/>
        <v>SUDESTE</v>
      </c>
    </row>
    <row r="2044" ht="14.25" customHeight="1">
      <c r="G2044" s="174" t="s">
        <v>3697</v>
      </c>
      <c r="H2044" s="174" t="s">
        <v>1704</v>
      </c>
      <c r="I2044" s="174" t="str">
        <f t="shared" si="1"/>
        <v>NORDESTE</v>
      </c>
    </row>
    <row r="2045" ht="14.25" customHeight="1">
      <c r="G2045" s="174" t="s">
        <v>3698</v>
      </c>
      <c r="H2045" s="174" t="s">
        <v>1666</v>
      </c>
      <c r="I2045" s="174" t="str">
        <f t="shared" si="1"/>
        <v>SUDESTE</v>
      </c>
    </row>
    <row r="2046" ht="14.25" customHeight="1">
      <c r="G2046" s="174" t="s">
        <v>3699</v>
      </c>
      <c r="H2046" s="174" t="s">
        <v>1713</v>
      </c>
      <c r="I2046" s="174" t="str">
        <f t="shared" si="1"/>
        <v>CENTRO OESTE</v>
      </c>
    </row>
    <row r="2047" ht="14.25" customHeight="1">
      <c r="G2047" s="174" t="s">
        <v>3700</v>
      </c>
      <c r="H2047" s="174" t="s">
        <v>1666</v>
      </c>
      <c r="I2047" s="174" t="str">
        <f t="shared" si="1"/>
        <v>SUDESTE</v>
      </c>
    </row>
    <row r="2048" ht="14.25" customHeight="1">
      <c r="G2048" s="174" t="s">
        <v>3701</v>
      </c>
      <c r="H2048" s="174" t="s">
        <v>1666</v>
      </c>
      <c r="I2048" s="174" t="str">
        <f t="shared" si="1"/>
        <v>SUDESTE</v>
      </c>
    </row>
    <row r="2049" ht="14.25" customHeight="1">
      <c r="G2049" s="174" t="s">
        <v>3702</v>
      </c>
      <c r="H2049" s="174" t="s">
        <v>1719</v>
      </c>
      <c r="I2049" s="174" t="str">
        <f t="shared" si="1"/>
        <v>NORDESTE</v>
      </c>
    </row>
    <row r="2050" ht="14.25" customHeight="1">
      <c r="G2050" s="174" t="s">
        <v>3703</v>
      </c>
      <c r="H2050" s="174" t="s">
        <v>1719</v>
      </c>
      <c r="I2050" s="174" t="str">
        <f t="shared" si="1"/>
        <v>NORDESTE</v>
      </c>
    </row>
    <row r="2051" ht="14.25" customHeight="1">
      <c r="G2051" s="174" t="s">
        <v>3704</v>
      </c>
      <c r="H2051" s="174" t="s">
        <v>1687</v>
      </c>
      <c r="I2051" s="174" t="str">
        <f t="shared" si="1"/>
        <v>NORTE</v>
      </c>
    </row>
    <row r="2052" ht="14.25" customHeight="1">
      <c r="G2052" s="174" t="s">
        <v>3705</v>
      </c>
      <c r="H2052" s="174" t="s">
        <v>1721</v>
      </c>
      <c r="I2052" s="174" t="str">
        <f t="shared" si="1"/>
        <v>NORTE</v>
      </c>
    </row>
    <row r="2053" ht="14.25" customHeight="1">
      <c r="G2053" s="174" t="s">
        <v>3706</v>
      </c>
      <c r="H2053" s="174" t="s">
        <v>1750</v>
      </c>
      <c r="I2053" s="174" t="str">
        <f t="shared" si="1"/>
        <v>SUDESTE</v>
      </c>
    </row>
    <row r="2054" ht="14.25" customHeight="1">
      <c r="G2054" s="174" t="s">
        <v>3707</v>
      </c>
      <c r="H2054" s="174" t="s">
        <v>1742</v>
      </c>
      <c r="I2054" s="174" t="str">
        <f t="shared" si="1"/>
        <v>SUL</v>
      </c>
    </row>
    <row r="2055" ht="14.25" customHeight="1">
      <c r="G2055" s="174" t="s">
        <v>3708</v>
      </c>
      <c r="H2055" s="174" t="s">
        <v>1658</v>
      </c>
      <c r="I2055" s="174" t="str">
        <f t="shared" si="1"/>
        <v>CENTRO OESTE</v>
      </c>
    </row>
    <row r="2056" ht="14.25" customHeight="1">
      <c r="G2056" s="174" t="s">
        <v>3709</v>
      </c>
      <c r="H2056" s="174" t="s">
        <v>1666</v>
      </c>
      <c r="I2056" s="174" t="str">
        <f t="shared" si="1"/>
        <v>SUDESTE</v>
      </c>
    </row>
    <row r="2057" ht="14.25" customHeight="1">
      <c r="G2057" s="174" t="s">
        <v>3710</v>
      </c>
      <c r="H2057" s="174" t="s">
        <v>1685</v>
      </c>
      <c r="I2057" s="174" t="str">
        <f t="shared" si="1"/>
        <v>NORDESTE</v>
      </c>
    </row>
    <row r="2058" ht="14.25" customHeight="1">
      <c r="G2058" s="174" t="s">
        <v>3711</v>
      </c>
      <c r="H2058" s="174" t="s">
        <v>1750</v>
      </c>
      <c r="I2058" s="174" t="str">
        <f t="shared" si="1"/>
        <v>SUDESTE</v>
      </c>
    </row>
    <row r="2059" ht="14.25" customHeight="1">
      <c r="G2059" s="174" t="s">
        <v>3712</v>
      </c>
      <c r="H2059" s="174" t="s">
        <v>1742</v>
      </c>
      <c r="I2059" s="174" t="str">
        <f t="shared" si="1"/>
        <v>SUL</v>
      </c>
    </row>
    <row r="2060" ht="14.25" customHeight="1">
      <c r="G2060" s="174" t="s">
        <v>3713</v>
      </c>
      <c r="H2060" s="174" t="s">
        <v>1706</v>
      </c>
      <c r="I2060" s="174" t="str">
        <f t="shared" si="1"/>
        <v>SUL</v>
      </c>
    </row>
    <row r="2061" ht="14.25" customHeight="1">
      <c r="G2061" s="174" t="s">
        <v>3714</v>
      </c>
      <c r="H2061" s="174" t="s">
        <v>1742</v>
      </c>
      <c r="I2061" s="174" t="str">
        <f t="shared" si="1"/>
        <v>SUL</v>
      </c>
    </row>
    <row r="2062" ht="14.25" customHeight="1">
      <c r="G2062" s="174" t="s">
        <v>3715</v>
      </c>
      <c r="H2062" s="174" t="s">
        <v>1690</v>
      </c>
      <c r="I2062" s="174" t="str">
        <f t="shared" si="1"/>
        <v>NORDESTE</v>
      </c>
    </row>
    <row r="2063" ht="14.25" customHeight="1">
      <c r="G2063" s="174" t="s">
        <v>3715</v>
      </c>
      <c r="H2063" s="174" t="s">
        <v>1658</v>
      </c>
      <c r="I2063" s="174" t="str">
        <f t="shared" si="1"/>
        <v>CENTRO OESTE</v>
      </c>
    </row>
    <row r="2064" ht="14.25" customHeight="1">
      <c r="G2064" s="174" t="s">
        <v>3716</v>
      </c>
      <c r="H2064" s="174" t="s">
        <v>1658</v>
      </c>
      <c r="I2064" s="174" t="str">
        <f t="shared" si="1"/>
        <v>CENTRO OESTE</v>
      </c>
    </row>
    <row r="2065" ht="14.25" customHeight="1">
      <c r="G2065" s="174" t="s">
        <v>3717</v>
      </c>
      <c r="H2065" s="174" t="s">
        <v>1750</v>
      </c>
      <c r="I2065" s="174" t="str">
        <f t="shared" si="1"/>
        <v>SUDESTE</v>
      </c>
    </row>
    <row r="2066" ht="14.25" customHeight="1">
      <c r="G2066" s="174" t="s">
        <v>3718</v>
      </c>
      <c r="H2066" s="174" t="s">
        <v>1702</v>
      </c>
      <c r="I2066" s="174" t="str">
        <f t="shared" si="1"/>
        <v>SUL</v>
      </c>
    </row>
    <row r="2067" ht="14.25" customHeight="1">
      <c r="G2067" s="174" t="s">
        <v>3719</v>
      </c>
      <c r="H2067" s="174" t="s">
        <v>1690</v>
      </c>
      <c r="I2067" s="174" t="str">
        <f t="shared" si="1"/>
        <v>NORDESTE</v>
      </c>
    </row>
    <row r="2068" ht="14.25" customHeight="1">
      <c r="G2068" s="174" t="s">
        <v>3720</v>
      </c>
      <c r="H2068" s="174" t="s">
        <v>1742</v>
      </c>
      <c r="I2068" s="174" t="str">
        <f t="shared" si="1"/>
        <v>SUL</v>
      </c>
    </row>
    <row r="2069" ht="14.25" customHeight="1">
      <c r="G2069" s="174" t="s">
        <v>3721</v>
      </c>
      <c r="H2069" s="174" t="s">
        <v>1750</v>
      </c>
      <c r="I2069" s="174" t="str">
        <f t="shared" si="1"/>
        <v>SUDESTE</v>
      </c>
    </row>
    <row r="2070" ht="14.25" customHeight="1">
      <c r="G2070" s="174" t="s">
        <v>3722</v>
      </c>
      <c r="H2070" s="174" t="s">
        <v>1725</v>
      </c>
      <c r="I2070" s="174" t="str">
        <f t="shared" si="1"/>
        <v>NORDESTE</v>
      </c>
    </row>
    <row r="2071" ht="14.25" customHeight="1">
      <c r="G2071" s="174" t="s">
        <v>3723</v>
      </c>
      <c r="H2071" s="174" t="s">
        <v>1742</v>
      </c>
      <c r="I2071" s="174" t="str">
        <f t="shared" si="1"/>
        <v>SUL</v>
      </c>
    </row>
    <row r="2072" ht="14.25" customHeight="1">
      <c r="G2072" s="174" t="s">
        <v>3724</v>
      </c>
      <c r="H2072" s="174" t="s">
        <v>1672</v>
      </c>
      <c r="I2072" s="174" t="str">
        <f t="shared" si="1"/>
        <v>NORTE</v>
      </c>
    </row>
    <row r="2073" ht="14.25" customHeight="1">
      <c r="G2073" s="174" t="s">
        <v>3724</v>
      </c>
      <c r="H2073" s="174" t="s">
        <v>1742</v>
      </c>
      <c r="I2073" s="174" t="str">
        <f t="shared" si="1"/>
        <v>SUL</v>
      </c>
    </row>
    <row r="2074" ht="14.25" customHeight="1">
      <c r="G2074" s="174" t="s">
        <v>3725</v>
      </c>
      <c r="H2074" s="174" t="s">
        <v>1704</v>
      </c>
      <c r="I2074" s="174" t="str">
        <f t="shared" si="1"/>
        <v>NORDESTE</v>
      </c>
    </row>
    <row r="2075" ht="14.25" customHeight="1">
      <c r="G2075" s="174" t="s">
        <v>3726</v>
      </c>
      <c r="H2075" s="174" t="s">
        <v>1750</v>
      </c>
      <c r="I2075" s="174" t="str">
        <f t="shared" si="1"/>
        <v>SUDESTE</v>
      </c>
    </row>
    <row r="2076" ht="14.25" customHeight="1">
      <c r="G2076" s="174" t="s">
        <v>3727</v>
      </c>
      <c r="H2076" s="174" t="s">
        <v>1658</v>
      </c>
      <c r="I2076" s="174" t="str">
        <f t="shared" si="1"/>
        <v>CENTRO OESTE</v>
      </c>
    </row>
    <row r="2077" ht="14.25" customHeight="1">
      <c r="G2077" s="174" t="s">
        <v>3728</v>
      </c>
      <c r="H2077" s="174" t="s">
        <v>1750</v>
      </c>
      <c r="I2077" s="174" t="str">
        <f t="shared" si="1"/>
        <v>SUDESTE</v>
      </c>
    </row>
    <row r="2078" ht="14.25" customHeight="1">
      <c r="G2078" s="174" t="s">
        <v>3729</v>
      </c>
      <c r="H2078" s="174" t="s">
        <v>1685</v>
      </c>
      <c r="I2078" s="174" t="str">
        <f t="shared" si="1"/>
        <v>NORDESTE</v>
      </c>
    </row>
    <row r="2079" ht="14.25" customHeight="1">
      <c r="G2079" s="174" t="s">
        <v>3730</v>
      </c>
      <c r="H2079" s="174" t="s">
        <v>1666</v>
      </c>
      <c r="I2079" s="174" t="str">
        <f t="shared" si="1"/>
        <v>SUDESTE</v>
      </c>
    </row>
    <row r="2080" ht="14.25" customHeight="1">
      <c r="G2080" s="174" t="s">
        <v>3731</v>
      </c>
      <c r="H2080" s="174" t="s">
        <v>1750</v>
      </c>
      <c r="I2080" s="174" t="str">
        <f t="shared" si="1"/>
        <v>SUDESTE</v>
      </c>
    </row>
    <row r="2081" ht="14.25" customHeight="1">
      <c r="G2081" s="174" t="s">
        <v>3732</v>
      </c>
      <c r="H2081" s="174" t="s">
        <v>1717</v>
      </c>
      <c r="I2081" s="174" t="str">
        <f t="shared" si="1"/>
        <v>NORDESTE</v>
      </c>
    </row>
    <row r="2082" ht="14.25" customHeight="1">
      <c r="G2082" s="174" t="s">
        <v>3733</v>
      </c>
      <c r="H2082" s="174" t="s">
        <v>1702</v>
      </c>
      <c r="I2082" s="174" t="str">
        <f t="shared" si="1"/>
        <v>SUL</v>
      </c>
    </row>
    <row r="2083" ht="14.25" customHeight="1">
      <c r="G2083" s="174" t="s">
        <v>3734</v>
      </c>
      <c r="H2083" s="174" t="s">
        <v>1742</v>
      </c>
      <c r="I2083" s="174" t="str">
        <f t="shared" si="1"/>
        <v>SUL</v>
      </c>
    </row>
    <row r="2084" ht="14.25" customHeight="1">
      <c r="G2084" s="174" t="s">
        <v>3735</v>
      </c>
      <c r="H2084" s="174" t="s">
        <v>1690</v>
      </c>
      <c r="I2084" s="174" t="str">
        <f t="shared" si="1"/>
        <v>NORDESTE</v>
      </c>
    </row>
    <row r="2085" ht="14.25" customHeight="1">
      <c r="G2085" s="174" t="s">
        <v>3736</v>
      </c>
      <c r="H2085" s="174" t="s">
        <v>1750</v>
      </c>
      <c r="I2085" s="174" t="str">
        <f t="shared" si="1"/>
        <v>SUDESTE</v>
      </c>
    </row>
    <row r="2086" ht="14.25" customHeight="1">
      <c r="G2086" s="174" t="s">
        <v>3737</v>
      </c>
      <c r="H2086" s="174" t="s">
        <v>1664</v>
      </c>
      <c r="I2086" s="174" t="str">
        <f t="shared" si="1"/>
        <v>NORDESTE</v>
      </c>
    </row>
    <row r="2087" ht="14.25" customHeight="1">
      <c r="G2087" s="174" t="s">
        <v>3738</v>
      </c>
      <c r="H2087" s="174" t="s">
        <v>1698</v>
      </c>
      <c r="I2087" s="174" t="str">
        <f t="shared" si="1"/>
        <v>SUDESTE</v>
      </c>
    </row>
    <row r="2088" ht="14.25" customHeight="1">
      <c r="G2088" s="174" t="s">
        <v>3739</v>
      </c>
      <c r="H2088" s="174" t="s">
        <v>1702</v>
      </c>
      <c r="I2088" s="174" t="str">
        <f t="shared" si="1"/>
        <v>SUL</v>
      </c>
    </row>
    <row r="2089" ht="14.25" customHeight="1">
      <c r="G2089" s="174" t="s">
        <v>3740</v>
      </c>
      <c r="H2089" s="174" t="s">
        <v>1666</v>
      </c>
      <c r="I2089" s="174" t="str">
        <f t="shared" si="1"/>
        <v>SUDESTE</v>
      </c>
    </row>
    <row r="2090" ht="14.25" customHeight="1">
      <c r="G2090" s="174" t="s">
        <v>3741</v>
      </c>
      <c r="H2090" s="174" t="s">
        <v>1666</v>
      </c>
      <c r="I2090" s="174" t="str">
        <f t="shared" si="1"/>
        <v>SUDESTE</v>
      </c>
    </row>
    <row r="2091" ht="14.25" customHeight="1">
      <c r="G2091" s="174" t="s">
        <v>3742</v>
      </c>
      <c r="H2091" s="174" t="s">
        <v>1742</v>
      </c>
      <c r="I2091" s="174" t="str">
        <f t="shared" si="1"/>
        <v>SUL</v>
      </c>
    </row>
    <row r="2092" ht="14.25" customHeight="1">
      <c r="G2092" s="174" t="s">
        <v>3743</v>
      </c>
      <c r="H2092" s="174" t="s">
        <v>1666</v>
      </c>
      <c r="I2092" s="174" t="str">
        <f t="shared" si="1"/>
        <v>SUDESTE</v>
      </c>
    </row>
    <row r="2093" ht="14.25" customHeight="1">
      <c r="G2093" s="174" t="s">
        <v>3744</v>
      </c>
      <c r="H2093" s="174" t="s">
        <v>1706</v>
      </c>
      <c r="I2093" s="174" t="str">
        <f t="shared" si="1"/>
        <v>SUL</v>
      </c>
    </row>
    <row r="2094" ht="14.25" customHeight="1">
      <c r="G2094" s="174" t="s">
        <v>3745</v>
      </c>
      <c r="H2094" s="174" t="s">
        <v>1690</v>
      </c>
      <c r="I2094" s="174" t="str">
        <f t="shared" si="1"/>
        <v>NORDESTE</v>
      </c>
    </row>
    <row r="2095" ht="14.25" customHeight="1">
      <c r="G2095" s="174" t="s">
        <v>3746</v>
      </c>
      <c r="H2095" s="174" t="s">
        <v>1719</v>
      </c>
      <c r="I2095" s="174" t="str">
        <f t="shared" si="1"/>
        <v>NORDESTE</v>
      </c>
    </row>
    <row r="2096" ht="14.25" customHeight="1">
      <c r="G2096" s="174" t="s">
        <v>3747</v>
      </c>
      <c r="H2096" s="174" t="s">
        <v>1685</v>
      </c>
      <c r="I2096" s="174" t="str">
        <f t="shared" si="1"/>
        <v>NORDESTE</v>
      </c>
    </row>
    <row r="2097" ht="14.25" customHeight="1">
      <c r="G2097" s="174" t="s">
        <v>3748</v>
      </c>
      <c r="H2097" s="174" t="s">
        <v>1685</v>
      </c>
      <c r="I2097" s="174" t="str">
        <f t="shared" si="1"/>
        <v>NORDESTE</v>
      </c>
    </row>
    <row r="2098" ht="14.25" customHeight="1">
      <c r="G2098" s="174" t="s">
        <v>3749</v>
      </c>
      <c r="H2098" s="174" t="s">
        <v>1706</v>
      </c>
      <c r="I2098" s="174" t="str">
        <f t="shared" si="1"/>
        <v>SUL</v>
      </c>
    </row>
    <row r="2099" ht="14.25" customHeight="1">
      <c r="G2099" s="174" t="s">
        <v>3750</v>
      </c>
      <c r="H2099" s="174" t="s">
        <v>1685</v>
      </c>
      <c r="I2099" s="174" t="str">
        <f t="shared" si="1"/>
        <v>NORDESTE</v>
      </c>
    </row>
    <row r="2100" ht="14.25" customHeight="1">
      <c r="G2100" s="174" t="s">
        <v>3751</v>
      </c>
      <c r="H2100" s="174" t="s">
        <v>1685</v>
      </c>
      <c r="I2100" s="174" t="str">
        <f t="shared" si="1"/>
        <v>NORDESTE</v>
      </c>
    </row>
    <row r="2101" ht="14.25" customHeight="1">
      <c r="G2101" s="174" t="s">
        <v>3752</v>
      </c>
      <c r="H2101" s="174" t="s">
        <v>1690</v>
      </c>
      <c r="I2101" s="174" t="str">
        <f t="shared" si="1"/>
        <v>NORDESTE</v>
      </c>
    </row>
    <row r="2102" ht="14.25" customHeight="1">
      <c r="G2102" s="174" t="s">
        <v>3753</v>
      </c>
      <c r="H2102" s="174" t="s">
        <v>1717</v>
      </c>
      <c r="I2102" s="174" t="str">
        <f t="shared" si="1"/>
        <v>NORDESTE</v>
      </c>
    </row>
    <row r="2103" ht="14.25" customHeight="1">
      <c r="G2103" s="174" t="s">
        <v>3754</v>
      </c>
      <c r="H2103" s="174" t="s">
        <v>1685</v>
      </c>
      <c r="I2103" s="174" t="str">
        <f t="shared" si="1"/>
        <v>NORDESTE</v>
      </c>
    </row>
    <row r="2104" ht="14.25" customHeight="1">
      <c r="G2104" s="174" t="s">
        <v>3755</v>
      </c>
      <c r="H2104" s="174" t="s">
        <v>1685</v>
      </c>
      <c r="I2104" s="174" t="str">
        <f t="shared" si="1"/>
        <v>NORDESTE</v>
      </c>
    </row>
    <row r="2105" ht="14.25" customHeight="1">
      <c r="G2105" s="174" t="s">
        <v>3756</v>
      </c>
      <c r="H2105" s="174" t="s">
        <v>1702</v>
      </c>
      <c r="I2105" s="174" t="str">
        <f t="shared" si="1"/>
        <v>SUL</v>
      </c>
    </row>
    <row r="2106" ht="14.25" customHeight="1">
      <c r="G2106" s="174" t="s">
        <v>3757</v>
      </c>
      <c r="H2106" s="174" t="s">
        <v>1685</v>
      </c>
      <c r="I2106" s="174" t="str">
        <f t="shared" si="1"/>
        <v>NORDESTE</v>
      </c>
    </row>
    <row r="2107" ht="14.25" customHeight="1">
      <c r="G2107" s="174" t="s">
        <v>3758</v>
      </c>
      <c r="H2107" s="174" t="s">
        <v>1750</v>
      </c>
      <c r="I2107" s="174" t="str">
        <f t="shared" si="1"/>
        <v>SUDESTE</v>
      </c>
    </row>
    <row r="2108" ht="14.25" customHeight="1">
      <c r="G2108" s="174" t="s">
        <v>3759</v>
      </c>
      <c r="H2108" s="174" t="s">
        <v>1666</v>
      </c>
      <c r="I2108" s="174" t="str">
        <f t="shared" si="1"/>
        <v>SUDESTE</v>
      </c>
    </row>
    <row r="2109" ht="14.25" customHeight="1">
      <c r="G2109" s="174" t="s">
        <v>3760</v>
      </c>
      <c r="H2109" s="174" t="s">
        <v>1666</v>
      </c>
      <c r="I2109" s="174" t="str">
        <f t="shared" si="1"/>
        <v>SUDESTE</v>
      </c>
    </row>
    <row r="2110" ht="14.25" customHeight="1">
      <c r="G2110" s="174" t="s">
        <v>3761</v>
      </c>
      <c r="H2110" s="174" t="s">
        <v>1698</v>
      </c>
      <c r="I2110" s="174" t="str">
        <f t="shared" si="1"/>
        <v>SUDESTE</v>
      </c>
    </row>
    <row r="2111" ht="14.25" customHeight="1">
      <c r="G2111" s="174" t="s">
        <v>3762</v>
      </c>
      <c r="H2111" s="174" t="s">
        <v>1742</v>
      </c>
      <c r="I2111" s="174" t="str">
        <f t="shared" si="1"/>
        <v>SUL</v>
      </c>
    </row>
    <row r="2112" ht="14.25" customHeight="1">
      <c r="G2112" s="174" t="s">
        <v>3763</v>
      </c>
      <c r="H2112" s="174" t="s">
        <v>1717</v>
      </c>
      <c r="I2112" s="174" t="str">
        <f t="shared" si="1"/>
        <v>NORDESTE</v>
      </c>
    </row>
    <row r="2113" ht="14.25" customHeight="1">
      <c r="G2113" s="174" t="s">
        <v>3764</v>
      </c>
      <c r="H2113" s="174" t="s">
        <v>1706</v>
      </c>
      <c r="I2113" s="174" t="str">
        <f t="shared" si="1"/>
        <v>SUL</v>
      </c>
    </row>
    <row r="2114" ht="14.25" customHeight="1">
      <c r="G2114" s="174" t="s">
        <v>3765</v>
      </c>
      <c r="H2114" s="174" t="s">
        <v>1685</v>
      </c>
      <c r="I2114" s="174" t="str">
        <f t="shared" si="1"/>
        <v>NORDESTE</v>
      </c>
    </row>
    <row r="2115" ht="14.25" customHeight="1">
      <c r="G2115" s="174" t="s">
        <v>3766</v>
      </c>
      <c r="H2115" s="174" t="s">
        <v>1685</v>
      </c>
      <c r="I2115" s="174" t="str">
        <f t="shared" si="1"/>
        <v>NORDESTE</v>
      </c>
    </row>
    <row r="2116" ht="14.25" customHeight="1">
      <c r="G2116" s="174" t="s">
        <v>3767</v>
      </c>
      <c r="H2116" s="174" t="s">
        <v>1742</v>
      </c>
      <c r="I2116" s="174" t="str">
        <f t="shared" si="1"/>
        <v>SUL</v>
      </c>
    </row>
    <row r="2117" ht="14.25" customHeight="1">
      <c r="G2117" s="174" t="s">
        <v>3768</v>
      </c>
      <c r="H2117" s="174" t="s">
        <v>1750</v>
      </c>
      <c r="I2117" s="174" t="str">
        <f t="shared" si="1"/>
        <v>SUDESTE</v>
      </c>
    </row>
    <row r="2118" ht="14.25" customHeight="1">
      <c r="G2118" s="174" t="s">
        <v>3769</v>
      </c>
      <c r="H2118" s="174" t="s">
        <v>1685</v>
      </c>
      <c r="I2118" s="174" t="str">
        <f t="shared" si="1"/>
        <v>NORDESTE</v>
      </c>
    </row>
    <row r="2119" ht="14.25" customHeight="1">
      <c r="G2119" s="174" t="s">
        <v>3770</v>
      </c>
      <c r="H2119" s="174" t="s">
        <v>1666</v>
      </c>
      <c r="I2119" s="174" t="str">
        <f t="shared" si="1"/>
        <v>SUDESTE</v>
      </c>
    </row>
    <row r="2120" ht="14.25" customHeight="1">
      <c r="G2120" s="174" t="s">
        <v>3771</v>
      </c>
      <c r="H2120" s="174" t="s">
        <v>1742</v>
      </c>
      <c r="I2120" s="174" t="str">
        <f t="shared" si="1"/>
        <v>SUL</v>
      </c>
    </row>
    <row r="2121" ht="14.25" customHeight="1">
      <c r="G2121" s="174" t="s">
        <v>3772</v>
      </c>
      <c r="H2121" s="174" t="s">
        <v>1685</v>
      </c>
      <c r="I2121" s="174" t="str">
        <f t="shared" si="1"/>
        <v>NORDESTE</v>
      </c>
    </row>
    <row r="2122" ht="14.25" customHeight="1">
      <c r="G2122" s="174" t="s">
        <v>3773</v>
      </c>
      <c r="H2122" s="174" t="s">
        <v>1750</v>
      </c>
      <c r="I2122" s="174" t="str">
        <f t="shared" si="1"/>
        <v>SUDESTE</v>
      </c>
    </row>
    <row r="2123" ht="14.25" customHeight="1">
      <c r="G2123" s="174" t="s">
        <v>3774</v>
      </c>
      <c r="H2123" s="174" t="s">
        <v>1698</v>
      </c>
      <c r="I2123" s="174" t="str">
        <f t="shared" si="1"/>
        <v>SUDESTE</v>
      </c>
    </row>
    <row r="2124" ht="14.25" customHeight="1">
      <c r="G2124" s="174" t="s">
        <v>3775</v>
      </c>
      <c r="H2124" s="174" t="s">
        <v>1685</v>
      </c>
      <c r="I2124" s="174" t="str">
        <f t="shared" si="1"/>
        <v>NORDESTE</v>
      </c>
    </row>
    <row r="2125" ht="14.25" customHeight="1">
      <c r="G2125" s="174" t="s">
        <v>3776</v>
      </c>
      <c r="H2125" s="174" t="s">
        <v>1666</v>
      </c>
      <c r="I2125" s="174" t="str">
        <f t="shared" si="1"/>
        <v>SUDESTE</v>
      </c>
    </row>
    <row r="2126" ht="14.25" customHeight="1">
      <c r="G2126" s="174" t="s">
        <v>3777</v>
      </c>
      <c r="H2126" s="174" t="s">
        <v>1666</v>
      </c>
      <c r="I2126" s="174" t="str">
        <f t="shared" si="1"/>
        <v>SUDESTE</v>
      </c>
    </row>
    <row r="2127" ht="14.25" customHeight="1">
      <c r="G2127" s="174" t="s">
        <v>3778</v>
      </c>
      <c r="H2127" s="174" t="s">
        <v>1750</v>
      </c>
      <c r="I2127" s="174" t="str">
        <f t="shared" si="1"/>
        <v>SUDESTE</v>
      </c>
    </row>
    <row r="2128" ht="14.25" customHeight="1">
      <c r="G2128" s="174" t="s">
        <v>3779</v>
      </c>
      <c r="H2128" s="174" t="s">
        <v>1685</v>
      </c>
      <c r="I2128" s="174" t="str">
        <f t="shared" si="1"/>
        <v>NORDESTE</v>
      </c>
    </row>
    <row r="2129" ht="14.25" customHeight="1">
      <c r="G2129" s="174" t="s">
        <v>3780</v>
      </c>
      <c r="H2129" s="174" t="s">
        <v>1690</v>
      </c>
      <c r="I2129" s="174" t="str">
        <f t="shared" si="1"/>
        <v>NORDESTE</v>
      </c>
    </row>
    <row r="2130" ht="14.25" customHeight="1">
      <c r="G2130" s="174" t="s">
        <v>3781</v>
      </c>
      <c r="H2130" s="174" t="s">
        <v>1706</v>
      </c>
      <c r="I2130" s="174" t="str">
        <f t="shared" si="1"/>
        <v>SUL</v>
      </c>
    </row>
    <row r="2131" ht="14.25" customHeight="1">
      <c r="G2131" s="174" t="s">
        <v>3782</v>
      </c>
      <c r="H2131" s="174" t="s">
        <v>1666</v>
      </c>
      <c r="I2131" s="174" t="str">
        <f t="shared" si="1"/>
        <v>SUDESTE</v>
      </c>
    </row>
    <row r="2132" ht="14.25" customHeight="1">
      <c r="G2132" s="174" t="s">
        <v>3783</v>
      </c>
      <c r="H2132" s="174" t="s">
        <v>1702</v>
      </c>
      <c r="I2132" s="174" t="str">
        <f t="shared" si="1"/>
        <v>SUL</v>
      </c>
    </row>
    <row r="2133" ht="14.25" customHeight="1">
      <c r="G2133" s="174" t="s">
        <v>3784</v>
      </c>
      <c r="H2133" s="174" t="s">
        <v>1704</v>
      </c>
      <c r="I2133" s="174" t="str">
        <f t="shared" si="1"/>
        <v>NORDESTE</v>
      </c>
    </row>
    <row r="2134" ht="14.25" customHeight="1">
      <c r="G2134" s="174" t="s">
        <v>3785</v>
      </c>
      <c r="H2134" s="174" t="s">
        <v>1750</v>
      </c>
      <c r="I2134" s="174" t="str">
        <f t="shared" si="1"/>
        <v>SUDESTE</v>
      </c>
    </row>
    <row r="2135" ht="14.25" customHeight="1">
      <c r="G2135" s="174" t="s">
        <v>3786</v>
      </c>
      <c r="H2135" s="174" t="s">
        <v>1685</v>
      </c>
      <c r="I2135" s="174" t="str">
        <f t="shared" si="1"/>
        <v>NORDESTE</v>
      </c>
    </row>
    <row r="2136" ht="14.25" customHeight="1">
      <c r="G2136" s="174" t="s">
        <v>3787</v>
      </c>
      <c r="H2136" s="174" t="s">
        <v>1690</v>
      </c>
      <c r="I2136" s="174" t="str">
        <f t="shared" si="1"/>
        <v>NORDESTE</v>
      </c>
    </row>
    <row r="2137" ht="14.25" customHeight="1">
      <c r="G2137" s="174" t="s">
        <v>3788</v>
      </c>
      <c r="H2137" s="174" t="s">
        <v>1698</v>
      </c>
      <c r="I2137" s="174" t="str">
        <f t="shared" si="1"/>
        <v>SUDESTE</v>
      </c>
    </row>
    <row r="2138" ht="14.25" customHeight="1">
      <c r="G2138" s="174" t="s">
        <v>3789</v>
      </c>
      <c r="H2138" s="174" t="s">
        <v>1733</v>
      </c>
      <c r="I2138" s="174" t="str">
        <f t="shared" si="1"/>
        <v>NORDESTE</v>
      </c>
    </row>
    <row r="2139" ht="14.25" customHeight="1">
      <c r="G2139" s="174" t="s">
        <v>3790</v>
      </c>
      <c r="H2139" s="174" t="s">
        <v>1750</v>
      </c>
      <c r="I2139" s="174" t="str">
        <f t="shared" si="1"/>
        <v>SUDESTE</v>
      </c>
    </row>
    <row r="2140" ht="14.25" customHeight="1">
      <c r="G2140" s="174" t="s">
        <v>3791</v>
      </c>
      <c r="H2140" s="174" t="s">
        <v>1664</v>
      </c>
      <c r="I2140" s="174" t="str">
        <f t="shared" si="1"/>
        <v>NORDESTE</v>
      </c>
    </row>
    <row r="2141" ht="14.25" customHeight="1">
      <c r="G2141" s="174" t="s">
        <v>3792</v>
      </c>
      <c r="H2141" s="174" t="s">
        <v>1685</v>
      </c>
      <c r="I2141" s="174" t="str">
        <f t="shared" si="1"/>
        <v>NORDESTE</v>
      </c>
    </row>
    <row r="2142" ht="14.25" customHeight="1">
      <c r="G2142" s="174" t="s">
        <v>3793</v>
      </c>
      <c r="H2142" s="174" t="s">
        <v>1750</v>
      </c>
      <c r="I2142" s="174" t="str">
        <f t="shared" si="1"/>
        <v>SUDESTE</v>
      </c>
    </row>
    <row r="2143" ht="14.25" customHeight="1">
      <c r="G2143" s="174" t="s">
        <v>3794</v>
      </c>
      <c r="H2143" s="174" t="s">
        <v>1719</v>
      </c>
      <c r="I2143" s="174" t="str">
        <f t="shared" si="1"/>
        <v>NORDESTE</v>
      </c>
    </row>
    <row r="2144" ht="14.25" customHeight="1">
      <c r="G2144" s="174" t="s">
        <v>3795</v>
      </c>
      <c r="H2144" s="174" t="s">
        <v>1750</v>
      </c>
      <c r="I2144" s="174" t="str">
        <f t="shared" si="1"/>
        <v>SUDESTE</v>
      </c>
    </row>
    <row r="2145" ht="14.25" customHeight="1">
      <c r="G2145" s="174" t="s">
        <v>3796</v>
      </c>
      <c r="H2145" s="174" t="s">
        <v>1666</v>
      </c>
      <c r="I2145" s="174" t="str">
        <f t="shared" si="1"/>
        <v>SUDESTE</v>
      </c>
    </row>
    <row r="2146" ht="14.25" customHeight="1">
      <c r="G2146" s="174" t="s">
        <v>3797</v>
      </c>
      <c r="H2146" s="174" t="s">
        <v>1704</v>
      </c>
      <c r="I2146" s="174" t="str">
        <f t="shared" si="1"/>
        <v>NORDESTE</v>
      </c>
    </row>
    <row r="2147" ht="14.25" customHeight="1">
      <c r="G2147" s="174" t="s">
        <v>3798</v>
      </c>
      <c r="H2147" s="174" t="s">
        <v>1704</v>
      </c>
      <c r="I2147" s="174" t="str">
        <f t="shared" si="1"/>
        <v>NORDESTE</v>
      </c>
    </row>
    <row r="2148" ht="14.25" customHeight="1">
      <c r="G2148" s="174" t="s">
        <v>3799</v>
      </c>
      <c r="H2148" s="174" t="s">
        <v>1687</v>
      </c>
      <c r="I2148" s="174" t="str">
        <f t="shared" si="1"/>
        <v>NORTE</v>
      </c>
    </row>
    <row r="2149" ht="14.25" customHeight="1">
      <c r="G2149" s="174" t="s">
        <v>3800</v>
      </c>
      <c r="H2149" s="174" t="s">
        <v>1687</v>
      </c>
      <c r="I2149" s="174" t="str">
        <f t="shared" si="1"/>
        <v>NORTE</v>
      </c>
    </row>
    <row r="2150" ht="14.25" customHeight="1">
      <c r="G2150" s="174" t="s">
        <v>3801</v>
      </c>
      <c r="H2150" s="174" t="s">
        <v>1717</v>
      </c>
      <c r="I2150" s="174" t="str">
        <f t="shared" si="1"/>
        <v>NORDESTE</v>
      </c>
    </row>
    <row r="2151" ht="14.25" customHeight="1">
      <c r="G2151" s="174" t="s">
        <v>3802</v>
      </c>
      <c r="H2151" s="174" t="s">
        <v>1750</v>
      </c>
      <c r="I2151" s="174" t="str">
        <f t="shared" si="1"/>
        <v>SUDESTE</v>
      </c>
    </row>
    <row r="2152" ht="14.25" customHeight="1">
      <c r="G2152" s="174" t="s">
        <v>3803</v>
      </c>
      <c r="H2152" s="174" t="s">
        <v>1666</v>
      </c>
      <c r="I2152" s="174" t="str">
        <f t="shared" si="1"/>
        <v>SUDESTE</v>
      </c>
    </row>
    <row r="2153" ht="14.25" customHeight="1">
      <c r="G2153" s="174" t="s">
        <v>3804</v>
      </c>
      <c r="H2153" s="174" t="s">
        <v>1685</v>
      </c>
      <c r="I2153" s="174" t="str">
        <f t="shared" si="1"/>
        <v>NORDESTE</v>
      </c>
    </row>
    <row r="2154" ht="14.25" customHeight="1">
      <c r="G2154" s="174" t="s">
        <v>3805</v>
      </c>
      <c r="H2154" s="174" t="s">
        <v>1664</v>
      </c>
      <c r="I2154" s="174" t="str">
        <f t="shared" si="1"/>
        <v>NORDESTE</v>
      </c>
    </row>
    <row r="2155" ht="14.25" customHeight="1">
      <c r="G2155" s="174" t="s">
        <v>3806</v>
      </c>
      <c r="H2155" s="174" t="s">
        <v>1742</v>
      </c>
      <c r="I2155" s="174" t="str">
        <f t="shared" si="1"/>
        <v>SUL</v>
      </c>
    </row>
    <row r="2156" ht="14.25" customHeight="1">
      <c r="G2156" s="174" t="s">
        <v>3807</v>
      </c>
      <c r="H2156" s="174" t="s">
        <v>1730</v>
      </c>
      <c r="I2156" s="174" t="str">
        <f t="shared" si="1"/>
        <v>SUDESTE</v>
      </c>
    </row>
    <row r="2157" ht="14.25" customHeight="1">
      <c r="G2157" s="174" t="s">
        <v>3808</v>
      </c>
      <c r="H2157" s="174" t="s">
        <v>1685</v>
      </c>
      <c r="I2157" s="174" t="str">
        <f t="shared" si="1"/>
        <v>NORDESTE</v>
      </c>
    </row>
    <row r="2158" ht="14.25" customHeight="1">
      <c r="G2158" s="174" t="s">
        <v>3809</v>
      </c>
      <c r="H2158" s="174" t="s">
        <v>1750</v>
      </c>
      <c r="I2158" s="174" t="str">
        <f t="shared" si="1"/>
        <v>SUDESTE</v>
      </c>
    </row>
    <row r="2159" ht="14.25" customHeight="1">
      <c r="G2159" s="174" t="s">
        <v>3810</v>
      </c>
      <c r="H2159" s="174" t="s">
        <v>1717</v>
      </c>
      <c r="I2159" s="174" t="str">
        <f t="shared" si="1"/>
        <v>NORDESTE</v>
      </c>
    </row>
    <row r="2160" ht="14.25" customHeight="1">
      <c r="G2160" s="174" t="s">
        <v>3811</v>
      </c>
      <c r="H2160" s="174" t="s">
        <v>1702</v>
      </c>
      <c r="I2160" s="174" t="str">
        <f t="shared" si="1"/>
        <v>SUL</v>
      </c>
    </row>
    <row r="2161" ht="14.25" customHeight="1">
      <c r="G2161" s="174" t="s">
        <v>3812</v>
      </c>
      <c r="H2161" s="174" t="s">
        <v>1666</v>
      </c>
      <c r="I2161" s="174" t="str">
        <f t="shared" si="1"/>
        <v>SUDESTE</v>
      </c>
    </row>
    <row r="2162" ht="14.25" customHeight="1">
      <c r="G2162" s="174" t="s">
        <v>3813</v>
      </c>
      <c r="H2162" s="174" t="s">
        <v>1710</v>
      </c>
      <c r="I2162" s="174" t="str">
        <f t="shared" si="1"/>
        <v>CENTRO OESTE</v>
      </c>
    </row>
    <row r="2163" ht="14.25" customHeight="1">
      <c r="G2163" s="174" t="s">
        <v>3814</v>
      </c>
      <c r="H2163" s="174" t="s">
        <v>1690</v>
      </c>
      <c r="I2163" s="174" t="str">
        <f t="shared" si="1"/>
        <v>NORDESTE</v>
      </c>
    </row>
    <row r="2164" ht="14.25" customHeight="1">
      <c r="G2164" s="174" t="s">
        <v>3814</v>
      </c>
      <c r="H2164" s="174" t="s">
        <v>1702</v>
      </c>
      <c r="I2164" s="174" t="str">
        <f t="shared" si="1"/>
        <v>SUL</v>
      </c>
    </row>
    <row r="2165" ht="14.25" customHeight="1">
      <c r="G2165" s="174" t="s">
        <v>3815</v>
      </c>
      <c r="H2165" s="174" t="s">
        <v>1666</v>
      </c>
      <c r="I2165" s="174" t="str">
        <f t="shared" si="1"/>
        <v>SUDESTE</v>
      </c>
    </row>
    <row r="2166" ht="14.25" customHeight="1">
      <c r="G2166" s="174" t="s">
        <v>3816</v>
      </c>
      <c r="H2166" s="174" t="s">
        <v>1742</v>
      </c>
      <c r="I2166" s="174" t="str">
        <f t="shared" si="1"/>
        <v>SUL</v>
      </c>
    </row>
    <row r="2167" ht="14.25" customHeight="1">
      <c r="G2167" s="174" t="s">
        <v>3817</v>
      </c>
      <c r="H2167" s="174" t="s">
        <v>1750</v>
      </c>
      <c r="I2167" s="174" t="str">
        <f t="shared" si="1"/>
        <v>SUDESTE</v>
      </c>
    </row>
    <row r="2168" ht="14.25" customHeight="1">
      <c r="G2168" s="174" t="s">
        <v>3818</v>
      </c>
      <c r="H2168" s="174" t="s">
        <v>1747</v>
      </c>
      <c r="I2168" s="174" t="str">
        <f t="shared" si="1"/>
        <v>NORDESTE</v>
      </c>
    </row>
    <row r="2169" ht="14.25" customHeight="1">
      <c r="G2169" s="174" t="s">
        <v>3819</v>
      </c>
      <c r="H2169" s="174" t="s">
        <v>1717</v>
      </c>
      <c r="I2169" s="174" t="str">
        <f t="shared" si="1"/>
        <v>NORDESTE</v>
      </c>
    </row>
    <row r="2170" ht="14.25" customHeight="1">
      <c r="G2170" s="174" t="s">
        <v>3820</v>
      </c>
      <c r="H2170" s="174" t="s">
        <v>1725</v>
      </c>
      <c r="I2170" s="174" t="str">
        <f t="shared" si="1"/>
        <v>NORDESTE</v>
      </c>
    </row>
    <row r="2171" ht="14.25" customHeight="1">
      <c r="G2171" s="174" t="s">
        <v>3821</v>
      </c>
      <c r="H2171" s="174" t="s">
        <v>1750</v>
      </c>
      <c r="I2171" s="174" t="str">
        <f t="shared" si="1"/>
        <v>SUDESTE</v>
      </c>
    </row>
    <row r="2172" ht="14.25" customHeight="1">
      <c r="G2172" s="174" t="s">
        <v>3822</v>
      </c>
      <c r="H2172" s="174" t="s">
        <v>1750</v>
      </c>
      <c r="I2172" s="174" t="str">
        <f t="shared" si="1"/>
        <v>SUDESTE</v>
      </c>
    </row>
    <row r="2173" ht="14.25" customHeight="1">
      <c r="G2173" s="174" t="s">
        <v>3823</v>
      </c>
      <c r="H2173" s="174" t="s">
        <v>1685</v>
      </c>
      <c r="I2173" s="174" t="str">
        <f t="shared" si="1"/>
        <v>NORDESTE</v>
      </c>
    </row>
    <row r="2174" ht="14.25" customHeight="1">
      <c r="G2174" s="174" t="s">
        <v>3824</v>
      </c>
      <c r="H2174" s="174" t="s">
        <v>1706</v>
      </c>
      <c r="I2174" s="174" t="str">
        <f t="shared" si="1"/>
        <v>SUL</v>
      </c>
    </row>
    <row r="2175" ht="14.25" customHeight="1">
      <c r="G2175" s="174" t="s">
        <v>3825</v>
      </c>
      <c r="H2175" s="174" t="s">
        <v>1666</v>
      </c>
      <c r="I2175" s="174" t="str">
        <f t="shared" si="1"/>
        <v>SUDESTE</v>
      </c>
    </row>
    <row r="2176" ht="14.25" customHeight="1">
      <c r="G2176" s="174" t="s">
        <v>3826</v>
      </c>
      <c r="H2176" s="174" t="s">
        <v>1742</v>
      </c>
      <c r="I2176" s="174" t="str">
        <f t="shared" si="1"/>
        <v>SUL</v>
      </c>
    </row>
    <row r="2177" ht="14.25" customHeight="1">
      <c r="G2177" s="174" t="s">
        <v>3827</v>
      </c>
      <c r="H2177" s="174" t="s">
        <v>1719</v>
      </c>
      <c r="I2177" s="174" t="str">
        <f t="shared" si="1"/>
        <v>NORDESTE</v>
      </c>
    </row>
    <row r="2178" ht="14.25" customHeight="1">
      <c r="G2178" s="174" t="s">
        <v>3828</v>
      </c>
      <c r="H2178" s="174" t="s">
        <v>1706</v>
      </c>
      <c r="I2178" s="174" t="str">
        <f t="shared" si="1"/>
        <v>SUL</v>
      </c>
    </row>
    <row r="2179" ht="14.25" customHeight="1">
      <c r="G2179" s="174" t="s">
        <v>3829</v>
      </c>
      <c r="H2179" s="174" t="s">
        <v>1702</v>
      </c>
      <c r="I2179" s="174" t="str">
        <f t="shared" si="1"/>
        <v>SUL</v>
      </c>
    </row>
    <row r="2180" ht="14.25" customHeight="1">
      <c r="G2180" s="174" t="s">
        <v>3830</v>
      </c>
      <c r="H2180" s="174" t="s">
        <v>1742</v>
      </c>
      <c r="I2180" s="174" t="str">
        <f t="shared" si="1"/>
        <v>SUL</v>
      </c>
    </row>
    <row r="2181" ht="14.25" customHeight="1">
      <c r="G2181" s="174" t="s">
        <v>3831</v>
      </c>
      <c r="H2181" s="174" t="s">
        <v>1666</v>
      </c>
      <c r="I2181" s="174" t="str">
        <f t="shared" si="1"/>
        <v>SUDESTE</v>
      </c>
    </row>
    <row r="2182" ht="14.25" customHeight="1">
      <c r="G2182" s="174" t="s">
        <v>3832</v>
      </c>
      <c r="H2182" s="174" t="s">
        <v>1706</v>
      </c>
      <c r="I2182" s="174" t="str">
        <f t="shared" si="1"/>
        <v>SUL</v>
      </c>
    </row>
    <row r="2183" ht="14.25" customHeight="1">
      <c r="G2183" s="174" t="s">
        <v>3833</v>
      </c>
      <c r="H2183" s="174" t="s">
        <v>1702</v>
      </c>
      <c r="I2183" s="174" t="str">
        <f t="shared" si="1"/>
        <v>SUL</v>
      </c>
    </row>
    <row r="2184" ht="14.25" customHeight="1">
      <c r="G2184" s="174" t="s">
        <v>3834</v>
      </c>
      <c r="H2184" s="174" t="s">
        <v>1706</v>
      </c>
      <c r="I2184" s="174" t="str">
        <f t="shared" si="1"/>
        <v>SUL</v>
      </c>
    </row>
    <row r="2185" ht="14.25" customHeight="1">
      <c r="G2185" s="174" t="s">
        <v>3835</v>
      </c>
      <c r="H2185" s="174" t="s">
        <v>1742</v>
      </c>
      <c r="I2185" s="174" t="str">
        <f t="shared" si="1"/>
        <v>SUL</v>
      </c>
    </row>
    <row r="2186" ht="14.25" customHeight="1">
      <c r="G2186" s="174" t="s">
        <v>3836</v>
      </c>
      <c r="H2186" s="174" t="s">
        <v>1704</v>
      </c>
      <c r="I2186" s="174" t="str">
        <f t="shared" si="1"/>
        <v>NORDESTE</v>
      </c>
    </row>
    <row r="2187" ht="14.25" customHeight="1">
      <c r="G2187" s="174" t="s">
        <v>3837</v>
      </c>
      <c r="H2187" s="174" t="s">
        <v>1702</v>
      </c>
      <c r="I2187" s="174" t="str">
        <f t="shared" si="1"/>
        <v>SUL</v>
      </c>
    </row>
    <row r="2188" ht="14.25" customHeight="1">
      <c r="G2188" s="174" t="s">
        <v>3838</v>
      </c>
      <c r="H2188" s="174" t="s">
        <v>1658</v>
      </c>
      <c r="I2188" s="174" t="str">
        <f t="shared" si="1"/>
        <v>CENTRO OESTE</v>
      </c>
    </row>
    <row r="2189" ht="14.25" customHeight="1">
      <c r="G2189" s="174" t="s">
        <v>3839</v>
      </c>
      <c r="H2189" s="174" t="s">
        <v>1717</v>
      </c>
      <c r="I2189" s="174" t="str">
        <f t="shared" si="1"/>
        <v>NORDESTE</v>
      </c>
    </row>
    <row r="2190" ht="14.25" customHeight="1">
      <c r="G2190" s="174" t="s">
        <v>3839</v>
      </c>
      <c r="H2190" s="174" t="s">
        <v>1702</v>
      </c>
      <c r="I2190" s="174" t="str">
        <f t="shared" si="1"/>
        <v>SUL</v>
      </c>
    </row>
    <row r="2191" ht="14.25" customHeight="1">
      <c r="G2191" s="174" t="s">
        <v>3840</v>
      </c>
      <c r="H2191" s="174" t="s">
        <v>1666</v>
      </c>
      <c r="I2191" s="174" t="str">
        <f t="shared" si="1"/>
        <v>SUDESTE</v>
      </c>
    </row>
    <row r="2192" ht="14.25" customHeight="1">
      <c r="G2192" s="174" t="s">
        <v>3841</v>
      </c>
      <c r="H2192" s="174" t="s">
        <v>1666</v>
      </c>
      <c r="I2192" s="174" t="str">
        <f t="shared" si="1"/>
        <v>SUDESTE</v>
      </c>
    </row>
    <row r="2193" ht="14.25" customHeight="1">
      <c r="G2193" s="174" t="s">
        <v>3842</v>
      </c>
      <c r="H2193" s="174" t="s">
        <v>1706</v>
      </c>
      <c r="I2193" s="174" t="str">
        <f t="shared" si="1"/>
        <v>SUL</v>
      </c>
    </row>
    <row r="2194" ht="14.25" customHeight="1">
      <c r="G2194" s="174" t="s">
        <v>3843</v>
      </c>
      <c r="H2194" s="174" t="s">
        <v>1750</v>
      </c>
      <c r="I2194" s="174" t="str">
        <f t="shared" si="1"/>
        <v>SUDESTE</v>
      </c>
    </row>
    <row r="2195" ht="14.25" customHeight="1">
      <c r="G2195" s="174" t="s">
        <v>3844</v>
      </c>
      <c r="H2195" s="174" t="s">
        <v>1690</v>
      </c>
      <c r="I2195" s="174" t="str">
        <f t="shared" si="1"/>
        <v>NORDESTE</v>
      </c>
    </row>
    <row r="2196" ht="14.25" customHeight="1">
      <c r="G2196" s="174" t="s">
        <v>3844</v>
      </c>
      <c r="H2196" s="174" t="s">
        <v>1742</v>
      </c>
      <c r="I2196" s="174" t="str">
        <f t="shared" si="1"/>
        <v>SUL</v>
      </c>
    </row>
    <row r="2197" ht="14.25" customHeight="1">
      <c r="G2197" s="174" t="s">
        <v>3845</v>
      </c>
      <c r="H2197" s="174" t="s">
        <v>1750</v>
      </c>
      <c r="I2197" s="174" t="str">
        <f t="shared" si="1"/>
        <v>SUDESTE</v>
      </c>
    </row>
    <row r="2198" ht="14.25" customHeight="1">
      <c r="G2198" s="174" t="s">
        <v>3846</v>
      </c>
      <c r="H2198" s="174" t="s">
        <v>1666</v>
      </c>
      <c r="I2198" s="174" t="str">
        <f t="shared" si="1"/>
        <v>SUDESTE</v>
      </c>
    </row>
    <row r="2199" ht="14.25" customHeight="1">
      <c r="G2199" s="174" t="s">
        <v>3846</v>
      </c>
      <c r="H2199" s="174" t="s">
        <v>1702</v>
      </c>
      <c r="I2199" s="174" t="str">
        <f t="shared" si="1"/>
        <v>SUL</v>
      </c>
    </row>
    <row r="2200" ht="14.25" customHeight="1">
      <c r="G2200" s="174" t="s">
        <v>3847</v>
      </c>
      <c r="H2200" s="174" t="s">
        <v>1750</v>
      </c>
      <c r="I2200" s="174" t="str">
        <f t="shared" si="1"/>
        <v>SUDESTE</v>
      </c>
    </row>
    <row r="2201" ht="14.25" customHeight="1">
      <c r="G2201" s="174" t="s">
        <v>3848</v>
      </c>
      <c r="H2201" s="174" t="s">
        <v>1658</v>
      </c>
      <c r="I2201" s="174" t="str">
        <f t="shared" si="1"/>
        <v>CENTRO OESTE</v>
      </c>
    </row>
    <row r="2202" ht="14.25" customHeight="1">
      <c r="G2202" s="174" t="s">
        <v>3849</v>
      </c>
      <c r="H2202" s="174" t="s">
        <v>1747</v>
      </c>
      <c r="I2202" s="174" t="str">
        <f t="shared" si="1"/>
        <v>NORDESTE</v>
      </c>
    </row>
    <row r="2203" ht="14.25" customHeight="1">
      <c r="G2203" s="174" t="s">
        <v>3850</v>
      </c>
      <c r="H2203" s="174" t="s">
        <v>1713</v>
      </c>
      <c r="I2203" s="174" t="str">
        <f t="shared" si="1"/>
        <v>CENTRO OESTE</v>
      </c>
    </row>
    <row r="2204" ht="14.25" customHeight="1">
      <c r="G2204" s="174" t="s">
        <v>3851</v>
      </c>
      <c r="H2204" s="174" t="s">
        <v>1719</v>
      </c>
      <c r="I2204" s="174" t="str">
        <f t="shared" si="1"/>
        <v>NORDESTE</v>
      </c>
    </row>
    <row r="2205" ht="14.25" customHeight="1">
      <c r="G2205" s="174" t="s">
        <v>3852</v>
      </c>
      <c r="H2205" s="174" t="s">
        <v>1666</v>
      </c>
      <c r="I2205" s="174" t="str">
        <f t="shared" si="1"/>
        <v>SUDESTE</v>
      </c>
    </row>
    <row r="2206" ht="14.25" customHeight="1">
      <c r="G2206" s="174" t="s">
        <v>3853</v>
      </c>
      <c r="H2206" s="174" t="s">
        <v>1717</v>
      </c>
      <c r="I2206" s="174" t="str">
        <f t="shared" si="1"/>
        <v>NORDESTE</v>
      </c>
    </row>
    <row r="2207" ht="14.25" customHeight="1">
      <c r="G2207" s="174" t="s">
        <v>3854</v>
      </c>
      <c r="H2207" s="174" t="s">
        <v>1742</v>
      </c>
      <c r="I2207" s="174" t="str">
        <f t="shared" si="1"/>
        <v>SUL</v>
      </c>
    </row>
    <row r="2208" ht="14.25" customHeight="1">
      <c r="G2208" s="174" t="s">
        <v>3855</v>
      </c>
      <c r="H2208" s="174" t="s">
        <v>1685</v>
      </c>
      <c r="I2208" s="174" t="str">
        <f t="shared" si="1"/>
        <v>NORDESTE</v>
      </c>
    </row>
    <row r="2209" ht="14.25" customHeight="1">
      <c r="G2209" s="174" t="s">
        <v>3856</v>
      </c>
      <c r="H2209" s="174" t="s">
        <v>1687</v>
      </c>
      <c r="I2209" s="174" t="str">
        <f t="shared" si="1"/>
        <v>NORTE</v>
      </c>
    </row>
    <row r="2210" ht="14.25" customHeight="1">
      <c r="G2210" s="174" t="s">
        <v>3857</v>
      </c>
      <c r="H2210" s="174" t="s">
        <v>1664</v>
      </c>
      <c r="I2210" s="174" t="str">
        <f t="shared" si="1"/>
        <v>NORDESTE</v>
      </c>
    </row>
    <row r="2211" ht="14.25" customHeight="1">
      <c r="G2211" s="174" t="s">
        <v>3858</v>
      </c>
      <c r="H2211" s="174" t="s">
        <v>1666</v>
      </c>
      <c r="I2211" s="174" t="str">
        <f t="shared" si="1"/>
        <v>SUDESTE</v>
      </c>
    </row>
    <row r="2212" ht="14.25" customHeight="1">
      <c r="G2212" s="174" t="s">
        <v>3859</v>
      </c>
      <c r="H2212" s="174" t="s">
        <v>1666</v>
      </c>
      <c r="I2212" s="174" t="str">
        <f t="shared" si="1"/>
        <v>SUDESTE</v>
      </c>
    </row>
    <row r="2213" ht="14.25" customHeight="1">
      <c r="G2213" s="174" t="s">
        <v>3860</v>
      </c>
      <c r="H2213" s="174" t="s">
        <v>1725</v>
      </c>
      <c r="I2213" s="174" t="str">
        <f t="shared" si="1"/>
        <v>NORDESTE</v>
      </c>
    </row>
    <row r="2214" ht="14.25" customHeight="1">
      <c r="G2214" s="174" t="s">
        <v>3861</v>
      </c>
      <c r="H2214" s="174" t="s">
        <v>1658</v>
      </c>
      <c r="I2214" s="174" t="str">
        <f t="shared" si="1"/>
        <v>CENTRO OESTE</v>
      </c>
    </row>
    <row r="2215" ht="14.25" customHeight="1">
      <c r="G2215" s="174" t="s">
        <v>3862</v>
      </c>
      <c r="H2215" s="174" t="s">
        <v>1666</v>
      </c>
      <c r="I2215" s="174" t="str">
        <f t="shared" si="1"/>
        <v>SUDESTE</v>
      </c>
    </row>
    <row r="2216" ht="14.25" customHeight="1">
      <c r="G2216" s="174" t="s">
        <v>3863</v>
      </c>
      <c r="H2216" s="174" t="s">
        <v>1710</v>
      </c>
      <c r="I2216" s="174" t="str">
        <f t="shared" si="1"/>
        <v>CENTRO OESTE</v>
      </c>
    </row>
    <row r="2217" ht="14.25" customHeight="1">
      <c r="G2217" s="174" t="s">
        <v>3864</v>
      </c>
      <c r="H2217" s="174" t="s">
        <v>1750</v>
      </c>
      <c r="I2217" s="174" t="str">
        <f t="shared" si="1"/>
        <v>SUDESTE</v>
      </c>
    </row>
    <row r="2218" ht="14.25" customHeight="1">
      <c r="G2218" s="174" t="s">
        <v>3865</v>
      </c>
      <c r="H2218" s="174" t="s">
        <v>1706</v>
      </c>
      <c r="I2218" s="174" t="str">
        <f t="shared" si="1"/>
        <v>SUL</v>
      </c>
    </row>
    <row r="2219" ht="14.25" customHeight="1">
      <c r="G2219" s="174" t="s">
        <v>3866</v>
      </c>
      <c r="H2219" s="174" t="s">
        <v>1666</v>
      </c>
      <c r="I2219" s="174" t="str">
        <f t="shared" si="1"/>
        <v>SUDESTE</v>
      </c>
    </row>
    <row r="2220" ht="14.25" customHeight="1">
      <c r="G2220" s="174" t="s">
        <v>3867</v>
      </c>
      <c r="H2220" s="174" t="s">
        <v>1658</v>
      </c>
      <c r="I2220" s="174" t="str">
        <f t="shared" si="1"/>
        <v>CENTRO OESTE</v>
      </c>
    </row>
    <row r="2221" ht="14.25" customHeight="1">
      <c r="G2221" s="174" t="s">
        <v>3868</v>
      </c>
      <c r="H2221" s="174" t="s">
        <v>1666</v>
      </c>
      <c r="I2221" s="174" t="str">
        <f t="shared" si="1"/>
        <v>SUDESTE</v>
      </c>
    </row>
    <row r="2222" ht="14.25" customHeight="1">
      <c r="G2222" s="174" t="s">
        <v>3869</v>
      </c>
      <c r="H2222" s="174" t="s">
        <v>1733</v>
      </c>
      <c r="I2222" s="174" t="str">
        <f t="shared" si="1"/>
        <v>NORDESTE</v>
      </c>
    </row>
    <row r="2223" ht="14.25" customHeight="1">
      <c r="G2223" s="174" t="s">
        <v>3870</v>
      </c>
      <c r="H2223" s="174" t="s">
        <v>1690</v>
      </c>
      <c r="I2223" s="174" t="str">
        <f t="shared" si="1"/>
        <v>NORDESTE</v>
      </c>
    </row>
    <row r="2224" ht="14.25" customHeight="1">
      <c r="G2224" s="174" t="s">
        <v>3871</v>
      </c>
      <c r="H2224" s="174" t="s">
        <v>1666</v>
      </c>
      <c r="I2224" s="174" t="str">
        <f t="shared" si="1"/>
        <v>SUDESTE</v>
      </c>
    </row>
    <row r="2225" ht="14.25" customHeight="1">
      <c r="G2225" s="174" t="s">
        <v>3872</v>
      </c>
      <c r="H2225" s="174" t="s">
        <v>1690</v>
      </c>
      <c r="I2225" s="174" t="str">
        <f t="shared" si="1"/>
        <v>NORDESTE</v>
      </c>
    </row>
    <row r="2226" ht="14.25" customHeight="1">
      <c r="G2226" s="174" t="s">
        <v>3873</v>
      </c>
      <c r="H2226" s="174" t="s">
        <v>1750</v>
      </c>
      <c r="I2226" s="174" t="str">
        <f t="shared" si="1"/>
        <v>SUDESTE</v>
      </c>
    </row>
    <row r="2227" ht="14.25" customHeight="1">
      <c r="G2227" s="174" t="s">
        <v>3874</v>
      </c>
      <c r="H2227" s="174" t="s">
        <v>1742</v>
      </c>
      <c r="I2227" s="174" t="str">
        <f t="shared" si="1"/>
        <v>SUL</v>
      </c>
    </row>
    <row r="2228" ht="14.25" customHeight="1">
      <c r="G2228" s="174" t="s">
        <v>3875</v>
      </c>
      <c r="H2228" s="174" t="s">
        <v>1685</v>
      </c>
      <c r="I2228" s="174" t="str">
        <f t="shared" si="1"/>
        <v>NORDESTE</v>
      </c>
    </row>
    <row r="2229" ht="14.25" customHeight="1">
      <c r="G2229" s="174" t="s">
        <v>3876</v>
      </c>
      <c r="H2229" s="174" t="s">
        <v>1750</v>
      </c>
      <c r="I2229" s="174" t="str">
        <f t="shared" si="1"/>
        <v>SUDESTE</v>
      </c>
    </row>
    <row r="2230" ht="14.25" customHeight="1">
      <c r="G2230" s="174" t="s">
        <v>3877</v>
      </c>
      <c r="H2230" s="174" t="s">
        <v>1750</v>
      </c>
      <c r="I2230" s="174" t="str">
        <f t="shared" si="1"/>
        <v>SUDESTE</v>
      </c>
    </row>
    <row r="2231" ht="14.25" customHeight="1">
      <c r="G2231" s="174" t="s">
        <v>3878</v>
      </c>
      <c r="H2231" s="174" t="s">
        <v>1666</v>
      </c>
      <c r="I2231" s="174" t="str">
        <f t="shared" si="1"/>
        <v>SUDESTE</v>
      </c>
    </row>
    <row r="2232" ht="14.25" customHeight="1">
      <c r="G2232" s="174" t="s">
        <v>3879</v>
      </c>
      <c r="H2232" s="174" t="s">
        <v>1685</v>
      </c>
      <c r="I2232" s="174" t="str">
        <f t="shared" si="1"/>
        <v>NORDESTE</v>
      </c>
    </row>
    <row r="2233" ht="14.25" customHeight="1">
      <c r="G2233" s="174" t="s">
        <v>3880</v>
      </c>
      <c r="H2233" s="174" t="s">
        <v>1750</v>
      </c>
      <c r="I2233" s="174" t="str">
        <f t="shared" si="1"/>
        <v>SUDESTE</v>
      </c>
    </row>
    <row r="2234" ht="14.25" customHeight="1">
      <c r="G2234" s="174" t="s">
        <v>3881</v>
      </c>
      <c r="H2234" s="174" t="s">
        <v>1706</v>
      </c>
      <c r="I2234" s="174" t="str">
        <f t="shared" si="1"/>
        <v>SUL</v>
      </c>
    </row>
    <row r="2235" ht="14.25" customHeight="1">
      <c r="G2235" s="174" t="s">
        <v>3882</v>
      </c>
      <c r="H2235" s="174" t="s">
        <v>1685</v>
      </c>
      <c r="I2235" s="174" t="str">
        <f t="shared" si="1"/>
        <v>NORDESTE</v>
      </c>
    </row>
    <row r="2236" ht="14.25" customHeight="1">
      <c r="G2236" s="174" t="s">
        <v>3883</v>
      </c>
      <c r="H2236" s="174" t="s">
        <v>1702</v>
      </c>
      <c r="I2236" s="174" t="str">
        <f t="shared" si="1"/>
        <v>SUL</v>
      </c>
    </row>
    <row r="2237" ht="14.25" customHeight="1">
      <c r="G2237" s="174" t="s">
        <v>3884</v>
      </c>
      <c r="H2237" s="174" t="s">
        <v>1658</v>
      </c>
      <c r="I2237" s="174" t="str">
        <f t="shared" si="1"/>
        <v>CENTRO OESTE</v>
      </c>
    </row>
    <row r="2238" ht="14.25" customHeight="1">
      <c r="G2238" s="174" t="s">
        <v>3885</v>
      </c>
      <c r="H2238" s="174" t="s">
        <v>1713</v>
      </c>
      <c r="I2238" s="174" t="str">
        <f t="shared" si="1"/>
        <v>CENTRO OESTE</v>
      </c>
    </row>
    <row r="2239" ht="14.25" customHeight="1">
      <c r="G2239" s="174" t="s">
        <v>3886</v>
      </c>
      <c r="H2239" s="174" t="s">
        <v>1725</v>
      </c>
      <c r="I2239" s="174" t="str">
        <f t="shared" si="1"/>
        <v>NORDESTE</v>
      </c>
    </row>
    <row r="2240" ht="14.25" customHeight="1">
      <c r="G2240" s="174" t="s">
        <v>3887</v>
      </c>
      <c r="H2240" s="174" t="s">
        <v>1742</v>
      </c>
      <c r="I2240" s="174" t="str">
        <f t="shared" si="1"/>
        <v>SUL</v>
      </c>
    </row>
    <row r="2241" ht="14.25" customHeight="1">
      <c r="G2241" s="174" t="s">
        <v>3888</v>
      </c>
      <c r="H2241" s="174" t="s">
        <v>1672</v>
      </c>
      <c r="I2241" s="174" t="str">
        <f t="shared" si="1"/>
        <v>NORTE</v>
      </c>
    </row>
    <row r="2242" ht="14.25" customHeight="1">
      <c r="G2242" s="174" t="s">
        <v>3889</v>
      </c>
      <c r="H2242" s="174" t="s">
        <v>1687</v>
      </c>
      <c r="I2242" s="174" t="str">
        <f t="shared" si="1"/>
        <v>NORTE</v>
      </c>
    </row>
    <row r="2243" ht="14.25" customHeight="1">
      <c r="G2243" s="174" t="s">
        <v>3890</v>
      </c>
      <c r="H2243" s="174" t="s">
        <v>1717</v>
      </c>
      <c r="I2243" s="174" t="str">
        <f t="shared" si="1"/>
        <v>NORDESTE</v>
      </c>
    </row>
    <row r="2244" ht="14.25" customHeight="1">
      <c r="G2244" s="174" t="s">
        <v>3891</v>
      </c>
      <c r="H2244" s="174" t="s">
        <v>1658</v>
      </c>
      <c r="I2244" s="174" t="str">
        <f t="shared" si="1"/>
        <v>CENTRO OESTE</v>
      </c>
    </row>
    <row r="2245" ht="14.25" customHeight="1">
      <c r="G2245" s="174" t="s">
        <v>3892</v>
      </c>
      <c r="H2245" s="174" t="s">
        <v>1702</v>
      </c>
      <c r="I2245" s="174" t="str">
        <f t="shared" si="1"/>
        <v>SUL</v>
      </c>
    </row>
    <row r="2246" ht="14.25" customHeight="1">
      <c r="G2246" s="174" t="s">
        <v>3893</v>
      </c>
      <c r="H2246" s="174" t="s">
        <v>1706</v>
      </c>
      <c r="I2246" s="174" t="str">
        <f t="shared" si="1"/>
        <v>SUL</v>
      </c>
    </row>
    <row r="2247" ht="14.25" customHeight="1">
      <c r="G2247" s="174" t="s">
        <v>3894</v>
      </c>
      <c r="H2247" s="174" t="s">
        <v>1750</v>
      </c>
      <c r="I2247" s="174" t="str">
        <f t="shared" si="1"/>
        <v>SUDESTE</v>
      </c>
    </row>
    <row r="2248" ht="14.25" customHeight="1">
      <c r="G2248" s="174" t="s">
        <v>3895</v>
      </c>
      <c r="H2248" s="174" t="s">
        <v>1690</v>
      </c>
      <c r="I2248" s="174" t="str">
        <f t="shared" si="1"/>
        <v>NORDESTE</v>
      </c>
    </row>
    <row r="2249" ht="14.25" customHeight="1">
      <c r="G2249" s="174" t="s">
        <v>3896</v>
      </c>
      <c r="H2249" s="174" t="s">
        <v>1750</v>
      </c>
      <c r="I2249" s="174" t="str">
        <f t="shared" si="1"/>
        <v>SUDESTE</v>
      </c>
    </row>
    <row r="2250" ht="14.25" customHeight="1">
      <c r="G2250" s="174" t="s">
        <v>3897</v>
      </c>
      <c r="H2250" s="174" t="s">
        <v>1706</v>
      </c>
      <c r="I2250" s="174" t="str">
        <f t="shared" si="1"/>
        <v>SUL</v>
      </c>
    </row>
    <row r="2251" ht="14.25" customHeight="1">
      <c r="G2251" s="174" t="s">
        <v>3898</v>
      </c>
      <c r="H2251" s="174" t="s">
        <v>1717</v>
      </c>
      <c r="I2251" s="174" t="str">
        <f t="shared" si="1"/>
        <v>NORDESTE</v>
      </c>
    </row>
    <row r="2252" ht="14.25" customHeight="1">
      <c r="G2252" s="174" t="s">
        <v>3899</v>
      </c>
      <c r="H2252" s="174" t="s">
        <v>1733</v>
      </c>
      <c r="I2252" s="174" t="str">
        <f t="shared" si="1"/>
        <v>NORDESTE</v>
      </c>
    </row>
    <row r="2253" ht="14.25" customHeight="1">
      <c r="G2253" s="174" t="s">
        <v>3900</v>
      </c>
      <c r="H2253" s="174" t="s">
        <v>1721</v>
      </c>
      <c r="I2253" s="174" t="str">
        <f t="shared" si="1"/>
        <v>NORTE</v>
      </c>
    </row>
    <row r="2254" ht="14.25" customHeight="1">
      <c r="G2254" s="174" t="s">
        <v>3900</v>
      </c>
      <c r="H2254" s="174" t="s">
        <v>1690</v>
      </c>
      <c r="I2254" s="174" t="str">
        <f t="shared" si="1"/>
        <v>NORDESTE</v>
      </c>
    </row>
    <row r="2255" ht="14.25" customHeight="1">
      <c r="G2255" s="174" t="s">
        <v>3901</v>
      </c>
      <c r="H2255" s="174" t="s">
        <v>1666</v>
      </c>
      <c r="I2255" s="174" t="str">
        <f t="shared" si="1"/>
        <v>SUDESTE</v>
      </c>
    </row>
    <row r="2256" ht="14.25" customHeight="1">
      <c r="G2256" s="174" t="s">
        <v>3902</v>
      </c>
      <c r="H2256" s="174" t="s">
        <v>1706</v>
      </c>
      <c r="I2256" s="174" t="str">
        <f t="shared" si="1"/>
        <v>SUL</v>
      </c>
    </row>
    <row r="2257" ht="14.25" customHeight="1">
      <c r="G2257" s="174" t="s">
        <v>3903</v>
      </c>
      <c r="H2257" s="174" t="s">
        <v>1685</v>
      </c>
      <c r="I2257" s="174" t="str">
        <f t="shared" si="1"/>
        <v>NORDESTE</v>
      </c>
    </row>
    <row r="2258" ht="14.25" customHeight="1">
      <c r="G2258" s="174" t="s">
        <v>3904</v>
      </c>
      <c r="H2258" s="174" t="s">
        <v>1739</v>
      </c>
      <c r="I2258" s="174" t="str">
        <f t="shared" si="1"/>
        <v>NORTE</v>
      </c>
    </row>
    <row r="2259" ht="14.25" customHeight="1">
      <c r="G2259" s="174" t="s">
        <v>3904</v>
      </c>
      <c r="H2259" s="174" t="s">
        <v>1690</v>
      </c>
      <c r="I2259" s="174" t="str">
        <f t="shared" si="1"/>
        <v>NORDESTE</v>
      </c>
    </row>
    <row r="2260" ht="14.25" customHeight="1">
      <c r="G2260" s="174" t="s">
        <v>3905</v>
      </c>
      <c r="H2260" s="174" t="s">
        <v>1702</v>
      </c>
      <c r="I2260" s="174" t="str">
        <f t="shared" si="1"/>
        <v>SUL</v>
      </c>
    </row>
    <row r="2261" ht="14.25" customHeight="1">
      <c r="G2261" s="174" t="s">
        <v>3906</v>
      </c>
      <c r="H2261" s="174" t="s">
        <v>1750</v>
      </c>
      <c r="I2261" s="174" t="str">
        <f t="shared" si="1"/>
        <v>SUDESTE</v>
      </c>
    </row>
    <row r="2262" ht="14.25" customHeight="1">
      <c r="G2262" s="174" t="s">
        <v>3907</v>
      </c>
      <c r="H2262" s="174" t="s">
        <v>1706</v>
      </c>
      <c r="I2262" s="174" t="str">
        <f t="shared" si="1"/>
        <v>SUL</v>
      </c>
    </row>
    <row r="2263" ht="14.25" customHeight="1">
      <c r="G2263" s="174" t="s">
        <v>3908</v>
      </c>
      <c r="H2263" s="174" t="s">
        <v>1742</v>
      </c>
      <c r="I2263" s="174" t="str">
        <f t="shared" si="1"/>
        <v>SUL</v>
      </c>
    </row>
    <row r="2264" ht="14.25" customHeight="1">
      <c r="G2264" s="174" t="s">
        <v>3909</v>
      </c>
      <c r="H2264" s="174" t="s">
        <v>1666</v>
      </c>
      <c r="I2264" s="174" t="str">
        <f t="shared" si="1"/>
        <v>SUDESTE</v>
      </c>
    </row>
    <row r="2265" ht="14.25" customHeight="1">
      <c r="G2265" s="174" t="s">
        <v>3910</v>
      </c>
      <c r="H2265" s="174" t="s">
        <v>1685</v>
      </c>
      <c r="I2265" s="174" t="str">
        <f t="shared" si="1"/>
        <v>NORDESTE</v>
      </c>
    </row>
    <row r="2266" ht="14.25" customHeight="1">
      <c r="G2266" s="174" t="s">
        <v>3911</v>
      </c>
      <c r="H2266" s="174" t="s">
        <v>1685</v>
      </c>
      <c r="I2266" s="174" t="str">
        <f t="shared" si="1"/>
        <v>NORDESTE</v>
      </c>
    </row>
    <row r="2267" ht="14.25" customHeight="1">
      <c r="G2267" s="174" t="s">
        <v>3912</v>
      </c>
      <c r="H2267" s="174" t="s">
        <v>1672</v>
      </c>
      <c r="I2267" s="174" t="str">
        <f t="shared" si="1"/>
        <v>NORTE</v>
      </c>
    </row>
    <row r="2268" ht="14.25" customHeight="1">
      <c r="G2268" s="174" t="s">
        <v>3913</v>
      </c>
      <c r="H2268" s="174" t="s">
        <v>1706</v>
      </c>
      <c r="I2268" s="174" t="str">
        <f t="shared" si="1"/>
        <v>SUL</v>
      </c>
    </row>
    <row r="2269" ht="14.25" customHeight="1">
      <c r="G2269" s="174" t="s">
        <v>3914</v>
      </c>
      <c r="H2269" s="174" t="s">
        <v>1750</v>
      </c>
      <c r="I2269" s="174" t="str">
        <f t="shared" si="1"/>
        <v>SUDESTE</v>
      </c>
    </row>
    <row r="2270" ht="14.25" customHeight="1">
      <c r="G2270" s="174" t="s">
        <v>3915</v>
      </c>
      <c r="H2270" s="174" t="s">
        <v>1750</v>
      </c>
      <c r="I2270" s="174" t="str">
        <f t="shared" si="1"/>
        <v>SUDESTE</v>
      </c>
    </row>
    <row r="2271" ht="14.25" customHeight="1">
      <c r="G2271" s="174" t="s">
        <v>3916</v>
      </c>
      <c r="H2271" s="174" t="s">
        <v>1685</v>
      </c>
      <c r="I2271" s="174" t="str">
        <f t="shared" si="1"/>
        <v>NORDESTE</v>
      </c>
    </row>
    <row r="2272" ht="14.25" customHeight="1">
      <c r="G2272" s="174" t="s">
        <v>3917</v>
      </c>
      <c r="H2272" s="174" t="s">
        <v>1685</v>
      </c>
      <c r="I2272" s="174" t="str">
        <f t="shared" si="1"/>
        <v>NORDESTE</v>
      </c>
    </row>
    <row r="2273" ht="14.25" customHeight="1">
      <c r="G2273" s="174" t="s">
        <v>3918</v>
      </c>
      <c r="H2273" s="174" t="s">
        <v>1702</v>
      </c>
      <c r="I2273" s="174" t="str">
        <f t="shared" si="1"/>
        <v>SUL</v>
      </c>
    </row>
    <row r="2274" ht="14.25" customHeight="1">
      <c r="G2274" s="174" t="s">
        <v>3918</v>
      </c>
      <c r="H2274" s="174" t="s">
        <v>1706</v>
      </c>
      <c r="I2274" s="174" t="str">
        <f t="shared" si="1"/>
        <v>SUL</v>
      </c>
    </row>
    <row r="2275" ht="14.25" customHeight="1">
      <c r="G2275" s="174" t="s">
        <v>3919</v>
      </c>
      <c r="H2275" s="174" t="s">
        <v>1690</v>
      </c>
      <c r="I2275" s="174" t="str">
        <f t="shared" si="1"/>
        <v>NORDESTE</v>
      </c>
    </row>
    <row r="2276" ht="14.25" customHeight="1">
      <c r="G2276" s="174" t="s">
        <v>3920</v>
      </c>
      <c r="H2276" s="174" t="s">
        <v>1685</v>
      </c>
      <c r="I2276" s="174" t="str">
        <f t="shared" si="1"/>
        <v>NORDESTE</v>
      </c>
    </row>
    <row r="2277" ht="14.25" customHeight="1">
      <c r="G2277" s="174" t="s">
        <v>3921</v>
      </c>
      <c r="H2277" s="174" t="s">
        <v>1702</v>
      </c>
      <c r="I2277" s="174" t="str">
        <f t="shared" si="1"/>
        <v>SUL</v>
      </c>
    </row>
    <row r="2278" ht="14.25" customHeight="1">
      <c r="G2278" s="174" t="s">
        <v>3922</v>
      </c>
      <c r="H2278" s="174" t="s">
        <v>1706</v>
      </c>
      <c r="I2278" s="174" t="str">
        <f t="shared" si="1"/>
        <v>SUL</v>
      </c>
    </row>
    <row r="2279" ht="14.25" customHeight="1">
      <c r="G2279" s="174" t="s">
        <v>3923</v>
      </c>
      <c r="H2279" s="174" t="s">
        <v>1687</v>
      </c>
      <c r="I2279" s="174" t="str">
        <f t="shared" si="1"/>
        <v>NORTE</v>
      </c>
    </row>
    <row r="2280" ht="14.25" customHeight="1">
      <c r="G2280" s="174" t="s">
        <v>3924</v>
      </c>
      <c r="H2280" s="174" t="s">
        <v>1698</v>
      </c>
      <c r="I2280" s="174" t="str">
        <f t="shared" si="1"/>
        <v>SUDESTE</v>
      </c>
    </row>
    <row r="2281" ht="14.25" customHeight="1">
      <c r="G2281" s="174" t="s">
        <v>3925</v>
      </c>
      <c r="H2281" s="174" t="s">
        <v>1725</v>
      </c>
      <c r="I2281" s="174" t="str">
        <f t="shared" si="1"/>
        <v>NORDESTE</v>
      </c>
    </row>
    <row r="2282" ht="14.25" customHeight="1">
      <c r="G2282" s="174" t="s">
        <v>3926</v>
      </c>
      <c r="H2282" s="174" t="s">
        <v>1658</v>
      </c>
      <c r="I2282" s="174" t="str">
        <f t="shared" si="1"/>
        <v>CENTRO OESTE</v>
      </c>
    </row>
    <row r="2283" ht="14.25" customHeight="1">
      <c r="G2283" s="174" t="s">
        <v>3927</v>
      </c>
      <c r="H2283" s="174" t="s">
        <v>1706</v>
      </c>
      <c r="I2283" s="174" t="str">
        <f t="shared" si="1"/>
        <v>SUL</v>
      </c>
    </row>
    <row r="2284" ht="14.25" customHeight="1">
      <c r="G2284" s="174" t="s">
        <v>3928</v>
      </c>
      <c r="H2284" s="174" t="s">
        <v>1742</v>
      </c>
      <c r="I2284" s="174" t="str">
        <f t="shared" si="1"/>
        <v>SUL</v>
      </c>
    </row>
    <row r="2285" ht="14.25" customHeight="1">
      <c r="G2285" s="174" t="s">
        <v>3929</v>
      </c>
      <c r="H2285" s="174" t="s">
        <v>1719</v>
      </c>
      <c r="I2285" s="174" t="str">
        <f t="shared" si="1"/>
        <v>NORDESTE</v>
      </c>
    </row>
    <row r="2286" ht="14.25" customHeight="1">
      <c r="G2286" s="174" t="s">
        <v>3929</v>
      </c>
      <c r="H2286" s="174" t="s">
        <v>1747</v>
      </c>
      <c r="I2286" s="174" t="str">
        <f t="shared" si="1"/>
        <v>NORDESTE</v>
      </c>
    </row>
    <row r="2287" ht="14.25" customHeight="1">
      <c r="G2287" s="174" t="s">
        <v>3930</v>
      </c>
      <c r="H2287" s="174" t="s">
        <v>1747</v>
      </c>
      <c r="I2287" s="174" t="str">
        <f t="shared" si="1"/>
        <v>NORDESTE</v>
      </c>
    </row>
    <row r="2288" ht="14.25" customHeight="1">
      <c r="G2288" s="174" t="s">
        <v>3931</v>
      </c>
      <c r="H2288" s="174" t="s">
        <v>1685</v>
      </c>
      <c r="I2288" s="174" t="str">
        <f t="shared" si="1"/>
        <v>NORDESTE</v>
      </c>
    </row>
    <row r="2289" ht="14.25" customHeight="1">
      <c r="G2289" s="174" t="s">
        <v>3932</v>
      </c>
      <c r="H2289" s="174" t="s">
        <v>1750</v>
      </c>
      <c r="I2289" s="174" t="str">
        <f t="shared" si="1"/>
        <v>SUDESTE</v>
      </c>
    </row>
    <row r="2290" ht="14.25" customHeight="1">
      <c r="G2290" s="174" t="s">
        <v>3933</v>
      </c>
      <c r="H2290" s="174" t="s">
        <v>1685</v>
      </c>
      <c r="I2290" s="174" t="str">
        <f t="shared" si="1"/>
        <v>NORDESTE</v>
      </c>
    </row>
    <row r="2291" ht="14.25" customHeight="1">
      <c r="G2291" s="174" t="s">
        <v>3934</v>
      </c>
      <c r="H2291" s="174" t="s">
        <v>1658</v>
      </c>
      <c r="I2291" s="174" t="str">
        <f t="shared" si="1"/>
        <v>CENTRO OESTE</v>
      </c>
    </row>
    <row r="2292" ht="14.25" customHeight="1">
      <c r="G2292" s="174" t="s">
        <v>3935</v>
      </c>
      <c r="H2292" s="174" t="s">
        <v>1747</v>
      </c>
      <c r="I2292" s="174" t="str">
        <f t="shared" si="1"/>
        <v>NORDESTE</v>
      </c>
    </row>
    <row r="2293" ht="14.25" customHeight="1">
      <c r="G2293" s="174" t="s">
        <v>3936</v>
      </c>
      <c r="H2293" s="174" t="s">
        <v>1666</v>
      </c>
      <c r="I2293" s="174" t="str">
        <f t="shared" si="1"/>
        <v>SUDESTE</v>
      </c>
    </row>
    <row r="2294" ht="14.25" customHeight="1">
      <c r="G2294" s="174" t="s">
        <v>3937</v>
      </c>
      <c r="H2294" s="174" t="s">
        <v>1666</v>
      </c>
      <c r="I2294" s="174" t="str">
        <f t="shared" si="1"/>
        <v>SUDESTE</v>
      </c>
    </row>
    <row r="2295" ht="14.25" customHeight="1">
      <c r="G2295" s="174" t="s">
        <v>3938</v>
      </c>
      <c r="H2295" s="174" t="s">
        <v>1666</v>
      </c>
      <c r="I2295" s="174" t="str">
        <f t="shared" si="1"/>
        <v>SUDESTE</v>
      </c>
    </row>
    <row r="2296" ht="14.25" customHeight="1">
      <c r="G2296" s="174" t="s">
        <v>3939</v>
      </c>
      <c r="H2296" s="174" t="s">
        <v>1730</v>
      </c>
      <c r="I2296" s="174" t="str">
        <f t="shared" si="1"/>
        <v>SUDESTE</v>
      </c>
    </row>
    <row r="2297" ht="14.25" customHeight="1">
      <c r="G2297" s="174" t="s">
        <v>3940</v>
      </c>
      <c r="H2297" s="174" t="s">
        <v>1685</v>
      </c>
      <c r="I2297" s="174" t="str">
        <f t="shared" si="1"/>
        <v>NORDESTE</v>
      </c>
    </row>
    <row r="2298" ht="14.25" customHeight="1">
      <c r="G2298" s="174" t="s">
        <v>3941</v>
      </c>
      <c r="H2298" s="174" t="s">
        <v>1721</v>
      </c>
      <c r="I2298" s="174" t="str">
        <f t="shared" si="1"/>
        <v>NORTE</v>
      </c>
    </row>
    <row r="2299" ht="14.25" customHeight="1">
      <c r="G2299" s="174" t="s">
        <v>3942</v>
      </c>
      <c r="H2299" s="174" t="s">
        <v>1666</v>
      </c>
      <c r="I2299" s="174" t="str">
        <f t="shared" si="1"/>
        <v>SUDESTE</v>
      </c>
    </row>
    <row r="2300" ht="14.25" customHeight="1">
      <c r="G2300" s="174" t="s">
        <v>3943</v>
      </c>
      <c r="H2300" s="174" t="s">
        <v>1666</v>
      </c>
      <c r="I2300" s="174" t="str">
        <f t="shared" si="1"/>
        <v>SUDESTE</v>
      </c>
    </row>
    <row r="2301" ht="14.25" customHeight="1">
      <c r="G2301" s="174" t="s">
        <v>3944</v>
      </c>
      <c r="H2301" s="174" t="s">
        <v>1685</v>
      </c>
      <c r="I2301" s="174" t="str">
        <f t="shared" si="1"/>
        <v>NORDESTE</v>
      </c>
    </row>
    <row r="2302" ht="14.25" customHeight="1">
      <c r="G2302" s="174" t="s">
        <v>3945</v>
      </c>
      <c r="H2302" s="174" t="s">
        <v>1672</v>
      </c>
      <c r="I2302" s="174" t="str">
        <f t="shared" si="1"/>
        <v>NORTE</v>
      </c>
    </row>
    <row r="2303" ht="14.25" customHeight="1">
      <c r="G2303" s="174" t="s">
        <v>3946</v>
      </c>
      <c r="H2303" s="174" t="s">
        <v>1717</v>
      </c>
      <c r="I2303" s="174" t="str">
        <f t="shared" si="1"/>
        <v>NORDESTE</v>
      </c>
    </row>
    <row r="2304" ht="14.25" customHeight="1">
      <c r="G2304" s="174" t="s">
        <v>3947</v>
      </c>
      <c r="H2304" s="174" t="s">
        <v>1742</v>
      </c>
      <c r="I2304" s="174" t="str">
        <f t="shared" si="1"/>
        <v>SUL</v>
      </c>
    </row>
    <row r="2305" ht="14.25" customHeight="1">
      <c r="G2305" s="174" t="s">
        <v>3948</v>
      </c>
      <c r="H2305" s="174" t="s">
        <v>1685</v>
      </c>
      <c r="I2305" s="174" t="str">
        <f t="shared" si="1"/>
        <v>NORDESTE</v>
      </c>
    </row>
    <row r="2306" ht="14.25" customHeight="1">
      <c r="G2306" s="174" t="s">
        <v>3949</v>
      </c>
      <c r="H2306" s="174" t="s">
        <v>1685</v>
      </c>
      <c r="I2306" s="174" t="str">
        <f t="shared" si="1"/>
        <v>NORDESTE</v>
      </c>
    </row>
    <row r="2307" ht="14.25" customHeight="1">
      <c r="G2307" s="174" t="s">
        <v>3950</v>
      </c>
      <c r="H2307" s="174" t="s">
        <v>1685</v>
      </c>
      <c r="I2307" s="174" t="str">
        <f t="shared" si="1"/>
        <v>NORDESTE</v>
      </c>
    </row>
    <row r="2308" ht="14.25" customHeight="1">
      <c r="G2308" s="174" t="s">
        <v>3951</v>
      </c>
      <c r="H2308" s="174" t="s">
        <v>1685</v>
      </c>
      <c r="I2308" s="174" t="str">
        <f t="shared" si="1"/>
        <v>NORDESTE</v>
      </c>
    </row>
    <row r="2309" ht="14.25" customHeight="1">
      <c r="G2309" s="174" t="s">
        <v>3952</v>
      </c>
      <c r="H2309" s="174" t="s">
        <v>1698</v>
      </c>
      <c r="I2309" s="174" t="str">
        <f t="shared" si="1"/>
        <v>SUDESTE</v>
      </c>
    </row>
    <row r="2310" ht="14.25" customHeight="1">
      <c r="G2310" s="174" t="s">
        <v>3953</v>
      </c>
      <c r="H2310" s="174" t="s">
        <v>1685</v>
      </c>
      <c r="I2310" s="174" t="str">
        <f t="shared" si="1"/>
        <v>NORDESTE</v>
      </c>
    </row>
    <row r="2311" ht="14.25" customHeight="1">
      <c r="G2311" s="174" t="s">
        <v>3954</v>
      </c>
      <c r="H2311" s="174" t="s">
        <v>1730</v>
      </c>
      <c r="I2311" s="174" t="str">
        <f t="shared" si="1"/>
        <v>SUDESTE</v>
      </c>
    </row>
    <row r="2312" ht="14.25" customHeight="1">
      <c r="G2312" s="174" t="s">
        <v>3955</v>
      </c>
      <c r="H2312" s="174" t="s">
        <v>1702</v>
      </c>
      <c r="I2312" s="174" t="str">
        <f t="shared" si="1"/>
        <v>SUL</v>
      </c>
    </row>
    <row r="2313" ht="14.25" customHeight="1">
      <c r="G2313" s="174" t="s">
        <v>3956</v>
      </c>
      <c r="H2313" s="174" t="s">
        <v>1666</v>
      </c>
      <c r="I2313" s="174" t="str">
        <f t="shared" si="1"/>
        <v>SUDESTE</v>
      </c>
    </row>
    <row r="2314" ht="14.25" customHeight="1">
      <c r="G2314" s="174" t="s">
        <v>3957</v>
      </c>
      <c r="H2314" s="174" t="s">
        <v>1658</v>
      </c>
      <c r="I2314" s="174" t="str">
        <f t="shared" si="1"/>
        <v>CENTRO OESTE</v>
      </c>
    </row>
    <row r="2315" ht="14.25" customHeight="1">
      <c r="G2315" s="174" t="s">
        <v>3958</v>
      </c>
      <c r="H2315" s="174" t="s">
        <v>1658</v>
      </c>
      <c r="I2315" s="174" t="str">
        <f t="shared" si="1"/>
        <v>CENTRO OESTE</v>
      </c>
    </row>
    <row r="2316" ht="14.25" customHeight="1">
      <c r="G2316" s="174" t="s">
        <v>3959</v>
      </c>
      <c r="H2316" s="174" t="s">
        <v>1721</v>
      </c>
      <c r="I2316" s="174" t="str">
        <f t="shared" si="1"/>
        <v>NORTE</v>
      </c>
    </row>
    <row r="2317" ht="14.25" customHeight="1">
      <c r="G2317" s="174" t="s">
        <v>3960</v>
      </c>
      <c r="H2317" s="174" t="s">
        <v>1750</v>
      </c>
      <c r="I2317" s="174" t="str">
        <f t="shared" si="1"/>
        <v>SUDESTE</v>
      </c>
    </row>
    <row r="2318" ht="14.25" customHeight="1">
      <c r="G2318" s="174" t="s">
        <v>3961</v>
      </c>
      <c r="H2318" s="174" t="s">
        <v>1717</v>
      </c>
      <c r="I2318" s="174" t="str">
        <f t="shared" si="1"/>
        <v>NORDESTE</v>
      </c>
    </row>
    <row r="2319" ht="14.25" customHeight="1">
      <c r="G2319" s="174" t="s">
        <v>3962</v>
      </c>
      <c r="H2319" s="174" t="s">
        <v>1690</v>
      </c>
      <c r="I2319" s="174" t="str">
        <f t="shared" si="1"/>
        <v>NORDESTE</v>
      </c>
    </row>
    <row r="2320" ht="14.25" customHeight="1">
      <c r="G2320" s="174" t="s">
        <v>3963</v>
      </c>
      <c r="H2320" s="174" t="s">
        <v>1725</v>
      </c>
      <c r="I2320" s="174" t="str">
        <f t="shared" si="1"/>
        <v>NORDESTE</v>
      </c>
    </row>
    <row r="2321" ht="14.25" customHeight="1">
      <c r="G2321" s="174" t="s">
        <v>3964</v>
      </c>
      <c r="H2321" s="174" t="s">
        <v>1706</v>
      </c>
      <c r="I2321" s="174" t="str">
        <f t="shared" si="1"/>
        <v>SUL</v>
      </c>
    </row>
    <row r="2322" ht="14.25" customHeight="1">
      <c r="G2322" s="174" t="s">
        <v>3965</v>
      </c>
      <c r="H2322" s="174" t="s">
        <v>1704</v>
      </c>
      <c r="I2322" s="174" t="str">
        <f t="shared" si="1"/>
        <v>NORDESTE</v>
      </c>
    </row>
    <row r="2323" ht="14.25" customHeight="1">
      <c r="G2323" s="174" t="s">
        <v>3966</v>
      </c>
      <c r="H2323" s="174" t="s">
        <v>1666</v>
      </c>
      <c r="I2323" s="174" t="str">
        <f t="shared" si="1"/>
        <v>SUDESTE</v>
      </c>
    </row>
    <row r="2324" ht="14.25" customHeight="1">
      <c r="G2324" s="174" t="s">
        <v>3967</v>
      </c>
      <c r="H2324" s="174" t="s">
        <v>1702</v>
      </c>
      <c r="I2324" s="174" t="str">
        <f t="shared" si="1"/>
        <v>SUL</v>
      </c>
    </row>
    <row r="2325" ht="14.25" customHeight="1">
      <c r="G2325" s="174" t="s">
        <v>3968</v>
      </c>
      <c r="H2325" s="174" t="s">
        <v>1690</v>
      </c>
      <c r="I2325" s="174" t="str">
        <f t="shared" si="1"/>
        <v>NORDESTE</v>
      </c>
    </row>
    <row r="2326" ht="14.25" customHeight="1">
      <c r="G2326" s="174" t="s">
        <v>3969</v>
      </c>
      <c r="H2326" s="174" t="s">
        <v>1687</v>
      </c>
      <c r="I2326" s="174" t="str">
        <f t="shared" si="1"/>
        <v>NORTE</v>
      </c>
    </row>
    <row r="2327" ht="14.25" customHeight="1">
      <c r="G2327" s="174" t="s">
        <v>3970</v>
      </c>
      <c r="H2327" s="174" t="s">
        <v>1733</v>
      </c>
      <c r="I2327" s="174" t="str">
        <f t="shared" si="1"/>
        <v>NORDESTE</v>
      </c>
    </row>
    <row r="2328" ht="14.25" customHeight="1">
      <c r="G2328" s="174" t="s">
        <v>3970</v>
      </c>
      <c r="H2328" s="174" t="s">
        <v>1658</v>
      </c>
      <c r="I2328" s="174" t="str">
        <f t="shared" si="1"/>
        <v>CENTRO OESTE</v>
      </c>
    </row>
    <row r="2329" ht="14.25" customHeight="1">
      <c r="G2329" s="174" t="s">
        <v>3971</v>
      </c>
      <c r="H2329" s="174" t="s">
        <v>1706</v>
      </c>
      <c r="I2329" s="174" t="str">
        <f t="shared" si="1"/>
        <v>SUL</v>
      </c>
    </row>
    <row r="2330" ht="14.25" customHeight="1">
      <c r="G2330" s="174" t="s">
        <v>3972</v>
      </c>
      <c r="H2330" s="174" t="s">
        <v>1750</v>
      </c>
      <c r="I2330" s="174" t="str">
        <f t="shared" si="1"/>
        <v>SUDESTE</v>
      </c>
    </row>
    <row r="2331" ht="14.25" customHeight="1">
      <c r="G2331" s="174" t="s">
        <v>3973</v>
      </c>
      <c r="H2331" s="174" t="s">
        <v>1750</v>
      </c>
      <c r="I2331" s="174" t="str">
        <f t="shared" si="1"/>
        <v>SUDESTE</v>
      </c>
    </row>
    <row r="2332" ht="14.25" customHeight="1">
      <c r="G2332" s="174" t="s">
        <v>3974</v>
      </c>
      <c r="H2332" s="174" t="s">
        <v>1685</v>
      </c>
      <c r="I2332" s="174" t="str">
        <f t="shared" si="1"/>
        <v>NORDESTE</v>
      </c>
    </row>
    <row r="2333" ht="14.25" customHeight="1">
      <c r="G2333" s="174" t="s">
        <v>3975</v>
      </c>
      <c r="H2333" s="174" t="s">
        <v>1666</v>
      </c>
      <c r="I2333" s="174" t="str">
        <f t="shared" si="1"/>
        <v>SUDESTE</v>
      </c>
    </row>
    <row r="2334" ht="14.25" customHeight="1">
      <c r="G2334" s="174" t="s">
        <v>3976</v>
      </c>
      <c r="H2334" s="174" t="s">
        <v>1685</v>
      </c>
      <c r="I2334" s="174" t="str">
        <f t="shared" si="1"/>
        <v>NORDESTE</v>
      </c>
    </row>
    <row r="2335" ht="14.25" customHeight="1">
      <c r="G2335" s="174" t="s">
        <v>3977</v>
      </c>
      <c r="H2335" s="174" t="s">
        <v>1730</v>
      </c>
      <c r="I2335" s="174" t="str">
        <f t="shared" si="1"/>
        <v>SUDESTE</v>
      </c>
    </row>
    <row r="2336" ht="14.25" customHeight="1">
      <c r="G2336" s="174" t="s">
        <v>3978</v>
      </c>
      <c r="H2336" s="174" t="s">
        <v>1685</v>
      </c>
      <c r="I2336" s="174" t="str">
        <f t="shared" si="1"/>
        <v>NORDESTE</v>
      </c>
    </row>
    <row r="2337" ht="14.25" customHeight="1">
      <c r="G2337" s="174" t="s">
        <v>3979</v>
      </c>
      <c r="H2337" s="174" t="s">
        <v>1666</v>
      </c>
      <c r="I2337" s="174" t="str">
        <f t="shared" si="1"/>
        <v>SUDESTE</v>
      </c>
    </row>
    <row r="2338" ht="14.25" customHeight="1">
      <c r="G2338" s="174" t="s">
        <v>3980</v>
      </c>
      <c r="H2338" s="174" t="s">
        <v>1672</v>
      </c>
      <c r="I2338" s="174" t="str">
        <f t="shared" si="1"/>
        <v>NORTE</v>
      </c>
    </row>
    <row r="2339" ht="14.25" customHeight="1">
      <c r="G2339" s="174" t="s">
        <v>3981</v>
      </c>
      <c r="H2339" s="174" t="s">
        <v>1666</v>
      </c>
      <c r="I2339" s="174" t="str">
        <f t="shared" si="1"/>
        <v>SUDESTE</v>
      </c>
    </row>
    <row r="2340" ht="14.25" customHeight="1">
      <c r="G2340" s="174" t="s">
        <v>3982</v>
      </c>
      <c r="H2340" s="174" t="s">
        <v>1685</v>
      </c>
      <c r="I2340" s="174" t="str">
        <f t="shared" si="1"/>
        <v>NORDESTE</v>
      </c>
    </row>
    <row r="2341" ht="14.25" customHeight="1">
      <c r="G2341" s="174" t="s">
        <v>3983</v>
      </c>
      <c r="H2341" s="174" t="s">
        <v>1666</v>
      </c>
      <c r="I2341" s="174" t="str">
        <f t="shared" si="1"/>
        <v>SUDESTE</v>
      </c>
    </row>
    <row r="2342" ht="14.25" customHeight="1">
      <c r="G2342" s="174" t="s">
        <v>3984</v>
      </c>
      <c r="H2342" s="174" t="s">
        <v>1702</v>
      </c>
      <c r="I2342" s="174" t="str">
        <f t="shared" si="1"/>
        <v>SUL</v>
      </c>
    </row>
    <row r="2343" ht="14.25" customHeight="1">
      <c r="G2343" s="174" t="s">
        <v>3985</v>
      </c>
      <c r="H2343" s="174" t="s">
        <v>1717</v>
      </c>
      <c r="I2343" s="174" t="str">
        <f t="shared" si="1"/>
        <v>NORDESTE</v>
      </c>
    </row>
    <row r="2344" ht="14.25" customHeight="1">
      <c r="G2344" s="174" t="s">
        <v>3985</v>
      </c>
      <c r="H2344" s="174" t="s">
        <v>1685</v>
      </c>
      <c r="I2344" s="174" t="str">
        <f t="shared" si="1"/>
        <v>NORDESTE</v>
      </c>
    </row>
    <row r="2345" ht="14.25" customHeight="1">
      <c r="G2345" s="174" t="s">
        <v>3985</v>
      </c>
      <c r="H2345" s="174" t="s">
        <v>1702</v>
      </c>
      <c r="I2345" s="174" t="str">
        <f t="shared" si="1"/>
        <v>SUL</v>
      </c>
    </row>
    <row r="2346" ht="14.25" customHeight="1">
      <c r="G2346" s="174" t="s">
        <v>3986</v>
      </c>
      <c r="H2346" s="174" t="s">
        <v>1666</v>
      </c>
      <c r="I2346" s="174" t="str">
        <f t="shared" si="1"/>
        <v>SUDESTE</v>
      </c>
    </row>
    <row r="2347" ht="14.25" customHeight="1">
      <c r="G2347" s="174" t="s">
        <v>3987</v>
      </c>
      <c r="H2347" s="174" t="s">
        <v>1666</v>
      </c>
      <c r="I2347" s="174" t="str">
        <f t="shared" si="1"/>
        <v>SUDESTE</v>
      </c>
    </row>
    <row r="2348" ht="14.25" customHeight="1">
      <c r="G2348" s="174" t="s">
        <v>3988</v>
      </c>
      <c r="H2348" s="174" t="s">
        <v>1666</v>
      </c>
      <c r="I2348" s="174" t="str">
        <f t="shared" si="1"/>
        <v>SUDESTE</v>
      </c>
    </row>
    <row r="2349" ht="14.25" customHeight="1">
      <c r="G2349" s="174" t="s">
        <v>3989</v>
      </c>
      <c r="H2349" s="174" t="s">
        <v>1685</v>
      </c>
      <c r="I2349" s="174" t="str">
        <f t="shared" si="1"/>
        <v>NORDESTE</v>
      </c>
    </row>
    <row r="2350" ht="14.25" customHeight="1">
      <c r="G2350" s="174" t="s">
        <v>3990</v>
      </c>
      <c r="H2350" s="174" t="s">
        <v>1750</v>
      </c>
      <c r="I2350" s="174" t="str">
        <f t="shared" si="1"/>
        <v>SUDESTE</v>
      </c>
    </row>
    <row r="2351" ht="14.25" customHeight="1">
      <c r="G2351" s="174" t="s">
        <v>3991</v>
      </c>
      <c r="H2351" s="174" t="s">
        <v>1666</v>
      </c>
      <c r="I2351" s="174" t="str">
        <f t="shared" si="1"/>
        <v>SUDESTE</v>
      </c>
    </row>
    <row r="2352" ht="14.25" customHeight="1">
      <c r="G2352" s="174" t="s">
        <v>3992</v>
      </c>
      <c r="H2352" s="174" t="s">
        <v>1713</v>
      </c>
      <c r="I2352" s="174" t="str">
        <f t="shared" si="1"/>
        <v>CENTRO OESTE</v>
      </c>
    </row>
    <row r="2353" ht="14.25" customHeight="1">
      <c r="G2353" s="174" t="s">
        <v>3993</v>
      </c>
      <c r="H2353" s="174" t="s">
        <v>1685</v>
      </c>
      <c r="I2353" s="174" t="str">
        <f t="shared" si="1"/>
        <v>NORDESTE</v>
      </c>
    </row>
    <row r="2354" ht="14.25" customHeight="1">
      <c r="G2354" s="174" t="s">
        <v>3994</v>
      </c>
      <c r="H2354" s="174" t="s">
        <v>1666</v>
      </c>
      <c r="I2354" s="174" t="str">
        <f t="shared" si="1"/>
        <v>SUDESTE</v>
      </c>
    </row>
    <row r="2355" ht="14.25" customHeight="1">
      <c r="G2355" s="174" t="s">
        <v>3995</v>
      </c>
      <c r="H2355" s="174" t="s">
        <v>1666</v>
      </c>
      <c r="I2355" s="174" t="str">
        <f t="shared" si="1"/>
        <v>SUDESTE</v>
      </c>
    </row>
    <row r="2356" ht="14.25" customHeight="1">
      <c r="G2356" s="174" t="s">
        <v>3996</v>
      </c>
      <c r="H2356" s="174" t="s">
        <v>1750</v>
      </c>
      <c r="I2356" s="174" t="str">
        <f t="shared" si="1"/>
        <v>SUDESTE</v>
      </c>
    </row>
    <row r="2357" ht="14.25" customHeight="1">
      <c r="G2357" s="174" t="s">
        <v>3997</v>
      </c>
      <c r="H2357" s="174" t="s">
        <v>1730</v>
      </c>
      <c r="I2357" s="174" t="str">
        <f t="shared" si="1"/>
        <v>SUDESTE</v>
      </c>
    </row>
    <row r="2358" ht="14.25" customHeight="1">
      <c r="G2358" s="174" t="s">
        <v>3998</v>
      </c>
      <c r="H2358" s="174" t="s">
        <v>1658</v>
      </c>
      <c r="I2358" s="174" t="str">
        <f t="shared" si="1"/>
        <v>CENTRO OESTE</v>
      </c>
    </row>
    <row r="2359" ht="14.25" customHeight="1">
      <c r="G2359" s="174" t="s">
        <v>3999</v>
      </c>
      <c r="H2359" s="174" t="s">
        <v>1690</v>
      </c>
      <c r="I2359" s="174" t="str">
        <f t="shared" si="1"/>
        <v>NORDESTE</v>
      </c>
    </row>
    <row r="2360" ht="14.25" customHeight="1">
      <c r="G2360" s="174" t="s">
        <v>4000</v>
      </c>
      <c r="H2360" s="174" t="s">
        <v>1666</v>
      </c>
      <c r="I2360" s="174" t="str">
        <f t="shared" si="1"/>
        <v>SUDESTE</v>
      </c>
    </row>
    <row r="2361" ht="14.25" customHeight="1">
      <c r="G2361" s="174" t="s">
        <v>4001</v>
      </c>
      <c r="H2361" s="174" t="s">
        <v>1685</v>
      </c>
      <c r="I2361" s="174" t="str">
        <f t="shared" si="1"/>
        <v>NORDESTE</v>
      </c>
    </row>
    <row r="2362" ht="14.25" customHeight="1">
      <c r="G2362" s="174" t="s">
        <v>4002</v>
      </c>
      <c r="H2362" s="174" t="s">
        <v>1685</v>
      </c>
      <c r="I2362" s="174" t="str">
        <f t="shared" si="1"/>
        <v>NORDESTE</v>
      </c>
    </row>
    <row r="2363" ht="14.25" customHeight="1">
      <c r="G2363" s="174" t="s">
        <v>4003</v>
      </c>
      <c r="H2363" s="174" t="s">
        <v>1685</v>
      </c>
      <c r="I2363" s="174" t="str">
        <f t="shared" si="1"/>
        <v>NORDESTE</v>
      </c>
    </row>
    <row r="2364" ht="14.25" customHeight="1">
      <c r="G2364" s="174" t="s">
        <v>4004</v>
      </c>
      <c r="H2364" s="174" t="s">
        <v>1666</v>
      </c>
      <c r="I2364" s="174" t="str">
        <f t="shared" si="1"/>
        <v>SUDESTE</v>
      </c>
    </row>
    <row r="2365" ht="14.25" customHeight="1">
      <c r="G2365" s="174" t="s">
        <v>4005</v>
      </c>
      <c r="H2365" s="174" t="s">
        <v>1750</v>
      </c>
      <c r="I2365" s="174" t="str">
        <f t="shared" si="1"/>
        <v>SUDESTE</v>
      </c>
    </row>
    <row r="2366" ht="14.25" customHeight="1">
      <c r="G2366" s="174" t="s">
        <v>4006</v>
      </c>
      <c r="H2366" s="174" t="s">
        <v>1704</v>
      </c>
      <c r="I2366" s="174" t="str">
        <f t="shared" si="1"/>
        <v>NORDESTE</v>
      </c>
    </row>
    <row r="2367" ht="14.25" customHeight="1">
      <c r="G2367" s="174" t="s">
        <v>4007</v>
      </c>
      <c r="H2367" s="174" t="s">
        <v>1702</v>
      </c>
      <c r="I2367" s="174" t="str">
        <f t="shared" si="1"/>
        <v>SUL</v>
      </c>
    </row>
    <row r="2368" ht="14.25" customHeight="1">
      <c r="G2368" s="174" t="s">
        <v>4008</v>
      </c>
      <c r="H2368" s="174" t="s">
        <v>1706</v>
      </c>
      <c r="I2368" s="174" t="str">
        <f t="shared" si="1"/>
        <v>SUL</v>
      </c>
    </row>
    <row r="2369" ht="14.25" customHeight="1">
      <c r="G2369" s="174" t="s">
        <v>4009</v>
      </c>
      <c r="H2369" s="174" t="s">
        <v>1698</v>
      </c>
      <c r="I2369" s="174" t="str">
        <f t="shared" si="1"/>
        <v>SUDESTE</v>
      </c>
    </row>
    <row r="2370" ht="14.25" customHeight="1">
      <c r="G2370" s="174" t="s">
        <v>4010</v>
      </c>
      <c r="H2370" s="174" t="s">
        <v>1702</v>
      </c>
      <c r="I2370" s="174" t="str">
        <f t="shared" si="1"/>
        <v>SUL</v>
      </c>
    </row>
    <row r="2371" ht="14.25" customHeight="1">
      <c r="G2371" s="174" t="s">
        <v>4011</v>
      </c>
      <c r="H2371" s="174" t="s">
        <v>1730</v>
      </c>
      <c r="I2371" s="174" t="str">
        <f t="shared" si="1"/>
        <v>SUDESTE</v>
      </c>
    </row>
    <row r="2372" ht="14.25" customHeight="1">
      <c r="G2372" s="174" t="s">
        <v>4012</v>
      </c>
      <c r="H2372" s="174" t="s">
        <v>1717</v>
      </c>
      <c r="I2372" s="174" t="str">
        <f t="shared" si="1"/>
        <v>NORDESTE</v>
      </c>
    </row>
    <row r="2373" ht="14.25" customHeight="1">
      <c r="G2373" s="174" t="s">
        <v>4013</v>
      </c>
      <c r="H2373" s="174" t="s">
        <v>1685</v>
      </c>
      <c r="I2373" s="174" t="str">
        <f t="shared" si="1"/>
        <v>NORDESTE</v>
      </c>
    </row>
    <row r="2374" ht="14.25" customHeight="1">
      <c r="G2374" s="174" t="s">
        <v>4014</v>
      </c>
      <c r="H2374" s="174" t="s">
        <v>1750</v>
      </c>
      <c r="I2374" s="174" t="str">
        <f t="shared" si="1"/>
        <v>SUDESTE</v>
      </c>
    </row>
    <row r="2375" ht="14.25" customHeight="1">
      <c r="G2375" s="174" t="s">
        <v>4015</v>
      </c>
      <c r="H2375" s="174" t="s">
        <v>1666</v>
      </c>
      <c r="I2375" s="174" t="str">
        <f t="shared" si="1"/>
        <v>SUDESTE</v>
      </c>
    </row>
    <row r="2376" ht="14.25" customHeight="1">
      <c r="G2376" s="174" t="s">
        <v>4015</v>
      </c>
      <c r="H2376" s="174" t="s">
        <v>1750</v>
      </c>
      <c r="I2376" s="174" t="str">
        <f t="shared" si="1"/>
        <v>SUDESTE</v>
      </c>
    </row>
    <row r="2377" ht="14.25" customHeight="1">
      <c r="G2377" s="174" t="s">
        <v>4016</v>
      </c>
      <c r="H2377" s="174" t="s">
        <v>1750</v>
      </c>
      <c r="I2377" s="174" t="str">
        <f t="shared" si="1"/>
        <v>SUDESTE</v>
      </c>
    </row>
    <row r="2378" ht="14.25" customHeight="1">
      <c r="G2378" s="174" t="s">
        <v>4017</v>
      </c>
      <c r="H2378" s="174" t="s">
        <v>1685</v>
      </c>
      <c r="I2378" s="174" t="str">
        <f t="shared" si="1"/>
        <v>NORDESTE</v>
      </c>
    </row>
    <row r="2379" ht="14.25" customHeight="1">
      <c r="G2379" s="174" t="s">
        <v>4018</v>
      </c>
      <c r="H2379" s="174" t="s">
        <v>1690</v>
      </c>
      <c r="I2379" s="174" t="str">
        <f t="shared" si="1"/>
        <v>NORDESTE</v>
      </c>
    </row>
    <row r="2380" ht="14.25" customHeight="1">
      <c r="G2380" s="174" t="s">
        <v>4019</v>
      </c>
      <c r="H2380" s="174" t="s">
        <v>1750</v>
      </c>
      <c r="I2380" s="174" t="str">
        <f t="shared" si="1"/>
        <v>SUDESTE</v>
      </c>
    </row>
    <row r="2381" ht="14.25" customHeight="1">
      <c r="G2381" s="174" t="s">
        <v>4020</v>
      </c>
      <c r="H2381" s="174" t="s">
        <v>1672</v>
      </c>
      <c r="I2381" s="174" t="str">
        <f t="shared" si="1"/>
        <v>NORTE</v>
      </c>
    </row>
    <row r="2382" ht="14.25" customHeight="1">
      <c r="G2382" s="174" t="s">
        <v>4020</v>
      </c>
      <c r="H2382" s="174" t="s">
        <v>1706</v>
      </c>
      <c r="I2382" s="174" t="str">
        <f t="shared" si="1"/>
        <v>SUL</v>
      </c>
    </row>
    <row r="2383" ht="14.25" customHeight="1">
      <c r="G2383" s="174" t="s">
        <v>4021</v>
      </c>
      <c r="H2383" s="174" t="s">
        <v>1658</v>
      </c>
      <c r="I2383" s="174" t="str">
        <f t="shared" si="1"/>
        <v>CENTRO OESTE</v>
      </c>
    </row>
    <row r="2384" ht="14.25" customHeight="1">
      <c r="G2384" s="174" t="s">
        <v>4022</v>
      </c>
      <c r="H2384" s="174" t="s">
        <v>1750</v>
      </c>
      <c r="I2384" s="174" t="str">
        <f t="shared" si="1"/>
        <v>SUDESTE</v>
      </c>
    </row>
    <row r="2385" ht="14.25" customHeight="1">
      <c r="G2385" s="174" t="s">
        <v>4023</v>
      </c>
      <c r="H2385" s="174" t="s">
        <v>1721</v>
      </c>
      <c r="I2385" s="174" t="str">
        <f t="shared" si="1"/>
        <v>NORTE</v>
      </c>
    </row>
    <row r="2386" ht="14.25" customHeight="1">
      <c r="G2386" s="174" t="s">
        <v>4024</v>
      </c>
      <c r="H2386" s="174" t="s">
        <v>1717</v>
      </c>
      <c r="I2386" s="174" t="str">
        <f t="shared" si="1"/>
        <v>NORDESTE</v>
      </c>
    </row>
    <row r="2387" ht="14.25" customHeight="1">
      <c r="G2387" s="174" t="s">
        <v>4025</v>
      </c>
      <c r="H2387" s="174" t="s">
        <v>1685</v>
      </c>
      <c r="I2387" s="174" t="str">
        <f t="shared" si="1"/>
        <v>NORDESTE</v>
      </c>
    </row>
    <row r="2388" ht="14.25" customHeight="1">
      <c r="G2388" s="174" t="s">
        <v>4026</v>
      </c>
      <c r="H2388" s="174" t="s">
        <v>1690</v>
      </c>
      <c r="I2388" s="174" t="str">
        <f t="shared" si="1"/>
        <v>NORDESTE</v>
      </c>
    </row>
    <row r="2389" ht="14.25" customHeight="1">
      <c r="G2389" s="174" t="s">
        <v>4027</v>
      </c>
      <c r="H2389" s="174" t="s">
        <v>1706</v>
      </c>
      <c r="I2389" s="174" t="str">
        <f t="shared" si="1"/>
        <v>SUL</v>
      </c>
    </row>
    <row r="2390" ht="14.25" customHeight="1">
      <c r="G2390" s="174" t="s">
        <v>4028</v>
      </c>
      <c r="H2390" s="174" t="s">
        <v>1750</v>
      </c>
      <c r="I2390" s="174" t="str">
        <f t="shared" si="1"/>
        <v>SUDESTE</v>
      </c>
    </row>
    <row r="2391" ht="14.25" customHeight="1">
      <c r="G2391" s="174" t="s">
        <v>4029</v>
      </c>
      <c r="H2391" s="174" t="s">
        <v>1710</v>
      </c>
      <c r="I2391" s="174" t="str">
        <f t="shared" si="1"/>
        <v>CENTRO OESTE</v>
      </c>
    </row>
    <row r="2392" ht="14.25" customHeight="1">
      <c r="G2392" s="174" t="s">
        <v>4030</v>
      </c>
      <c r="H2392" s="174" t="s">
        <v>1721</v>
      </c>
      <c r="I2392" s="174" t="str">
        <f t="shared" si="1"/>
        <v>NORTE</v>
      </c>
    </row>
    <row r="2393" ht="14.25" customHeight="1">
      <c r="G2393" s="174" t="s">
        <v>4031</v>
      </c>
      <c r="H2393" s="174" t="s">
        <v>1719</v>
      </c>
      <c r="I2393" s="174" t="str">
        <f t="shared" si="1"/>
        <v>NORDESTE</v>
      </c>
    </row>
    <row r="2394" ht="14.25" customHeight="1">
      <c r="G2394" s="174" t="s">
        <v>4031</v>
      </c>
      <c r="H2394" s="174" t="s">
        <v>1750</v>
      </c>
      <c r="I2394" s="174" t="str">
        <f t="shared" si="1"/>
        <v>SUDESTE</v>
      </c>
    </row>
    <row r="2395" ht="14.25" customHeight="1">
      <c r="G2395" s="174" t="s">
        <v>4032</v>
      </c>
      <c r="H2395" s="174" t="s">
        <v>1747</v>
      </c>
      <c r="I2395" s="174" t="str">
        <f t="shared" si="1"/>
        <v>NORDESTE</v>
      </c>
    </row>
    <row r="2396" ht="14.25" customHeight="1">
      <c r="G2396" s="174" t="s">
        <v>4033</v>
      </c>
      <c r="H2396" s="174" t="s">
        <v>1719</v>
      </c>
      <c r="I2396" s="174" t="str">
        <f t="shared" si="1"/>
        <v>NORDESTE</v>
      </c>
    </row>
    <row r="2397" ht="14.25" customHeight="1">
      <c r="G2397" s="174" t="s">
        <v>4034</v>
      </c>
      <c r="H2397" s="174" t="s">
        <v>1736</v>
      </c>
      <c r="I2397" s="174" t="str">
        <f t="shared" si="1"/>
        <v>NORTE</v>
      </c>
    </row>
    <row r="2398" ht="14.25" customHeight="1">
      <c r="G2398" s="174" t="s">
        <v>4035</v>
      </c>
      <c r="H2398" s="174" t="s">
        <v>1742</v>
      </c>
      <c r="I2398" s="174" t="str">
        <f t="shared" si="1"/>
        <v>SUL</v>
      </c>
    </row>
    <row r="2399" ht="14.25" customHeight="1">
      <c r="G2399" s="174" t="s">
        <v>4036</v>
      </c>
      <c r="H2399" s="174" t="s">
        <v>1750</v>
      </c>
      <c r="I2399" s="174" t="str">
        <f t="shared" si="1"/>
        <v>SUDESTE</v>
      </c>
    </row>
    <row r="2400" ht="14.25" customHeight="1">
      <c r="G2400" s="174" t="s">
        <v>4037</v>
      </c>
      <c r="H2400" s="174" t="s">
        <v>1750</v>
      </c>
      <c r="I2400" s="174" t="str">
        <f t="shared" si="1"/>
        <v>SUDESTE</v>
      </c>
    </row>
    <row r="2401" ht="14.25" customHeight="1">
      <c r="G2401" s="174" t="s">
        <v>4038</v>
      </c>
      <c r="H2401" s="174" t="s">
        <v>1658</v>
      </c>
      <c r="I2401" s="174" t="str">
        <f t="shared" si="1"/>
        <v>CENTRO OESTE</v>
      </c>
    </row>
    <row r="2402" ht="14.25" customHeight="1">
      <c r="G2402" s="174" t="s">
        <v>4039</v>
      </c>
      <c r="H2402" s="174" t="s">
        <v>1750</v>
      </c>
      <c r="I2402" s="174" t="str">
        <f t="shared" si="1"/>
        <v>SUDESTE</v>
      </c>
    </row>
    <row r="2403" ht="14.25" customHeight="1">
      <c r="G2403" s="174" t="s">
        <v>4040</v>
      </c>
      <c r="H2403" s="174" t="s">
        <v>1685</v>
      </c>
      <c r="I2403" s="174" t="str">
        <f t="shared" si="1"/>
        <v>NORDESTE</v>
      </c>
    </row>
    <row r="2404" ht="14.25" customHeight="1">
      <c r="G2404" s="174" t="s">
        <v>4041</v>
      </c>
      <c r="H2404" s="174" t="s">
        <v>1742</v>
      </c>
      <c r="I2404" s="174" t="str">
        <f t="shared" si="1"/>
        <v>SUL</v>
      </c>
    </row>
    <row r="2405" ht="14.25" customHeight="1">
      <c r="G2405" s="174" t="s">
        <v>4042</v>
      </c>
      <c r="H2405" s="174" t="s">
        <v>1710</v>
      </c>
      <c r="I2405" s="174" t="str">
        <f t="shared" si="1"/>
        <v>CENTRO OESTE</v>
      </c>
    </row>
    <row r="2406" ht="14.25" customHeight="1">
      <c r="G2406" s="174" t="s">
        <v>4043</v>
      </c>
      <c r="H2406" s="174" t="s">
        <v>1717</v>
      </c>
      <c r="I2406" s="174" t="str">
        <f t="shared" si="1"/>
        <v>NORDESTE</v>
      </c>
    </row>
    <row r="2407" ht="14.25" customHeight="1">
      <c r="G2407" s="174" t="s">
        <v>4044</v>
      </c>
      <c r="H2407" s="174" t="s">
        <v>1698</v>
      </c>
      <c r="I2407" s="174" t="str">
        <f t="shared" si="1"/>
        <v>SUDESTE</v>
      </c>
    </row>
    <row r="2408" ht="14.25" customHeight="1">
      <c r="G2408" s="174" t="s">
        <v>4045</v>
      </c>
      <c r="H2408" s="174" t="s">
        <v>1685</v>
      </c>
      <c r="I2408" s="174" t="str">
        <f t="shared" si="1"/>
        <v>NORDESTE</v>
      </c>
    </row>
    <row r="2409" ht="14.25" customHeight="1">
      <c r="G2409" s="174" t="s">
        <v>4046</v>
      </c>
      <c r="H2409" s="174" t="s">
        <v>1750</v>
      </c>
      <c r="I2409" s="174" t="str">
        <f t="shared" si="1"/>
        <v>SUDESTE</v>
      </c>
    </row>
    <row r="2410" ht="14.25" customHeight="1">
      <c r="G2410" s="174" t="s">
        <v>4047</v>
      </c>
      <c r="H2410" s="174" t="s">
        <v>1690</v>
      </c>
      <c r="I2410" s="174" t="str">
        <f t="shared" si="1"/>
        <v>NORDESTE</v>
      </c>
    </row>
    <row r="2411" ht="14.25" customHeight="1">
      <c r="G2411" s="174" t="s">
        <v>4048</v>
      </c>
      <c r="H2411" s="174" t="s">
        <v>1750</v>
      </c>
      <c r="I2411" s="174" t="str">
        <f t="shared" si="1"/>
        <v>SUDESTE</v>
      </c>
    </row>
    <row r="2412" ht="14.25" customHeight="1">
      <c r="G2412" s="174" t="s">
        <v>4049</v>
      </c>
      <c r="H2412" s="174" t="s">
        <v>1658</v>
      </c>
      <c r="I2412" s="174" t="str">
        <f t="shared" si="1"/>
        <v>CENTRO OESTE</v>
      </c>
    </row>
    <row r="2413" ht="14.25" customHeight="1">
      <c r="G2413" s="174" t="s">
        <v>4050</v>
      </c>
      <c r="H2413" s="174" t="s">
        <v>1742</v>
      </c>
      <c r="I2413" s="174" t="str">
        <f t="shared" si="1"/>
        <v>SUL</v>
      </c>
    </row>
    <row r="2414" ht="14.25" customHeight="1">
      <c r="G2414" s="174" t="s">
        <v>4051</v>
      </c>
      <c r="H2414" s="174" t="s">
        <v>1730</v>
      </c>
      <c r="I2414" s="174" t="str">
        <f t="shared" si="1"/>
        <v>SUDESTE</v>
      </c>
    </row>
    <row r="2415" ht="14.25" customHeight="1">
      <c r="G2415" s="174" t="s">
        <v>4052</v>
      </c>
      <c r="H2415" s="174" t="s">
        <v>1666</v>
      </c>
      <c r="I2415" s="174" t="str">
        <f t="shared" si="1"/>
        <v>SUDESTE</v>
      </c>
    </row>
    <row r="2416" ht="14.25" customHeight="1">
      <c r="G2416" s="174" t="s">
        <v>4053</v>
      </c>
      <c r="H2416" s="174" t="s">
        <v>1750</v>
      </c>
      <c r="I2416" s="174" t="str">
        <f t="shared" si="1"/>
        <v>SUDESTE</v>
      </c>
    </row>
    <row r="2417" ht="14.25" customHeight="1">
      <c r="G2417" s="174" t="s">
        <v>4054</v>
      </c>
      <c r="H2417" s="174" t="s">
        <v>1742</v>
      </c>
      <c r="I2417" s="174" t="str">
        <f t="shared" si="1"/>
        <v>SUL</v>
      </c>
    </row>
    <row r="2418" ht="14.25" customHeight="1">
      <c r="G2418" s="174" t="s">
        <v>4055</v>
      </c>
      <c r="H2418" s="174" t="s">
        <v>1685</v>
      </c>
      <c r="I2418" s="174" t="str">
        <f t="shared" si="1"/>
        <v>NORDESTE</v>
      </c>
    </row>
    <row r="2419" ht="14.25" customHeight="1">
      <c r="G2419" s="174" t="s">
        <v>4056</v>
      </c>
      <c r="H2419" s="174" t="s">
        <v>1750</v>
      </c>
      <c r="I2419" s="174" t="str">
        <f t="shared" si="1"/>
        <v>SUDESTE</v>
      </c>
    </row>
    <row r="2420" ht="14.25" customHeight="1">
      <c r="G2420" s="174" t="s">
        <v>4057</v>
      </c>
      <c r="H2420" s="174" t="s">
        <v>1690</v>
      </c>
      <c r="I2420" s="174" t="str">
        <f t="shared" si="1"/>
        <v>NORDESTE</v>
      </c>
    </row>
    <row r="2421" ht="14.25" customHeight="1">
      <c r="G2421" s="174" t="s">
        <v>4058</v>
      </c>
      <c r="H2421" s="174" t="s">
        <v>1719</v>
      </c>
      <c r="I2421" s="174" t="str">
        <f t="shared" si="1"/>
        <v>NORDESTE</v>
      </c>
    </row>
    <row r="2422" ht="14.25" customHeight="1">
      <c r="G2422" s="174" t="s">
        <v>4059</v>
      </c>
      <c r="H2422" s="174" t="s">
        <v>1733</v>
      </c>
      <c r="I2422" s="174" t="str">
        <f t="shared" si="1"/>
        <v>NORDESTE</v>
      </c>
    </row>
    <row r="2423" ht="14.25" customHeight="1">
      <c r="G2423" s="174" t="s">
        <v>4060</v>
      </c>
      <c r="H2423" s="174" t="s">
        <v>1666</v>
      </c>
      <c r="I2423" s="174" t="str">
        <f t="shared" si="1"/>
        <v>SUDESTE</v>
      </c>
    </row>
    <row r="2424" ht="14.25" customHeight="1">
      <c r="G2424" s="174" t="s">
        <v>4061</v>
      </c>
      <c r="H2424" s="174" t="s">
        <v>1713</v>
      </c>
      <c r="I2424" s="174" t="str">
        <f t="shared" si="1"/>
        <v>CENTRO OESTE</v>
      </c>
    </row>
    <row r="2425" ht="14.25" customHeight="1">
      <c r="G2425" s="174" t="s">
        <v>4062</v>
      </c>
      <c r="H2425" s="174" t="s">
        <v>1679</v>
      </c>
      <c r="I2425" s="174" t="str">
        <f t="shared" si="1"/>
        <v>NORTE</v>
      </c>
    </row>
    <row r="2426" ht="14.25" customHeight="1">
      <c r="G2426" s="174" t="s">
        <v>4063</v>
      </c>
      <c r="H2426" s="174" t="s">
        <v>1658</v>
      </c>
      <c r="I2426" s="174" t="str">
        <f t="shared" si="1"/>
        <v>CENTRO OESTE</v>
      </c>
    </row>
    <row r="2427" ht="14.25" customHeight="1">
      <c r="G2427" s="174" t="s">
        <v>4064</v>
      </c>
      <c r="H2427" s="174" t="s">
        <v>1725</v>
      </c>
      <c r="I2427" s="174" t="str">
        <f t="shared" si="1"/>
        <v>NORDESTE</v>
      </c>
    </row>
    <row r="2428" ht="14.25" customHeight="1">
      <c r="G2428" s="174" t="s">
        <v>4065</v>
      </c>
      <c r="H2428" s="174" t="s">
        <v>1666</v>
      </c>
      <c r="I2428" s="174" t="str">
        <f t="shared" si="1"/>
        <v>SUDESTE</v>
      </c>
    </row>
    <row r="2429" ht="14.25" customHeight="1">
      <c r="G2429" s="174" t="s">
        <v>4066</v>
      </c>
      <c r="H2429" s="174" t="s">
        <v>1702</v>
      </c>
      <c r="I2429" s="174" t="str">
        <f t="shared" si="1"/>
        <v>SUL</v>
      </c>
    </row>
    <row r="2430" ht="14.25" customHeight="1">
      <c r="G2430" s="174" t="s">
        <v>4067</v>
      </c>
      <c r="H2430" s="174" t="s">
        <v>1666</v>
      </c>
      <c r="I2430" s="174" t="str">
        <f t="shared" si="1"/>
        <v>SUDESTE</v>
      </c>
    </row>
    <row r="2431" ht="14.25" customHeight="1">
      <c r="G2431" s="174" t="s">
        <v>4068</v>
      </c>
      <c r="H2431" s="174" t="s">
        <v>1666</v>
      </c>
      <c r="I2431" s="174" t="str">
        <f t="shared" si="1"/>
        <v>SUDESTE</v>
      </c>
    </row>
    <row r="2432" ht="14.25" customHeight="1">
      <c r="G2432" s="174" t="s">
        <v>4069</v>
      </c>
      <c r="H2432" s="174" t="s">
        <v>1704</v>
      </c>
      <c r="I2432" s="174" t="str">
        <f t="shared" si="1"/>
        <v>NORDESTE</v>
      </c>
    </row>
    <row r="2433" ht="14.25" customHeight="1">
      <c r="G2433" s="174" t="s">
        <v>4070</v>
      </c>
      <c r="H2433" s="174" t="s">
        <v>1713</v>
      </c>
      <c r="I2433" s="174" t="str">
        <f t="shared" si="1"/>
        <v>CENTRO OESTE</v>
      </c>
    </row>
    <row r="2434" ht="14.25" customHeight="1">
      <c r="G2434" s="174" t="s">
        <v>4071</v>
      </c>
      <c r="H2434" s="174" t="s">
        <v>1750</v>
      </c>
      <c r="I2434" s="174" t="str">
        <f t="shared" si="1"/>
        <v>SUDESTE</v>
      </c>
    </row>
    <row r="2435" ht="14.25" customHeight="1">
      <c r="G2435" s="174" t="s">
        <v>4072</v>
      </c>
      <c r="H2435" s="174" t="s">
        <v>1750</v>
      </c>
      <c r="I2435" s="174" t="str">
        <f t="shared" si="1"/>
        <v>SUDESTE</v>
      </c>
    </row>
    <row r="2436" ht="14.25" customHeight="1">
      <c r="G2436" s="174" t="s">
        <v>4073</v>
      </c>
      <c r="H2436" s="174" t="s">
        <v>1685</v>
      </c>
      <c r="I2436" s="174" t="str">
        <f t="shared" si="1"/>
        <v>NORDESTE</v>
      </c>
    </row>
    <row r="2437" ht="14.25" customHeight="1">
      <c r="G2437" s="174" t="s">
        <v>4074</v>
      </c>
      <c r="H2437" s="174" t="s">
        <v>1685</v>
      </c>
      <c r="I2437" s="174" t="str">
        <f t="shared" si="1"/>
        <v>NORDESTE</v>
      </c>
    </row>
    <row r="2438" ht="14.25" customHeight="1">
      <c r="G2438" s="174" t="s">
        <v>4075</v>
      </c>
      <c r="H2438" s="174" t="s">
        <v>1750</v>
      </c>
      <c r="I2438" s="174" t="str">
        <f t="shared" si="1"/>
        <v>SUDESTE</v>
      </c>
    </row>
    <row r="2439" ht="14.25" customHeight="1">
      <c r="G2439" s="174" t="s">
        <v>4076</v>
      </c>
      <c r="H2439" s="174" t="s">
        <v>1685</v>
      </c>
      <c r="I2439" s="174" t="str">
        <f t="shared" si="1"/>
        <v>NORDESTE</v>
      </c>
    </row>
    <row r="2440" ht="14.25" customHeight="1">
      <c r="G2440" s="174" t="s">
        <v>4077</v>
      </c>
      <c r="H2440" s="174" t="s">
        <v>1750</v>
      </c>
      <c r="I2440" s="174" t="str">
        <f t="shared" si="1"/>
        <v>SUDESTE</v>
      </c>
    </row>
    <row r="2441" ht="14.25" customHeight="1">
      <c r="G2441" s="174" t="s">
        <v>4078</v>
      </c>
      <c r="H2441" s="174" t="s">
        <v>1685</v>
      </c>
      <c r="I2441" s="174" t="str">
        <f t="shared" si="1"/>
        <v>NORDESTE</v>
      </c>
    </row>
    <row r="2442" ht="14.25" customHeight="1">
      <c r="G2442" s="174" t="s">
        <v>4079</v>
      </c>
      <c r="H2442" s="174" t="s">
        <v>1685</v>
      </c>
      <c r="I2442" s="174" t="str">
        <f t="shared" si="1"/>
        <v>NORDESTE</v>
      </c>
    </row>
    <row r="2443" ht="14.25" customHeight="1">
      <c r="G2443" s="174" t="s">
        <v>4080</v>
      </c>
      <c r="H2443" s="174" t="s">
        <v>1666</v>
      </c>
      <c r="I2443" s="174" t="str">
        <f t="shared" si="1"/>
        <v>SUDESTE</v>
      </c>
    </row>
    <row r="2444" ht="14.25" customHeight="1">
      <c r="G2444" s="174" t="s">
        <v>4081</v>
      </c>
      <c r="H2444" s="174" t="s">
        <v>1666</v>
      </c>
      <c r="I2444" s="174" t="str">
        <f t="shared" si="1"/>
        <v>SUDESTE</v>
      </c>
    </row>
    <row r="2445" ht="14.25" customHeight="1">
      <c r="G2445" s="174" t="s">
        <v>4082</v>
      </c>
      <c r="H2445" s="174" t="s">
        <v>1658</v>
      </c>
      <c r="I2445" s="174" t="str">
        <f t="shared" si="1"/>
        <v>CENTRO OESTE</v>
      </c>
    </row>
    <row r="2446" ht="14.25" customHeight="1">
      <c r="G2446" s="174" t="s">
        <v>4083</v>
      </c>
      <c r="H2446" s="174" t="s">
        <v>1666</v>
      </c>
      <c r="I2446" s="174" t="str">
        <f t="shared" si="1"/>
        <v>SUDESTE</v>
      </c>
    </row>
    <row r="2447" ht="14.25" customHeight="1">
      <c r="G2447" s="174" t="s">
        <v>4084</v>
      </c>
      <c r="H2447" s="174" t="s">
        <v>1750</v>
      </c>
      <c r="I2447" s="174" t="str">
        <f t="shared" si="1"/>
        <v>SUDESTE</v>
      </c>
    </row>
    <row r="2448" ht="14.25" customHeight="1">
      <c r="G2448" s="174" t="s">
        <v>4085</v>
      </c>
      <c r="H2448" s="174" t="s">
        <v>1687</v>
      </c>
      <c r="I2448" s="174" t="str">
        <f t="shared" si="1"/>
        <v>NORTE</v>
      </c>
    </row>
    <row r="2449" ht="14.25" customHeight="1">
      <c r="G2449" s="174" t="s">
        <v>4086</v>
      </c>
      <c r="H2449" s="174" t="s">
        <v>1706</v>
      </c>
      <c r="I2449" s="174" t="str">
        <f t="shared" si="1"/>
        <v>SUL</v>
      </c>
    </row>
    <row r="2450" ht="14.25" customHeight="1">
      <c r="G2450" s="174" t="s">
        <v>4087</v>
      </c>
      <c r="H2450" s="174" t="s">
        <v>1666</v>
      </c>
      <c r="I2450" s="174" t="str">
        <f t="shared" si="1"/>
        <v>SUDESTE</v>
      </c>
    </row>
    <row r="2451" ht="14.25" customHeight="1">
      <c r="G2451" s="174" t="s">
        <v>4088</v>
      </c>
      <c r="H2451" s="174" t="s">
        <v>1666</v>
      </c>
      <c r="I2451" s="174" t="str">
        <f t="shared" si="1"/>
        <v>SUDESTE</v>
      </c>
    </row>
    <row r="2452" ht="14.25" customHeight="1">
      <c r="G2452" s="174" t="s">
        <v>4089</v>
      </c>
      <c r="H2452" s="174" t="s">
        <v>1750</v>
      </c>
      <c r="I2452" s="174" t="str">
        <f t="shared" si="1"/>
        <v>SUDESTE</v>
      </c>
    </row>
    <row r="2453" ht="14.25" customHeight="1">
      <c r="G2453" s="174" t="s">
        <v>4090</v>
      </c>
      <c r="H2453" s="174" t="s">
        <v>1685</v>
      </c>
      <c r="I2453" s="174" t="str">
        <f t="shared" si="1"/>
        <v>NORDESTE</v>
      </c>
    </row>
    <row r="2454" ht="14.25" customHeight="1">
      <c r="G2454" s="174" t="s">
        <v>4091</v>
      </c>
      <c r="H2454" s="174" t="s">
        <v>1698</v>
      </c>
      <c r="I2454" s="174" t="str">
        <f t="shared" si="1"/>
        <v>SUDESTE</v>
      </c>
    </row>
    <row r="2455" ht="14.25" customHeight="1">
      <c r="G2455" s="174" t="s">
        <v>4092</v>
      </c>
      <c r="H2455" s="174" t="s">
        <v>1702</v>
      </c>
      <c r="I2455" s="174" t="str">
        <f t="shared" si="1"/>
        <v>SUL</v>
      </c>
    </row>
    <row r="2456" ht="14.25" customHeight="1">
      <c r="G2456" s="174" t="s">
        <v>4093</v>
      </c>
      <c r="H2456" s="174" t="s">
        <v>1702</v>
      </c>
      <c r="I2456" s="174" t="str">
        <f t="shared" si="1"/>
        <v>SUL</v>
      </c>
    </row>
    <row r="2457" ht="14.25" customHeight="1">
      <c r="G2457" s="174" t="s">
        <v>4094</v>
      </c>
      <c r="H2457" s="174" t="s">
        <v>1702</v>
      </c>
      <c r="I2457" s="174" t="str">
        <f t="shared" si="1"/>
        <v>SUL</v>
      </c>
    </row>
    <row r="2458" ht="14.25" customHeight="1">
      <c r="G2458" s="174" t="s">
        <v>4095</v>
      </c>
      <c r="H2458" s="174" t="s">
        <v>1702</v>
      </c>
      <c r="I2458" s="174" t="str">
        <f t="shared" si="1"/>
        <v>SUL</v>
      </c>
    </row>
    <row r="2459" ht="14.25" customHeight="1">
      <c r="G2459" s="174" t="s">
        <v>4096</v>
      </c>
      <c r="H2459" s="174" t="s">
        <v>1710</v>
      </c>
      <c r="I2459" s="174" t="str">
        <f t="shared" si="1"/>
        <v>CENTRO OESTE</v>
      </c>
    </row>
    <row r="2460" ht="14.25" customHeight="1">
      <c r="G2460" s="174" t="s">
        <v>4097</v>
      </c>
      <c r="H2460" s="174" t="s">
        <v>1658</v>
      </c>
      <c r="I2460" s="174" t="str">
        <f t="shared" si="1"/>
        <v>CENTRO OESTE</v>
      </c>
    </row>
    <row r="2461" ht="14.25" customHeight="1">
      <c r="G2461" s="174" t="s">
        <v>4098</v>
      </c>
      <c r="H2461" s="174" t="s">
        <v>1742</v>
      </c>
      <c r="I2461" s="174" t="str">
        <f t="shared" si="1"/>
        <v>SUL</v>
      </c>
    </row>
    <row r="2462" ht="14.25" customHeight="1">
      <c r="G2462" s="174" t="s">
        <v>4099</v>
      </c>
      <c r="H2462" s="174" t="s">
        <v>1742</v>
      </c>
      <c r="I2462" s="174" t="str">
        <f t="shared" si="1"/>
        <v>SUL</v>
      </c>
    </row>
    <row r="2463" ht="14.25" customHeight="1">
      <c r="G2463" s="174" t="s">
        <v>4100</v>
      </c>
      <c r="H2463" s="174" t="s">
        <v>1717</v>
      </c>
      <c r="I2463" s="174" t="str">
        <f t="shared" si="1"/>
        <v>NORDESTE</v>
      </c>
    </row>
    <row r="2464" ht="14.25" customHeight="1">
      <c r="G2464" s="174" t="s">
        <v>4101</v>
      </c>
      <c r="H2464" s="174" t="s">
        <v>1706</v>
      </c>
      <c r="I2464" s="174" t="str">
        <f t="shared" si="1"/>
        <v>SUL</v>
      </c>
    </row>
    <row r="2465" ht="14.25" customHeight="1">
      <c r="G2465" s="174" t="s">
        <v>4102</v>
      </c>
      <c r="H2465" s="174" t="s">
        <v>1685</v>
      </c>
      <c r="I2465" s="174" t="str">
        <f t="shared" si="1"/>
        <v>NORDESTE</v>
      </c>
    </row>
    <row r="2466" ht="14.25" customHeight="1">
      <c r="G2466" s="174" t="s">
        <v>4102</v>
      </c>
      <c r="H2466" s="174" t="s">
        <v>1750</v>
      </c>
      <c r="I2466" s="174" t="str">
        <f t="shared" si="1"/>
        <v>SUDESTE</v>
      </c>
    </row>
    <row r="2467" ht="14.25" customHeight="1">
      <c r="G2467" s="174" t="s">
        <v>4103</v>
      </c>
      <c r="H2467" s="174" t="s">
        <v>1702</v>
      </c>
      <c r="I2467" s="174" t="str">
        <f t="shared" si="1"/>
        <v>SUL</v>
      </c>
    </row>
    <row r="2468" ht="14.25" customHeight="1">
      <c r="G2468" s="174" t="s">
        <v>4104</v>
      </c>
      <c r="H2468" s="174" t="s">
        <v>1742</v>
      </c>
      <c r="I2468" s="174" t="str">
        <f t="shared" si="1"/>
        <v>SUL</v>
      </c>
    </row>
    <row r="2469" ht="14.25" customHeight="1">
      <c r="G2469" s="174" t="s">
        <v>4105</v>
      </c>
      <c r="H2469" s="174" t="s">
        <v>1750</v>
      </c>
      <c r="I2469" s="174" t="str">
        <f t="shared" si="1"/>
        <v>SUDESTE</v>
      </c>
    </row>
    <row r="2470" ht="14.25" customHeight="1">
      <c r="G2470" s="174" t="s">
        <v>4106</v>
      </c>
      <c r="H2470" s="174" t="s">
        <v>1666</v>
      </c>
      <c r="I2470" s="174" t="str">
        <f t="shared" si="1"/>
        <v>SUDESTE</v>
      </c>
    </row>
    <row r="2471" ht="14.25" customHeight="1">
      <c r="G2471" s="174" t="s">
        <v>4107</v>
      </c>
      <c r="H2471" s="174" t="s">
        <v>1733</v>
      </c>
      <c r="I2471" s="174" t="str">
        <f t="shared" si="1"/>
        <v>NORDESTE</v>
      </c>
    </row>
    <row r="2472" ht="14.25" customHeight="1">
      <c r="G2472" s="174" t="s">
        <v>4108</v>
      </c>
      <c r="H2472" s="174" t="s">
        <v>1685</v>
      </c>
      <c r="I2472" s="174" t="str">
        <f t="shared" si="1"/>
        <v>NORDESTE</v>
      </c>
    </row>
    <row r="2473" ht="14.25" customHeight="1">
      <c r="G2473" s="174" t="s">
        <v>4109</v>
      </c>
      <c r="H2473" s="174" t="s">
        <v>1719</v>
      </c>
      <c r="I2473" s="174" t="str">
        <f t="shared" si="1"/>
        <v>NORDESTE</v>
      </c>
    </row>
    <row r="2474" ht="14.25" customHeight="1">
      <c r="G2474" s="174" t="s">
        <v>4110</v>
      </c>
      <c r="H2474" s="174" t="s">
        <v>1664</v>
      </c>
      <c r="I2474" s="174" t="str">
        <f t="shared" si="1"/>
        <v>NORDESTE</v>
      </c>
    </row>
    <row r="2475" ht="14.25" customHeight="1">
      <c r="G2475" s="174" t="s">
        <v>4111</v>
      </c>
      <c r="H2475" s="174" t="s">
        <v>1687</v>
      </c>
      <c r="I2475" s="174" t="str">
        <f t="shared" si="1"/>
        <v>NORTE</v>
      </c>
    </row>
    <row r="2476" ht="14.25" customHeight="1">
      <c r="G2476" s="174" t="s">
        <v>4112</v>
      </c>
      <c r="H2476" s="174" t="s">
        <v>1750</v>
      </c>
      <c r="I2476" s="174" t="str">
        <f t="shared" si="1"/>
        <v>SUDESTE</v>
      </c>
    </row>
    <row r="2477" ht="14.25" customHeight="1">
      <c r="G2477" s="174" t="s">
        <v>4113</v>
      </c>
      <c r="H2477" s="174" t="s">
        <v>1702</v>
      </c>
      <c r="I2477" s="174" t="str">
        <f t="shared" si="1"/>
        <v>SUL</v>
      </c>
    </row>
    <row r="2478" ht="14.25" customHeight="1">
      <c r="G2478" s="174" t="s">
        <v>4114</v>
      </c>
      <c r="H2478" s="174" t="s">
        <v>1750</v>
      </c>
      <c r="I2478" s="174" t="str">
        <f t="shared" si="1"/>
        <v>SUDESTE</v>
      </c>
    </row>
    <row r="2479" ht="14.25" customHeight="1">
      <c r="G2479" s="174" t="s">
        <v>4115</v>
      </c>
      <c r="H2479" s="174" t="s">
        <v>1713</v>
      </c>
      <c r="I2479" s="174" t="str">
        <f t="shared" si="1"/>
        <v>CENTRO OESTE</v>
      </c>
    </row>
    <row r="2480" ht="14.25" customHeight="1">
      <c r="G2480" s="174" t="s">
        <v>4116</v>
      </c>
      <c r="H2480" s="174" t="s">
        <v>1666</v>
      </c>
      <c r="I2480" s="174" t="str">
        <f t="shared" si="1"/>
        <v>SUDESTE</v>
      </c>
    </row>
    <row r="2481" ht="14.25" customHeight="1">
      <c r="G2481" s="174" t="s">
        <v>4117</v>
      </c>
      <c r="H2481" s="174" t="s">
        <v>1706</v>
      </c>
      <c r="I2481" s="174" t="str">
        <f t="shared" si="1"/>
        <v>SUL</v>
      </c>
    </row>
    <row r="2482" ht="14.25" customHeight="1">
      <c r="G2482" s="174" t="s">
        <v>4118</v>
      </c>
      <c r="H2482" s="174" t="s">
        <v>1685</v>
      </c>
      <c r="I2482" s="174" t="str">
        <f t="shared" si="1"/>
        <v>NORDESTE</v>
      </c>
    </row>
    <row r="2483" ht="14.25" customHeight="1">
      <c r="G2483" s="174" t="s">
        <v>4119</v>
      </c>
      <c r="H2483" s="174" t="s">
        <v>1725</v>
      </c>
      <c r="I2483" s="174" t="str">
        <f t="shared" si="1"/>
        <v>NORDESTE</v>
      </c>
    </row>
    <row r="2484" ht="14.25" customHeight="1">
      <c r="G2484" s="174" t="s">
        <v>4120</v>
      </c>
      <c r="H2484" s="174" t="s">
        <v>1666</v>
      </c>
      <c r="I2484" s="174" t="str">
        <f t="shared" si="1"/>
        <v>SUDESTE</v>
      </c>
    </row>
    <row r="2485" ht="14.25" customHeight="1">
      <c r="G2485" s="174" t="s">
        <v>4121</v>
      </c>
      <c r="H2485" s="174" t="s">
        <v>1664</v>
      </c>
      <c r="I2485" s="174" t="str">
        <f t="shared" si="1"/>
        <v>NORDESTE</v>
      </c>
    </row>
    <row r="2486" ht="14.25" customHeight="1">
      <c r="G2486" s="174" t="s">
        <v>4122</v>
      </c>
      <c r="H2486" s="174" t="s">
        <v>1742</v>
      </c>
      <c r="I2486" s="174" t="str">
        <f t="shared" si="1"/>
        <v>SUL</v>
      </c>
    </row>
    <row r="2487" ht="14.25" customHeight="1">
      <c r="G2487" s="174" t="s">
        <v>4123</v>
      </c>
      <c r="H2487" s="174" t="s">
        <v>1687</v>
      </c>
      <c r="I2487" s="174" t="str">
        <f t="shared" si="1"/>
        <v>NORTE</v>
      </c>
    </row>
    <row r="2488" ht="14.25" customHeight="1">
      <c r="G2488" s="174" t="s">
        <v>4124</v>
      </c>
      <c r="H2488" s="174" t="s">
        <v>1750</v>
      </c>
      <c r="I2488" s="174" t="str">
        <f t="shared" si="1"/>
        <v>SUDESTE</v>
      </c>
    </row>
    <row r="2489" ht="14.25" customHeight="1">
      <c r="G2489" s="174" t="s">
        <v>4125</v>
      </c>
      <c r="H2489" s="174" t="s">
        <v>1666</v>
      </c>
      <c r="I2489" s="174" t="str">
        <f t="shared" si="1"/>
        <v>SUDESTE</v>
      </c>
    </row>
    <row r="2490" ht="14.25" customHeight="1">
      <c r="G2490" s="174" t="s">
        <v>4125</v>
      </c>
      <c r="H2490" s="174" t="s">
        <v>1742</v>
      </c>
      <c r="I2490" s="174" t="str">
        <f t="shared" si="1"/>
        <v>SUL</v>
      </c>
    </row>
    <row r="2491" ht="14.25" customHeight="1">
      <c r="G2491" s="174" t="s">
        <v>4126</v>
      </c>
      <c r="H2491" s="174" t="s">
        <v>1702</v>
      </c>
      <c r="I2491" s="174" t="str">
        <f t="shared" si="1"/>
        <v>SUL</v>
      </c>
    </row>
    <row r="2492" ht="14.25" customHeight="1">
      <c r="G2492" s="174" t="s">
        <v>4127</v>
      </c>
      <c r="H2492" s="174" t="s">
        <v>1685</v>
      </c>
      <c r="I2492" s="174" t="str">
        <f t="shared" si="1"/>
        <v>NORDESTE</v>
      </c>
    </row>
    <row r="2493" ht="14.25" customHeight="1">
      <c r="G2493" s="174" t="s">
        <v>4128</v>
      </c>
      <c r="H2493" s="174" t="s">
        <v>1666</v>
      </c>
      <c r="I2493" s="174" t="str">
        <f t="shared" si="1"/>
        <v>SUDESTE</v>
      </c>
    </row>
    <row r="2494" ht="14.25" customHeight="1">
      <c r="G2494" s="174" t="s">
        <v>4129</v>
      </c>
      <c r="H2494" s="174" t="s">
        <v>1742</v>
      </c>
      <c r="I2494" s="174" t="str">
        <f t="shared" si="1"/>
        <v>SUL</v>
      </c>
    </row>
    <row r="2495" ht="14.25" customHeight="1">
      <c r="G2495" s="174" t="s">
        <v>4130</v>
      </c>
      <c r="H2495" s="174" t="s">
        <v>1685</v>
      </c>
      <c r="I2495" s="174" t="str">
        <f t="shared" si="1"/>
        <v>NORDESTE</v>
      </c>
    </row>
    <row r="2496" ht="14.25" customHeight="1">
      <c r="G2496" s="174" t="s">
        <v>4131</v>
      </c>
      <c r="H2496" s="174" t="s">
        <v>1698</v>
      </c>
      <c r="I2496" s="174" t="str">
        <f t="shared" si="1"/>
        <v>SUDESTE</v>
      </c>
    </row>
    <row r="2497" ht="14.25" customHeight="1">
      <c r="G2497" s="174" t="s">
        <v>4132</v>
      </c>
      <c r="H2497" s="174" t="s">
        <v>1690</v>
      </c>
      <c r="I2497" s="174" t="str">
        <f t="shared" si="1"/>
        <v>NORDESTE</v>
      </c>
    </row>
    <row r="2498" ht="14.25" customHeight="1">
      <c r="G2498" s="174" t="s">
        <v>4133</v>
      </c>
      <c r="H2498" s="174" t="s">
        <v>1742</v>
      </c>
      <c r="I2498" s="174" t="str">
        <f t="shared" si="1"/>
        <v>SUL</v>
      </c>
    </row>
    <row r="2499" ht="14.25" customHeight="1">
      <c r="G2499" s="174" t="s">
        <v>4134</v>
      </c>
      <c r="H2499" s="174" t="s">
        <v>1702</v>
      </c>
      <c r="I2499" s="174" t="str">
        <f t="shared" si="1"/>
        <v>SUL</v>
      </c>
    </row>
    <row r="2500" ht="14.25" customHeight="1">
      <c r="G2500" s="174" t="s">
        <v>4135</v>
      </c>
      <c r="H2500" s="174" t="s">
        <v>1690</v>
      </c>
      <c r="I2500" s="174" t="str">
        <f t="shared" si="1"/>
        <v>NORDESTE</v>
      </c>
    </row>
    <row r="2501" ht="14.25" customHeight="1">
      <c r="G2501" s="174" t="s">
        <v>4136</v>
      </c>
      <c r="H2501" s="174" t="s">
        <v>1690</v>
      </c>
      <c r="I2501" s="174" t="str">
        <f t="shared" si="1"/>
        <v>NORDESTE</v>
      </c>
    </row>
    <row r="2502" ht="14.25" customHeight="1">
      <c r="G2502" s="174" t="s">
        <v>4137</v>
      </c>
      <c r="H2502" s="174" t="s">
        <v>1685</v>
      </c>
      <c r="I2502" s="174" t="str">
        <f t="shared" si="1"/>
        <v>NORDESTE</v>
      </c>
    </row>
    <row r="2503" ht="14.25" customHeight="1">
      <c r="G2503" s="174" t="s">
        <v>4138</v>
      </c>
      <c r="H2503" s="174" t="s">
        <v>1750</v>
      </c>
      <c r="I2503" s="174" t="str">
        <f t="shared" si="1"/>
        <v>SUDESTE</v>
      </c>
    </row>
    <row r="2504" ht="14.25" customHeight="1">
      <c r="G2504" s="174" t="s">
        <v>4139</v>
      </c>
      <c r="H2504" s="174" t="s">
        <v>1690</v>
      </c>
      <c r="I2504" s="174" t="str">
        <f t="shared" si="1"/>
        <v>NORDESTE</v>
      </c>
    </row>
    <row r="2505" ht="14.25" customHeight="1">
      <c r="G2505" s="174" t="s">
        <v>4140</v>
      </c>
      <c r="H2505" s="174" t="s">
        <v>1706</v>
      </c>
      <c r="I2505" s="174" t="str">
        <f t="shared" si="1"/>
        <v>SUL</v>
      </c>
    </row>
    <row r="2506" ht="14.25" customHeight="1">
      <c r="G2506" s="174" t="s">
        <v>4141</v>
      </c>
      <c r="H2506" s="174" t="s">
        <v>1666</v>
      </c>
      <c r="I2506" s="174" t="str">
        <f t="shared" si="1"/>
        <v>SUDESTE</v>
      </c>
    </row>
    <row r="2507" ht="14.25" customHeight="1">
      <c r="G2507" s="174" t="s">
        <v>4142</v>
      </c>
      <c r="H2507" s="174" t="s">
        <v>1725</v>
      </c>
      <c r="I2507" s="174" t="str">
        <f t="shared" si="1"/>
        <v>NORDESTE</v>
      </c>
    </row>
    <row r="2508" ht="14.25" customHeight="1">
      <c r="G2508" s="174" t="s">
        <v>4143</v>
      </c>
      <c r="H2508" s="174" t="s">
        <v>1750</v>
      </c>
      <c r="I2508" s="174" t="str">
        <f t="shared" si="1"/>
        <v>SUDESTE</v>
      </c>
    </row>
    <row r="2509" ht="14.25" customHeight="1">
      <c r="G2509" s="174" t="s">
        <v>4144</v>
      </c>
      <c r="H2509" s="174" t="s">
        <v>1750</v>
      </c>
      <c r="I2509" s="174" t="str">
        <f t="shared" si="1"/>
        <v>SUDESTE</v>
      </c>
    </row>
    <row r="2510" ht="14.25" customHeight="1">
      <c r="G2510" s="174" t="s">
        <v>4145</v>
      </c>
      <c r="H2510" s="174" t="s">
        <v>1666</v>
      </c>
      <c r="I2510" s="174" t="str">
        <f t="shared" si="1"/>
        <v>SUDESTE</v>
      </c>
    </row>
    <row r="2511" ht="14.25" customHeight="1">
      <c r="G2511" s="174" t="s">
        <v>4146</v>
      </c>
      <c r="H2511" s="174" t="s">
        <v>1666</v>
      </c>
      <c r="I2511" s="174" t="str">
        <f t="shared" si="1"/>
        <v>SUDESTE</v>
      </c>
    </row>
    <row r="2512" ht="14.25" customHeight="1">
      <c r="G2512" s="174" t="s">
        <v>4147</v>
      </c>
      <c r="H2512" s="174" t="s">
        <v>1658</v>
      </c>
      <c r="I2512" s="174" t="str">
        <f t="shared" si="1"/>
        <v>CENTRO OESTE</v>
      </c>
    </row>
    <row r="2513" ht="14.25" customHeight="1">
      <c r="G2513" s="174" t="s">
        <v>4148</v>
      </c>
      <c r="H2513" s="174" t="s">
        <v>1702</v>
      </c>
      <c r="I2513" s="174" t="str">
        <f t="shared" si="1"/>
        <v>SUL</v>
      </c>
    </row>
    <row r="2514" ht="14.25" customHeight="1">
      <c r="G2514" s="174" t="s">
        <v>4149</v>
      </c>
      <c r="H2514" s="174" t="s">
        <v>1733</v>
      </c>
      <c r="I2514" s="174" t="str">
        <f t="shared" si="1"/>
        <v>NORDESTE</v>
      </c>
    </row>
    <row r="2515" ht="14.25" customHeight="1">
      <c r="G2515" s="174" t="s">
        <v>4149</v>
      </c>
      <c r="H2515" s="174" t="s">
        <v>1685</v>
      </c>
      <c r="I2515" s="174" t="str">
        <f t="shared" si="1"/>
        <v>NORDESTE</v>
      </c>
    </row>
    <row r="2516" ht="14.25" customHeight="1">
      <c r="G2516" s="174" t="s">
        <v>4150</v>
      </c>
      <c r="H2516" s="174" t="s">
        <v>1750</v>
      </c>
      <c r="I2516" s="174" t="str">
        <f t="shared" si="1"/>
        <v>SUDESTE</v>
      </c>
    </row>
    <row r="2517" ht="14.25" customHeight="1">
      <c r="G2517" s="174" t="s">
        <v>4151</v>
      </c>
      <c r="H2517" s="174" t="s">
        <v>1733</v>
      </c>
      <c r="I2517" s="174" t="str">
        <f t="shared" si="1"/>
        <v>NORDESTE</v>
      </c>
    </row>
    <row r="2518" ht="14.25" customHeight="1">
      <c r="G2518" s="174" t="s">
        <v>4152</v>
      </c>
      <c r="H2518" s="174" t="s">
        <v>1713</v>
      </c>
      <c r="I2518" s="174" t="str">
        <f t="shared" si="1"/>
        <v>CENTRO OESTE</v>
      </c>
    </row>
    <row r="2519" ht="14.25" customHeight="1">
      <c r="G2519" s="174" t="s">
        <v>4153</v>
      </c>
      <c r="H2519" s="174" t="s">
        <v>1702</v>
      </c>
      <c r="I2519" s="174" t="str">
        <f t="shared" si="1"/>
        <v>SUL</v>
      </c>
    </row>
    <row r="2520" ht="14.25" customHeight="1">
      <c r="G2520" s="174" t="s">
        <v>4154</v>
      </c>
      <c r="H2520" s="174" t="s">
        <v>1666</v>
      </c>
      <c r="I2520" s="174" t="str">
        <f t="shared" si="1"/>
        <v>SUDESTE</v>
      </c>
    </row>
    <row r="2521" ht="14.25" customHeight="1">
      <c r="G2521" s="174" t="s">
        <v>4155</v>
      </c>
      <c r="H2521" s="174" t="s">
        <v>1733</v>
      </c>
      <c r="I2521" s="174" t="str">
        <f t="shared" si="1"/>
        <v>NORDESTE</v>
      </c>
    </row>
    <row r="2522" ht="14.25" customHeight="1">
      <c r="G2522" s="174" t="s">
        <v>4156</v>
      </c>
      <c r="H2522" s="174" t="s">
        <v>1666</v>
      </c>
      <c r="I2522" s="174" t="str">
        <f t="shared" si="1"/>
        <v>SUDESTE</v>
      </c>
    </row>
    <row r="2523" ht="14.25" customHeight="1">
      <c r="G2523" s="174" t="s">
        <v>4157</v>
      </c>
      <c r="H2523" s="174" t="s">
        <v>1664</v>
      </c>
      <c r="I2523" s="174" t="str">
        <f t="shared" si="1"/>
        <v>NORDESTE</v>
      </c>
    </row>
    <row r="2524" ht="14.25" customHeight="1">
      <c r="G2524" s="174" t="s">
        <v>4158</v>
      </c>
      <c r="H2524" s="174" t="s">
        <v>1747</v>
      </c>
      <c r="I2524" s="174" t="str">
        <f t="shared" si="1"/>
        <v>NORDESTE</v>
      </c>
    </row>
    <row r="2525" ht="14.25" customHeight="1">
      <c r="G2525" s="174" t="s">
        <v>4159</v>
      </c>
      <c r="H2525" s="174" t="s">
        <v>1730</v>
      </c>
      <c r="I2525" s="174" t="str">
        <f t="shared" si="1"/>
        <v>SUDESTE</v>
      </c>
    </row>
    <row r="2526" ht="14.25" customHeight="1">
      <c r="G2526" s="174" t="s">
        <v>4160</v>
      </c>
      <c r="H2526" s="174" t="s">
        <v>1733</v>
      </c>
      <c r="I2526" s="174" t="str">
        <f t="shared" si="1"/>
        <v>NORDESTE</v>
      </c>
    </row>
    <row r="2527" ht="14.25" customHeight="1">
      <c r="G2527" s="174" t="s">
        <v>4161</v>
      </c>
      <c r="H2527" s="174" t="s">
        <v>1702</v>
      </c>
      <c r="I2527" s="174" t="str">
        <f t="shared" si="1"/>
        <v>SUL</v>
      </c>
    </row>
    <row r="2528" ht="14.25" customHeight="1">
      <c r="G2528" s="174" t="s">
        <v>4162</v>
      </c>
      <c r="H2528" s="174" t="s">
        <v>1747</v>
      </c>
      <c r="I2528" s="174" t="str">
        <f t="shared" si="1"/>
        <v>NORDESTE</v>
      </c>
    </row>
    <row r="2529" ht="14.25" customHeight="1">
      <c r="G2529" s="174" t="s">
        <v>4163</v>
      </c>
      <c r="H2529" s="174" t="s">
        <v>1666</v>
      </c>
      <c r="I2529" s="174" t="str">
        <f t="shared" si="1"/>
        <v>SUDESTE</v>
      </c>
    </row>
    <row r="2530" ht="14.25" customHeight="1">
      <c r="G2530" s="174" t="s">
        <v>4164</v>
      </c>
      <c r="H2530" s="174" t="s">
        <v>1710</v>
      </c>
      <c r="I2530" s="174" t="str">
        <f t="shared" si="1"/>
        <v>CENTRO OESTE</v>
      </c>
    </row>
    <row r="2531" ht="14.25" customHeight="1">
      <c r="G2531" s="174" t="s">
        <v>4165</v>
      </c>
      <c r="H2531" s="174" t="s">
        <v>1672</v>
      </c>
      <c r="I2531" s="174" t="str">
        <f t="shared" si="1"/>
        <v>NORTE</v>
      </c>
    </row>
    <row r="2532" ht="14.25" customHeight="1">
      <c r="G2532" s="174" t="s">
        <v>4165</v>
      </c>
      <c r="H2532" s="174" t="s">
        <v>1702</v>
      </c>
      <c r="I2532" s="174" t="str">
        <f t="shared" si="1"/>
        <v>SUL</v>
      </c>
    </row>
    <row r="2533" ht="14.25" customHeight="1">
      <c r="G2533" s="174" t="s">
        <v>4166</v>
      </c>
      <c r="H2533" s="174" t="s">
        <v>1717</v>
      </c>
      <c r="I2533" s="174" t="str">
        <f t="shared" si="1"/>
        <v>NORDESTE</v>
      </c>
    </row>
    <row r="2534" ht="14.25" customHeight="1">
      <c r="G2534" s="174" t="s">
        <v>4167</v>
      </c>
      <c r="H2534" s="174" t="s">
        <v>1742</v>
      </c>
      <c r="I2534" s="174" t="str">
        <f t="shared" si="1"/>
        <v>SUL</v>
      </c>
    </row>
    <row r="2535" ht="14.25" customHeight="1">
      <c r="G2535" s="174" t="s">
        <v>4168</v>
      </c>
      <c r="H2535" s="174" t="s">
        <v>1658</v>
      </c>
      <c r="I2535" s="174" t="str">
        <f t="shared" si="1"/>
        <v>CENTRO OESTE</v>
      </c>
    </row>
    <row r="2536" ht="14.25" customHeight="1">
      <c r="G2536" s="174" t="s">
        <v>4169</v>
      </c>
      <c r="H2536" s="174" t="s">
        <v>1706</v>
      </c>
      <c r="I2536" s="174" t="str">
        <f t="shared" si="1"/>
        <v>SUL</v>
      </c>
    </row>
    <row r="2537" ht="14.25" customHeight="1">
      <c r="G2537" s="174" t="s">
        <v>4170</v>
      </c>
      <c r="H2537" s="174" t="s">
        <v>1710</v>
      </c>
      <c r="I2537" s="174" t="str">
        <f t="shared" si="1"/>
        <v>CENTRO OESTE</v>
      </c>
    </row>
    <row r="2538" ht="14.25" customHeight="1">
      <c r="G2538" s="174" t="s">
        <v>4171</v>
      </c>
      <c r="H2538" s="174" t="s">
        <v>1664</v>
      </c>
      <c r="I2538" s="174" t="str">
        <f t="shared" si="1"/>
        <v>NORDESTE</v>
      </c>
    </row>
    <row r="2539" ht="14.25" customHeight="1">
      <c r="G2539" s="174" t="s">
        <v>4172</v>
      </c>
      <c r="H2539" s="174" t="s">
        <v>1690</v>
      </c>
      <c r="I2539" s="174" t="str">
        <f t="shared" si="1"/>
        <v>NORDESTE</v>
      </c>
    </row>
    <row r="2540" ht="14.25" customHeight="1">
      <c r="G2540" s="174" t="s">
        <v>4172</v>
      </c>
      <c r="H2540" s="174" t="s">
        <v>1710</v>
      </c>
      <c r="I2540" s="174" t="str">
        <f t="shared" si="1"/>
        <v>CENTRO OESTE</v>
      </c>
    </row>
    <row r="2541" ht="14.25" customHeight="1">
      <c r="G2541" s="174" t="s">
        <v>4173</v>
      </c>
      <c r="H2541" s="174" t="s">
        <v>1702</v>
      </c>
      <c r="I2541" s="174" t="str">
        <f t="shared" si="1"/>
        <v>SUL</v>
      </c>
    </row>
    <row r="2542" ht="14.25" customHeight="1">
      <c r="G2542" s="174" t="s">
        <v>4174</v>
      </c>
      <c r="H2542" s="174" t="s">
        <v>1733</v>
      </c>
      <c r="I2542" s="174" t="str">
        <f t="shared" si="1"/>
        <v>NORDESTE</v>
      </c>
    </row>
    <row r="2543" ht="14.25" customHeight="1">
      <c r="G2543" s="174" t="s">
        <v>4175</v>
      </c>
      <c r="H2543" s="174" t="s">
        <v>1733</v>
      </c>
      <c r="I2543" s="174" t="str">
        <f t="shared" si="1"/>
        <v>NORDESTE</v>
      </c>
    </row>
    <row r="2544" ht="14.25" customHeight="1">
      <c r="G2544" s="174" t="s">
        <v>4176</v>
      </c>
      <c r="H2544" s="174" t="s">
        <v>1725</v>
      </c>
      <c r="I2544" s="174" t="str">
        <f t="shared" si="1"/>
        <v>NORDESTE</v>
      </c>
    </row>
    <row r="2545" ht="14.25" customHeight="1">
      <c r="G2545" s="174" t="s">
        <v>4177</v>
      </c>
      <c r="H2545" s="174" t="s">
        <v>1733</v>
      </c>
      <c r="I2545" s="174" t="str">
        <f t="shared" si="1"/>
        <v>NORDESTE</v>
      </c>
    </row>
    <row r="2546" ht="14.25" customHeight="1">
      <c r="G2546" s="174" t="s">
        <v>4178</v>
      </c>
      <c r="H2546" s="174" t="s">
        <v>1702</v>
      </c>
      <c r="I2546" s="174" t="str">
        <f t="shared" si="1"/>
        <v>SUL</v>
      </c>
    </row>
    <row r="2547" ht="14.25" customHeight="1">
      <c r="G2547" s="174" t="s">
        <v>4179</v>
      </c>
      <c r="H2547" s="174" t="s">
        <v>1750</v>
      </c>
      <c r="I2547" s="174" t="str">
        <f t="shared" si="1"/>
        <v>SUDESTE</v>
      </c>
    </row>
    <row r="2548" ht="14.25" customHeight="1">
      <c r="G2548" s="174" t="s">
        <v>4179</v>
      </c>
      <c r="H2548" s="174" t="s">
        <v>1706</v>
      </c>
      <c r="I2548" s="174" t="str">
        <f t="shared" si="1"/>
        <v>SUL</v>
      </c>
    </row>
    <row r="2549" ht="14.25" customHeight="1">
      <c r="G2549" s="174" t="s">
        <v>4180</v>
      </c>
      <c r="H2549" s="174" t="s">
        <v>1742</v>
      </c>
      <c r="I2549" s="174" t="str">
        <f t="shared" si="1"/>
        <v>SUL</v>
      </c>
    </row>
    <row r="2550" ht="14.25" customHeight="1">
      <c r="G2550" s="174" t="s">
        <v>4181</v>
      </c>
      <c r="H2550" s="174" t="s">
        <v>1750</v>
      </c>
      <c r="I2550" s="174" t="str">
        <f t="shared" si="1"/>
        <v>SUDESTE</v>
      </c>
    </row>
    <row r="2551" ht="14.25" customHeight="1">
      <c r="G2551" s="174" t="s">
        <v>4182</v>
      </c>
      <c r="H2551" s="174" t="s">
        <v>1736</v>
      </c>
      <c r="I2551" s="174" t="str">
        <f t="shared" si="1"/>
        <v>NORTE</v>
      </c>
    </row>
    <row r="2552" ht="14.25" customHeight="1">
      <c r="G2552" s="174" t="s">
        <v>4183</v>
      </c>
      <c r="H2552" s="174" t="s">
        <v>1658</v>
      </c>
      <c r="I2552" s="174" t="str">
        <f t="shared" si="1"/>
        <v>CENTRO OESTE</v>
      </c>
    </row>
    <row r="2553" ht="14.25" customHeight="1">
      <c r="G2553" s="174" t="s">
        <v>4184</v>
      </c>
      <c r="H2553" s="174" t="s">
        <v>1702</v>
      </c>
      <c r="I2553" s="174" t="str">
        <f t="shared" si="1"/>
        <v>SUL</v>
      </c>
    </row>
    <row r="2554" ht="14.25" customHeight="1">
      <c r="G2554" s="174" t="s">
        <v>4185</v>
      </c>
      <c r="H2554" s="174" t="s">
        <v>1717</v>
      </c>
      <c r="I2554" s="174" t="str">
        <f t="shared" si="1"/>
        <v>NORDESTE</v>
      </c>
    </row>
    <row r="2555" ht="14.25" customHeight="1">
      <c r="G2555" s="174" t="s">
        <v>4186</v>
      </c>
      <c r="H2555" s="174" t="s">
        <v>1710</v>
      </c>
      <c r="I2555" s="174" t="str">
        <f t="shared" si="1"/>
        <v>CENTRO OESTE</v>
      </c>
    </row>
    <row r="2556" ht="14.25" customHeight="1">
      <c r="G2556" s="174" t="s">
        <v>4187</v>
      </c>
      <c r="H2556" s="174" t="s">
        <v>1690</v>
      </c>
      <c r="I2556" s="174" t="str">
        <f t="shared" si="1"/>
        <v>NORDESTE</v>
      </c>
    </row>
    <row r="2557" ht="14.25" customHeight="1">
      <c r="G2557" s="174" t="s">
        <v>4188</v>
      </c>
      <c r="H2557" s="174" t="s">
        <v>1704</v>
      </c>
      <c r="I2557" s="174" t="str">
        <f t="shared" si="1"/>
        <v>NORDESTE</v>
      </c>
    </row>
    <row r="2558" ht="14.25" customHeight="1">
      <c r="G2558" s="174" t="s">
        <v>4188</v>
      </c>
      <c r="H2558" s="174" t="s">
        <v>1717</v>
      </c>
      <c r="I2558" s="174" t="str">
        <f t="shared" si="1"/>
        <v>NORDESTE</v>
      </c>
    </row>
    <row r="2559" ht="14.25" customHeight="1">
      <c r="G2559" s="174" t="s">
        <v>4189</v>
      </c>
      <c r="H2559" s="174" t="s">
        <v>1725</v>
      </c>
      <c r="I2559" s="174" t="str">
        <f t="shared" si="1"/>
        <v>NORDESTE</v>
      </c>
    </row>
    <row r="2560" ht="14.25" customHeight="1">
      <c r="G2560" s="174" t="s">
        <v>4190</v>
      </c>
      <c r="H2560" s="174" t="s">
        <v>1750</v>
      </c>
      <c r="I2560" s="174" t="str">
        <f t="shared" si="1"/>
        <v>SUDESTE</v>
      </c>
    </row>
    <row r="2561" ht="14.25" customHeight="1">
      <c r="G2561" s="174" t="s">
        <v>4191</v>
      </c>
      <c r="H2561" s="174" t="s">
        <v>1721</v>
      </c>
      <c r="I2561" s="174" t="str">
        <f t="shared" si="1"/>
        <v>NORTE</v>
      </c>
    </row>
    <row r="2562" ht="14.25" customHeight="1">
      <c r="G2562" s="174" t="s">
        <v>4192</v>
      </c>
      <c r="H2562" s="174" t="s">
        <v>1658</v>
      </c>
      <c r="I2562" s="174" t="str">
        <f t="shared" si="1"/>
        <v>CENTRO OESTE</v>
      </c>
    </row>
    <row r="2563" ht="14.25" customHeight="1">
      <c r="G2563" s="174" t="s">
        <v>4193</v>
      </c>
      <c r="H2563" s="174" t="s">
        <v>1713</v>
      </c>
      <c r="I2563" s="174" t="str">
        <f t="shared" si="1"/>
        <v>CENTRO OESTE</v>
      </c>
    </row>
    <row r="2564" ht="14.25" customHeight="1">
      <c r="G2564" s="174" t="s">
        <v>4194</v>
      </c>
      <c r="H2564" s="174" t="s">
        <v>1666</v>
      </c>
      <c r="I2564" s="174" t="str">
        <f t="shared" si="1"/>
        <v>SUDESTE</v>
      </c>
    </row>
    <row r="2565" ht="14.25" customHeight="1">
      <c r="G2565" s="174" t="s">
        <v>4195</v>
      </c>
      <c r="H2565" s="174" t="s">
        <v>1666</v>
      </c>
      <c r="I2565" s="174" t="str">
        <f t="shared" si="1"/>
        <v>SUDESTE</v>
      </c>
    </row>
    <row r="2566" ht="14.25" customHeight="1">
      <c r="G2566" s="174" t="s">
        <v>4196</v>
      </c>
      <c r="H2566" s="174" t="s">
        <v>1704</v>
      </c>
      <c r="I2566" s="174" t="str">
        <f t="shared" si="1"/>
        <v>NORDESTE</v>
      </c>
    </row>
    <row r="2567" ht="14.25" customHeight="1">
      <c r="G2567" s="174" t="s">
        <v>4197</v>
      </c>
      <c r="H2567" s="174" t="s">
        <v>1666</v>
      </c>
      <c r="I2567" s="174" t="str">
        <f t="shared" si="1"/>
        <v>SUDESTE</v>
      </c>
    </row>
    <row r="2568" ht="14.25" customHeight="1">
      <c r="G2568" s="174" t="s">
        <v>4198</v>
      </c>
      <c r="H2568" s="174" t="s">
        <v>1664</v>
      </c>
      <c r="I2568" s="174" t="str">
        <f t="shared" si="1"/>
        <v>NORDESTE</v>
      </c>
    </row>
    <row r="2569" ht="14.25" customHeight="1">
      <c r="G2569" s="174" t="s">
        <v>4199</v>
      </c>
      <c r="H2569" s="174" t="s">
        <v>1685</v>
      </c>
      <c r="I2569" s="174" t="str">
        <f t="shared" si="1"/>
        <v>NORDESTE</v>
      </c>
    </row>
    <row r="2570" ht="14.25" customHeight="1">
      <c r="G2570" s="174" t="s">
        <v>4200</v>
      </c>
      <c r="H2570" s="174" t="s">
        <v>1666</v>
      </c>
      <c r="I2570" s="174" t="str">
        <f t="shared" si="1"/>
        <v>SUDESTE</v>
      </c>
    </row>
    <row r="2571" ht="14.25" customHeight="1">
      <c r="G2571" s="174" t="s">
        <v>4201</v>
      </c>
      <c r="H2571" s="174" t="s">
        <v>1666</v>
      </c>
      <c r="I2571" s="174" t="str">
        <f t="shared" si="1"/>
        <v>SUDESTE</v>
      </c>
    </row>
    <row r="2572" ht="14.25" customHeight="1">
      <c r="G2572" s="174" t="s">
        <v>4202</v>
      </c>
      <c r="H2572" s="174" t="s">
        <v>1666</v>
      </c>
      <c r="I2572" s="174" t="str">
        <f t="shared" si="1"/>
        <v>SUDESTE</v>
      </c>
    </row>
    <row r="2573" ht="14.25" customHeight="1">
      <c r="G2573" s="174" t="s">
        <v>4203</v>
      </c>
      <c r="H2573" s="174" t="s">
        <v>1685</v>
      </c>
      <c r="I2573" s="174" t="str">
        <f t="shared" si="1"/>
        <v>NORDESTE</v>
      </c>
    </row>
    <row r="2574" ht="14.25" customHeight="1">
      <c r="G2574" s="174" t="s">
        <v>4204</v>
      </c>
      <c r="H2574" s="174" t="s">
        <v>1719</v>
      </c>
      <c r="I2574" s="174" t="str">
        <f t="shared" si="1"/>
        <v>NORDESTE</v>
      </c>
    </row>
    <row r="2575" ht="14.25" customHeight="1">
      <c r="G2575" s="174" t="s">
        <v>4205</v>
      </c>
      <c r="H2575" s="174" t="s">
        <v>1750</v>
      </c>
      <c r="I2575" s="174" t="str">
        <f t="shared" si="1"/>
        <v>SUDESTE</v>
      </c>
    </row>
    <row r="2576" ht="14.25" customHeight="1">
      <c r="G2576" s="174" t="s">
        <v>4206</v>
      </c>
      <c r="H2576" s="174" t="s">
        <v>1698</v>
      </c>
      <c r="I2576" s="174" t="str">
        <f t="shared" si="1"/>
        <v>SUDESTE</v>
      </c>
    </row>
    <row r="2577" ht="14.25" customHeight="1">
      <c r="G2577" s="174" t="s">
        <v>4207</v>
      </c>
      <c r="H2577" s="174" t="s">
        <v>1725</v>
      </c>
      <c r="I2577" s="174" t="str">
        <f t="shared" si="1"/>
        <v>NORDESTE</v>
      </c>
    </row>
    <row r="2578" ht="14.25" customHeight="1">
      <c r="G2578" s="174" t="s">
        <v>4208</v>
      </c>
      <c r="H2578" s="174" t="s">
        <v>1666</v>
      </c>
      <c r="I2578" s="174" t="str">
        <f t="shared" si="1"/>
        <v>SUDESTE</v>
      </c>
    </row>
    <row r="2579" ht="14.25" customHeight="1">
      <c r="G2579" s="174" t="s">
        <v>4209</v>
      </c>
      <c r="H2579" s="174" t="s">
        <v>1702</v>
      </c>
      <c r="I2579" s="174" t="str">
        <f t="shared" si="1"/>
        <v>SUL</v>
      </c>
    </row>
    <row r="2580" ht="14.25" customHeight="1">
      <c r="G2580" s="174" t="s">
        <v>4210</v>
      </c>
      <c r="H2580" s="174" t="s">
        <v>1658</v>
      </c>
      <c r="I2580" s="174" t="str">
        <f t="shared" si="1"/>
        <v>CENTRO OESTE</v>
      </c>
    </row>
    <row r="2581" ht="14.25" customHeight="1">
      <c r="G2581" s="174" t="s">
        <v>4211</v>
      </c>
      <c r="H2581" s="174" t="s">
        <v>1690</v>
      </c>
      <c r="I2581" s="174" t="str">
        <f t="shared" si="1"/>
        <v>NORDESTE</v>
      </c>
    </row>
    <row r="2582" ht="14.25" customHeight="1">
      <c r="G2582" s="174" t="s">
        <v>4212</v>
      </c>
      <c r="H2582" s="174" t="s">
        <v>1736</v>
      </c>
      <c r="I2582" s="174" t="str">
        <f t="shared" si="1"/>
        <v>NORTE</v>
      </c>
    </row>
    <row r="2583" ht="14.25" customHeight="1">
      <c r="G2583" s="174" t="s">
        <v>4213</v>
      </c>
      <c r="H2583" s="174" t="s">
        <v>1685</v>
      </c>
      <c r="I2583" s="174" t="str">
        <f t="shared" si="1"/>
        <v>NORDESTE</v>
      </c>
    </row>
    <row r="2584" ht="14.25" customHeight="1">
      <c r="G2584" s="174" t="s">
        <v>4214</v>
      </c>
      <c r="H2584" s="174" t="s">
        <v>1685</v>
      </c>
      <c r="I2584" s="174" t="str">
        <f t="shared" si="1"/>
        <v>NORDESTE</v>
      </c>
    </row>
    <row r="2585" ht="14.25" customHeight="1">
      <c r="G2585" s="174" t="s">
        <v>4215</v>
      </c>
      <c r="H2585" s="174" t="s">
        <v>1706</v>
      </c>
      <c r="I2585" s="174" t="str">
        <f t="shared" si="1"/>
        <v>SUL</v>
      </c>
    </row>
    <row r="2586" ht="14.25" customHeight="1">
      <c r="G2586" s="174" t="s">
        <v>4216</v>
      </c>
      <c r="H2586" s="174" t="s">
        <v>1666</v>
      </c>
      <c r="I2586" s="174" t="str">
        <f t="shared" si="1"/>
        <v>SUDESTE</v>
      </c>
    </row>
    <row r="2587" ht="14.25" customHeight="1">
      <c r="G2587" s="174" t="s">
        <v>4217</v>
      </c>
      <c r="H2587" s="174" t="s">
        <v>1666</v>
      </c>
      <c r="I2587" s="174" t="str">
        <f t="shared" si="1"/>
        <v>SUDESTE</v>
      </c>
    </row>
    <row r="2588" ht="14.25" customHeight="1">
      <c r="G2588" s="174" t="s">
        <v>4218</v>
      </c>
      <c r="H2588" s="174" t="s">
        <v>1750</v>
      </c>
      <c r="I2588" s="174" t="str">
        <f t="shared" si="1"/>
        <v>SUDESTE</v>
      </c>
    </row>
    <row r="2589" ht="14.25" customHeight="1">
      <c r="G2589" s="174" t="s">
        <v>4219</v>
      </c>
      <c r="H2589" s="174" t="s">
        <v>1717</v>
      </c>
      <c r="I2589" s="174" t="str">
        <f t="shared" si="1"/>
        <v>NORDESTE</v>
      </c>
    </row>
    <row r="2590" ht="14.25" customHeight="1">
      <c r="G2590" s="174" t="s">
        <v>4220</v>
      </c>
      <c r="H2590" s="174" t="s">
        <v>1733</v>
      </c>
      <c r="I2590" s="174" t="str">
        <f t="shared" si="1"/>
        <v>NORDESTE</v>
      </c>
    </row>
    <row r="2591" ht="14.25" customHeight="1">
      <c r="G2591" s="174" t="s">
        <v>4221</v>
      </c>
      <c r="H2591" s="174" t="s">
        <v>1725</v>
      </c>
      <c r="I2591" s="174" t="str">
        <f t="shared" si="1"/>
        <v>NORDESTE</v>
      </c>
    </row>
    <row r="2592" ht="14.25" customHeight="1">
      <c r="G2592" s="174" t="s">
        <v>4222</v>
      </c>
      <c r="H2592" s="174" t="s">
        <v>1733</v>
      </c>
      <c r="I2592" s="174" t="str">
        <f t="shared" si="1"/>
        <v>NORDESTE</v>
      </c>
    </row>
    <row r="2593" ht="14.25" customHeight="1">
      <c r="G2593" s="174" t="s">
        <v>4223</v>
      </c>
      <c r="H2593" s="174" t="s">
        <v>1685</v>
      </c>
      <c r="I2593" s="174" t="str">
        <f t="shared" si="1"/>
        <v>NORDESTE</v>
      </c>
    </row>
    <row r="2594" ht="14.25" customHeight="1">
      <c r="G2594" s="174" t="s">
        <v>4224</v>
      </c>
      <c r="H2594" s="174" t="s">
        <v>1704</v>
      </c>
      <c r="I2594" s="174" t="str">
        <f t="shared" si="1"/>
        <v>NORDESTE</v>
      </c>
    </row>
    <row r="2595" ht="14.25" customHeight="1">
      <c r="G2595" s="174" t="s">
        <v>4225</v>
      </c>
      <c r="H2595" s="174" t="s">
        <v>1666</v>
      </c>
      <c r="I2595" s="174" t="str">
        <f t="shared" si="1"/>
        <v>SUDESTE</v>
      </c>
    </row>
    <row r="2596" ht="14.25" customHeight="1">
      <c r="G2596" s="174" t="s">
        <v>4226</v>
      </c>
      <c r="H2596" s="174" t="s">
        <v>1698</v>
      </c>
      <c r="I2596" s="174" t="str">
        <f t="shared" si="1"/>
        <v>SUDESTE</v>
      </c>
    </row>
    <row r="2597" ht="14.25" customHeight="1">
      <c r="G2597" s="174" t="s">
        <v>4227</v>
      </c>
      <c r="H2597" s="174" t="s">
        <v>1719</v>
      </c>
      <c r="I2597" s="174" t="str">
        <f t="shared" si="1"/>
        <v>NORDESTE</v>
      </c>
    </row>
    <row r="2598" ht="14.25" customHeight="1">
      <c r="G2598" s="174" t="s">
        <v>4228</v>
      </c>
      <c r="H2598" s="174" t="s">
        <v>1666</v>
      </c>
      <c r="I2598" s="174" t="str">
        <f t="shared" si="1"/>
        <v>SUDESTE</v>
      </c>
    </row>
    <row r="2599" ht="14.25" customHeight="1">
      <c r="G2599" s="174" t="s">
        <v>4229</v>
      </c>
      <c r="H2599" s="174" t="s">
        <v>1750</v>
      </c>
      <c r="I2599" s="174" t="str">
        <f t="shared" si="1"/>
        <v>SUDESTE</v>
      </c>
    </row>
    <row r="2600" ht="14.25" customHeight="1">
      <c r="G2600" s="174" t="s">
        <v>4230</v>
      </c>
      <c r="H2600" s="174" t="s">
        <v>1666</v>
      </c>
      <c r="I2600" s="174" t="str">
        <f t="shared" si="1"/>
        <v>SUDESTE</v>
      </c>
    </row>
    <row r="2601" ht="14.25" customHeight="1">
      <c r="G2601" s="174" t="s">
        <v>4231</v>
      </c>
      <c r="H2601" s="174" t="s">
        <v>1664</v>
      </c>
      <c r="I2601" s="174" t="str">
        <f t="shared" si="1"/>
        <v>NORDESTE</v>
      </c>
    </row>
    <row r="2602" ht="14.25" customHeight="1">
      <c r="G2602" s="174" t="s">
        <v>4232</v>
      </c>
      <c r="H2602" s="174" t="s">
        <v>1717</v>
      </c>
      <c r="I2602" s="174" t="str">
        <f t="shared" si="1"/>
        <v>NORDESTE</v>
      </c>
    </row>
    <row r="2603" ht="14.25" customHeight="1">
      <c r="G2603" s="174" t="s">
        <v>4233</v>
      </c>
      <c r="H2603" s="174" t="s">
        <v>1725</v>
      </c>
      <c r="I2603" s="174" t="str">
        <f t="shared" si="1"/>
        <v>NORDESTE</v>
      </c>
    </row>
    <row r="2604" ht="14.25" customHeight="1">
      <c r="G2604" s="174" t="s">
        <v>4234</v>
      </c>
      <c r="H2604" s="174" t="s">
        <v>1702</v>
      </c>
      <c r="I2604" s="174" t="str">
        <f t="shared" si="1"/>
        <v>SUL</v>
      </c>
    </row>
    <row r="2605" ht="14.25" customHeight="1">
      <c r="G2605" s="174" t="s">
        <v>4235</v>
      </c>
      <c r="H2605" s="174" t="s">
        <v>1725</v>
      </c>
      <c r="I2605" s="174" t="str">
        <f t="shared" si="1"/>
        <v>NORDESTE</v>
      </c>
    </row>
    <row r="2606" ht="14.25" customHeight="1">
      <c r="G2606" s="174" t="s">
        <v>4236</v>
      </c>
      <c r="H2606" s="174" t="s">
        <v>1742</v>
      </c>
      <c r="I2606" s="174" t="str">
        <f t="shared" si="1"/>
        <v>SUL</v>
      </c>
    </row>
    <row r="2607" ht="14.25" customHeight="1">
      <c r="G2607" s="174" t="s">
        <v>4237</v>
      </c>
      <c r="H2607" s="174" t="s">
        <v>1706</v>
      </c>
      <c r="I2607" s="174" t="str">
        <f t="shared" si="1"/>
        <v>SUL</v>
      </c>
    </row>
    <row r="2608" ht="14.25" customHeight="1">
      <c r="G2608" s="174" t="s">
        <v>4238</v>
      </c>
      <c r="H2608" s="174" t="s">
        <v>1666</v>
      </c>
      <c r="I2608" s="174" t="str">
        <f t="shared" si="1"/>
        <v>SUDESTE</v>
      </c>
    </row>
    <row r="2609" ht="14.25" customHeight="1">
      <c r="G2609" s="174" t="s">
        <v>4239</v>
      </c>
      <c r="H2609" s="174" t="s">
        <v>1656</v>
      </c>
      <c r="I2609" s="174" t="str">
        <f t="shared" si="1"/>
        <v>NORTE</v>
      </c>
    </row>
    <row r="2610" ht="14.25" customHeight="1">
      <c r="G2610" s="174" t="s">
        <v>4240</v>
      </c>
      <c r="H2610" s="174" t="s">
        <v>1706</v>
      </c>
      <c r="I2610" s="174" t="str">
        <f t="shared" si="1"/>
        <v>SUL</v>
      </c>
    </row>
    <row r="2611" ht="14.25" customHeight="1">
      <c r="G2611" s="174" t="s">
        <v>4241</v>
      </c>
      <c r="H2611" s="174" t="s">
        <v>1750</v>
      </c>
      <c r="I2611" s="174" t="str">
        <f t="shared" si="1"/>
        <v>SUDESTE</v>
      </c>
    </row>
    <row r="2612" ht="14.25" customHeight="1">
      <c r="G2612" s="174" t="s">
        <v>4242</v>
      </c>
      <c r="H2612" s="174" t="s">
        <v>1733</v>
      </c>
      <c r="I2612" s="174" t="str">
        <f t="shared" si="1"/>
        <v>NORDESTE</v>
      </c>
    </row>
    <row r="2613" ht="14.25" customHeight="1">
      <c r="G2613" s="174" t="s">
        <v>4243</v>
      </c>
      <c r="H2613" s="174" t="s">
        <v>1725</v>
      </c>
      <c r="I2613" s="174" t="str">
        <f t="shared" si="1"/>
        <v>NORDESTE</v>
      </c>
    </row>
    <row r="2614" ht="14.25" customHeight="1">
      <c r="G2614" s="174" t="s">
        <v>4244</v>
      </c>
      <c r="H2614" s="174" t="s">
        <v>1666</v>
      </c>
      <c r="I2614" s="174" t="str">
        <f t="shared" si="1"/>
        <v>SUDESTE</v>
      </c>
    </row>
    <row r="2615" ht="14.25" customHeight="1">
      <c r="G2615" s="174" t="s">
        <v>4245</v>
      </c>
      <c r="H2615" s="174" t="s">
        <v>1666</v>
      </c>
      <c r="I2615" s="174" t="str">
        <f t="shared" si="1"/>
        <v>SUDESTE</v>
      </c>
    </row>
    <row r="2616" ht="14.25" customHeight="1">
      <c r="G2616" s="174" t="s">
        <v>4246</v>
      </c>
      <c r="H2616" s="174" t="s">
        <v>1704</v>
      </c>
      <c r="I2616" s="174" t="str">
        <f t="shared" si="1"/>
        <v>NORDESTE</v>
      </c>
    </row>
    <row r="2617" ht="14.25" customHeight="1">
      <c r="G2617" s="174" t="s">
        <v>4247</v>
      </c>
      <c r="H2617" s="174" t="s">
        <v>1666</v>
      </c>
      <c r="I2617" s="174" t="str">
        <f t="shared" si="1"/>
        <v>SUDESTE</v>
      </c>
    </row>
    <row r="2618" ht="14.25" customHeight="1">
      <c r="G2618" s="174" t="s">
        <v>4248</v>
      </c>
      <c r="H2618" s="174" t="s">
        <v>1658</v>
      </c>
      <c r="I2618" s="174" t="str">
        <f t="shared" si="1"/>
        <v>CENTRO OESTE</v>
      </c>
    </row>
    <row r="2619" ht="14.25" customHeight="1">
      <c r="G2619" s="174" t="s">
        <v>4249</v>
      </c>
      <c r="H2619" s="174" t="s">
        <v>1713</v>
      </c>
      <c r="I2619" s="174" t="str">
        <f t="shared" si="1"/>
        <v>CENTRO OESTE</v>
      </c>
    </row>
    <row r="2620" ht="14.25" customHeight="1">
      <c r="G2620" s="174" t="s">
        <v>4250</v>
      </c>
      <c r="H2620" s="174" t="s">
        <v>1719</v>
      </c>
      <c r="I2620" s="174" t="str">
        <f t="shared" si="1"/>
        <v>NORDESTE</v>
      </c>
    </row>
    <row r="2621" ht="14.25" customHeight="1">
      <c r="G2621" s="174" t="s">
        <v>4251</v>
      </c>
      <c r="H2621" s="174" t="s">
        <v>1721</v>
      </c>
      <c r="I2621" s="174" t="str">
        <f t="shared" si="1"/>
        <v>NORTE</v>
      </c>
    </row>
    <row r="2622" ht="14.25" customHeight="1">
      <c r="G2622" s="174" t="s">
        <v>4252</v>
      </c>
      <c r="H2622" s="174" t="s">
        <v>1666</v>
      </c>
      <c r="I2622" s="174" t="str">
        <f t="shared" si="1"/>
        <v>SUDESTE</v>
      </c>
    </row>
    <row r="2623" ht="14.25" customHeight="1">
      <c r="G2623" s="174" t="s">
        <v>4253</v>
      </c>
      <c r="H2623" s="174" t="s">
        <v>1719</v>
      </c>
      <c r="I2623" s="174" t="str">
        <f t="shared" si="1"/>
        <v>NORDESTE</v>
      </c>
    </row>
    <row r="2624" ht="14.25" customHeight="1">
      <c r="G2624" s="174" t="s">
        <v>4254</v>
      </c>
      <c r="H2624" s="174" t="s">
        <v>1685</v>
      </c>
      <c r="I2624" s="174" t="str">
        <f t="shared" si="1"/>
        <v>NORDESTE</v>
      </c>
    </row>
    <row r="2625" ht="14.25" customHeight="1">
      <c r="G2625" s="174" t="s">
        <v>4255</v>
      </c>
      <c r="H2625" s="174" t="s">
        <v>1690</v>
      </c>
      <c r="I2625" s="174" t="str">
        <f t="shared" si="1"/>
        <v>NORDESTE</v>
      </c>
    </row>
    <row r="2626" ht="14.25" customHeight="1">
      <c r="G2626" s="174" t="s">
        <v>4256</v>
      </c>
      <c r="H2626" s="174" t="s">
        <v>1725</v>
      </c>
      <c r="I2626" s="174" t="str">
        <f t="shared" si="1"/>
        <v>NORDESTE</v>
      </c>
    </row>
    <row r="2627" ht="14.25" customHeight="1">
      <c r="G2627" s="174" t="s">
        <v>4257</v>
      </c>
      <c r="H2627" s="174" t="s">
        <v>1690</v>
      </c>
      <c r="I2627" s="174" t="str">
        <f t="shared" si="1"/>
        <v>NORDESTE</v>
      </c>
    </row>
    <row r="2628" ht="14.25" customHeight="1">
      <c r="G2628" s="174" t="s">
        <v>4258</v>
      </c>
      <c r="H2628" s="174" t="s">
        <v>1717</v>
      </c>
      <c r="I2628" s="174" t="str">
        <f t="shared" si="1"/>
        <v>NORDESTE</v>
      </c>
    </row>
    <row r="2629" ht="14.25" customHeight="1">
      <c r="G2629" s="174" t="s">
        <v>4259</v>
      </c>
      <c r="H2629" s="174" t="s">
        <v>1685</v>
      </c>
      <c r="I2629" s="174" t="str">
        <f t="shared" si="1"/>
        <v>NORDESTE</v>
      </c>
    </row>
    <row r="2630" ht="14.25" customHeight="1">
      <c r="G2630" s="174" t="s">
        <v>4260</v>
      </c>
      <c r="H2630" s="174" t="s">
        <v>1733</v>
      </c>
      <c r="I2630" s="174" t="str">
        <f t="shared" si="1"/>
        <v>NORDESTE</v>
      </c>
    </row>
    <row r="2631" ht="14.25" customHeight="1">
      <c r="G2631" s="174" t="s">
        <v>4261</v>
      </c>
      <c r="H2631" s="174" t="s">
        <v>1713</v>
      </c>
      <c r="I2631" s="174" t="str">
        <f t="shared" si="1"/>
        <v>CENTRO OESTE</v>
      </c>
    </row>
    <row r="2632" ht="14.25" customHeight="1">
      <c r="G2632" s="174" t="s">
        <v>4262</v>
      </c>
      <c r="H2632" s="174" t="s">
        <v>1666</v>
      </c>
      <c r="I2632" s="174" t="str">
        <f t="shared" si="1"/>
        <v>SUDESTE</v>
      </c>
    </row>
    <row r="2633" ht="14.25" customHeight="1">
      <c r="G2633" s="174" t="s">
        <v>4263</v>
      </c>
      <c r="H2633" s="174" t="s">
        <v>1725</v>
      </c>
      <c r="I2633" s="174" t="str">
        <f t="shared" si="1"/>
        <v>NORDESTE</v>
      </c>
    </row>
    <row r="2634" ht="14.25" customHeight="1">
      <c r="G2634" s="174" t="s">
        <v>4264</v>
      </c>
      <c r="H2634" s="174" t="s">
        <v>1742</v>
      </c>
      <c r="I2634" s="174" t="str">
        <f t="shared" si="1"/>
        <v>SUL</v>
      </c>
    </row>
    <row r="2635" ht="14.25" customHeight="1">
      <c r="G2635" s="174" t="s">
        <v>4265</v>
      </c>
      <c r="H2635" s="174" t="s">
        <v>1750</v>
      </c>
      <c r="I2635" s="174" t="str">
        <f t="shared" si="1"/>
        <v>SUDESTE</v>
      </c>
    </row>
    <row r="2636" ht="14.25" customHeight="1">
      <c r="G2636" s="174" t="s">
        <v>4266</v>
      </c>
      <c r="H2636" s="174" t="s">
        <v>1750</v>
      </c>
      <c r="I2636" s="174" t="str">
        <f t="shared" si="1"/>
        <v>SUDESTE</v>
      </c>
    </row>
    <row r="2637" ht="14.25" customHeight="1">
      <c r="G2637" s="174" t="s">
        <v>4267</v>
      </c>
      <c r="H2637" s="174" t="s">
        <v>1704</v>
      </c>
      <c r="I2637" s="174" t="str">
        <f t="shared" si="1"/>
        <v>NORDESTE</v>
      </c>
    </row>
    <row r="2638" ht="14.25" customHeight="1">
      <c r="G2638" s="174" t="s">
        <v>4268</v>
      </c>
      <c r="H2638" s="174" t="s">
        <v>1719</v>
      </c>
      <c r="I2638" s="174" t="str">
        <f t="shared" si="1"/>
        <v>NORDESTE</v>
      </c>
    </row>
    <row r="2639" ht="14.25" customHeight="1">
      <c r="G2639" s="174" t="s">
        <v>4269</v>
      </c>
      <c r="H2639" s="174" t="s">
        <v>1733</v>
      </c>
      <c r="I2639" s="174" t="str">
        <f t="shared" si="1"/>
        <v>NORDESTE</v>
      </c>
    </row>
    <row r="2640" ht="14.25" customHeight="1">
      <c r="G2640" s="174" t="s">
        <v>4269</v>
      </c>
      <c r="H2640" s="174" t="s">
        <v>1664</v>
      </c>
      <c r="I2640" s="174" t="str">
        <f t="shared" si="1"/>
        <v>NORDESTE</v>
      </c>
    </row>
    <row r="2641" ht="14.25" customHeight="1">
      <c r="G2641" s="174" t="s">
        <v>4270</v>
      </c>
      <c r="H2641" s="174" t="s">
        <v>1750</v>
      </c>
      <c r="I2641" s="174" t="str">
        <f t="shared" si="1"/>
        <v>SUDESTE</v>
      </c>
    </row>
    <row r="2642" ht="14.25" customHeight="1">
      <c r="G2642" s="174" t="s">
        <v>4271</v>
      </c>
      <c r="H2642" s="174" t="s">
        <v>1702</v>
      </c>
      <c r="I2642" s="174" t="str">
        <f t="shared" si="1"/>
        <v>SUL</v>
      </c>
    </row>
    <row r="2643" ht="14.25" customHeight="1">
      <c r="G2643" s="174" t="s">
        <v>4272</v>
      </c>
      <c r="H2643" s="174" t="s">
        <v>1664</v>
      </c>
      <c r="I2643" s="174" t="str">
        <f t="shared" si="1"/>
        <v>NORDESTE</v>
      </c>
    </row>
    <row r="2644" ht="14.25" customHeight="1">
      <c r="G2644" s="174" t="s">
        <v>4273</v>
      </c>
      <c r="H2644" s="174" t="s">
        <v>1750</v>
      </c>
      <c r="I2644" s="174" t="str">
        <f t="shared" si="1"/>
        <v>SUDESTE</v>
      </c>
    </row>
    <row r="2645" ht="14.25" customHeight="1">
      <c r="G2645" s="174" t="s">
        <v>4274</v>
      </c>
      <c r="H2645" s="174" t="s">
        <v>1717</v>
      </c>
      <c r="I2645" s="174" t="str">
        <f t="shared" si="1"/>
        <v>NORDESTE</v>
      </c>
    </row>
    <row r="2646" ht="14.25" customHeight="1">
      <c r="G2646" s="174" t="s">
        <v>4275</v>
      </c>
      <c r="H2646" s="174" t="s">
        <v>1706</v>
      </c>
      <c r="I2646" s="174" t="str">
        <f t="shared" si="1"/>
        <v>SUL</v>
      </c>
    </row>
    <row r="2647" ht="14.25" customHeight="1">
      <c r="G2647" s="174" t="s">
        <v>4276</v>
      </c>
      <c r="H2647" s="174" t="s">
        <v>1750</v>
      </c>
      <c r="I2647" s="174" t="str">
        <f t="shared" si="1"/>
        <v>SUDESTE</v>
      </c>
    </row>
    <row r="2648" ht="14.25" customHeight="1">
      <c r="G2648" s="174" t="s">
        <v>4277</v>
      </c>
      <c r="H2648" s="174" t="s">
        <v>1750</v>
      </c>
      <c r="I2648" s="174" t="str">
        <f t="shared" si="1"/>
        <v>SUDESTE</v>
      </c>
    </row>
    <row r="2649" ht="14.25" customHeight="1">
      <c r="G2649" s="174" t="s">
        <v>4278</v>
      </c>
      <c r="H2649" s="174" t="s">
        <v>1666</v>
      </c>
      <c r="I2649" s="174" t="str">
        <f t="shared" si="1"/>
        <v>SUDESTE</v>
      </c>
    </row>
    <row r="2650" ht="14.25" customHeight="1">
      <c r="G2650" s="174" t="s">
        <v>4279</v>
      </c>
      <c r="H2650" s="174" t="s">
        <v>1702</v>
      </c>
      <c r="I2650" s="174" t="str">
        <f t="shared" si="1"/>
        <v>SUL</v>
      </c>
    </row>
    <row r="2651" ht="14.25" customHeight="1">
      <c r="G2651" s="174" t="s">
        <v>4280</v>
      </c>
      <c r="H2651" s="174" t="s">
        <v>1725</v>
      </c>
      <c r="I2651" s="174" t="str">
        <f t="shared" si="1"/>
        <v>NORDESTE</v>
      </c>
    </row>
    <row r="2652" ht="14.25" customHeight="1">
      <c r="G2652" s="174" t="s">
        <v>4280</v>
      </c>
      <c r="H2652" s="174" t="s">
        <v>1717</v>
      </c>
      <c r="I2652" s="174" t="str">
        <f t="shared" si="1"/>
        <v>NORDESTE</v>
      </c>
    </row>
    <row r="2653" ht="14.25" customHeight="1">
      <c r="G2653" s="174" t="s">
        <v>4281</v>
      </c>
      <c r="H2653" s="174" t="s">
        <v>1719</v>
      </c>
      <c r="I2653" s="174" t="str">
        <f t="shared" si="1"/>
        <v>NORDESTE</v>
      </c>
    </row>
    <row r="2654" ht="14.25" customHeight="1">
      <c r="G2654" s="174" t="s">
        <v>4282</v>
      </c>
      <c r="H2654" s="174" t="s">
        <v>1719</v>
      </c>
      <c r="I2654" s="174" t="str">
        <f t="shared" si="1"/>
        <v>NORDESTE</v>
      </c>
    </row>
    <row r="2655" ht="14.25" customHeight="1">
      <c r="G2655" s="174" t="s">
        <v>4283</v>
      </c>
      <c r="H2655" s="174" t="s">
        <v>1672</v>
      </c>
      <c r="I2655" s="174" t="str">
        <f t="shared" si="1"/>
        <v>NORTE</v>
      </c>
    </row>
    <row r="2656" ht="14.25" customHeight="1">
      <c r="G2656" s="174" t="s">
        <v>4284</v>
      </c>
      <c r="H2656" s="174" t="s">
        <v>1666</v>
      </c>
      <c r="I2656" s="174" t="str">
        <f t="shared" si="1"/>
        <v>SUDESTE</v>
      </c>
    </row>
    <row r="2657" ht="14.25" customHeight="1">
      <c r="G2657" s="174" t="s">
        <v>4285</v>
      </c>
      <c r="H2657" s="174" t="s">
        <v>1713</v>
      </c>
      <c r="I2657" s="174" t="str">
        <f t="shared" si="1"/>
        <v>CENTRO OESTE</v>
      </c>
    </row>
    <row r="2658" ht="14.25" customHeight="1">
      <c r="G2658" s="174" t="s">
        <v>4286</v>
      </c>
      <c r="H2658" s="174" t="s">
        <v>1687</v>
      </c>
      <c r="I2658" s="174" t="str">
        <f t="shared" si="1"/>
        <v>NORTE</v>
      </c>
    </row>
    <row r="2659" ht="14.25" customHeight="1">
      <c r="G2659" s="174" t="s">
        <v>4287</v>
      </c>
      <c r="H2659" s="174" t="s">
        <v>1713</v>
      </c>
      <c r="I2659" s="174" t="str">
        <f t="shared" si="1"/>
        <v>CENTRO OESTE</v>
      </c>
    </row>
    <row r="2660" ht="14.25" customHeight="1">
      <c r="G2660" s="174" t="s">
        <v>4288</v>
      </c>
      <c r="H2660" s="174" t="s">
        <v>1685</v>
      </c>
      <c r="I2660" s="174" t="str">
        <f t="shared" si="1"/>
        <v>NORDESTE</v>
      </c>
    </row>
    <row r="2661" ht="14.25" customHeight="1">
      <c r="G2661" s="174" t="s">
        <v>4288</v>
      </c>
      <c r="H2661" s="174" t="s">
        <v>1702</v>
      </c>
      <c r="I2661" s="174" t="str">
        <f t="shared" si="1"/>
        <v>SUL</v>
      </c>
    </row>
    <row r="2662" ht="14.25" customHeight="1">
      <c r="G2662" s="174" t="s">
        <v>4288</v>
      </c>
      <c r="H2662" s="174" t="s">
        <v>1658</v>
      </c>
      <c r="I2662" s="174" t="str">
        <f t="shared" si="1"/>
        <v>CENTRO OESTE</v>
      </c>
    </row>
    <row r="2663" ht="14.25" customHeight="1">
      <c r="G2663" s="174" t="s">
        <v>4289</v>
      </c>
      <c r="H2663" s="174" t="s">
        <v>1685</v>
      </c>
      <c r="I2663" s="174" t="str">
        <f t="shared" si="1"/>
        <v>NORDESTE</v>
      </c>
    </row>
    <row r="2664" ht="14.25" customHeight="1">
      <c r="G2664" s="174" t="s">
        <v>4290</v>
      </c>
      <c r="H2664" s="174" t="s">
        <v>1685</v>
      </c>
      <c r="I2664" s="174" t="str">
        <f t="shared" si="1"/>
        <v>NORDESTE</v>
      </c>
    </row>
    <row r="2665" ht="14.25" customHeight="1">
      <c r="G2665" s="174" t="s">
        <v>4291</v>
      </c>
      <c r="H2665" s="174" t="s">
        <v>1672</v>
      </c>
      <c r="I2665" s="174" t="str">
        <f t="shared" si="1"/>
        <v>NORTE</v>
      </c>
    </row>
    <row r="2666" ht="14.25" customHeight="1">
      <c r="G2666" s="174" t="s">
        <v>4292</v>
      </c>
      <c r="H2666" s="174" t="s">
        <v>1710</v>
      </c>
      <c r="I2666" s="174" t="str">
        <f t="shared" si="1"/>
        <v>CENTRO OESTE</v>
      </c>
    </row>
    <row r="2667" ht="14.25" customHeight="1">
      <c r="G2667" s="174" t="s">
        <v>4293</v>
      </c>
      <c r="H2667" s="174" t="s">
        <v>1666</v>
      </c>
      <c r="I2667" s="174" t="str">
        <f t="shared" si="1"/>
        <v>SUDESTE</v>
      </c>
    </row>
    <row r="2668" ht="14.25" customHeight="1">
      <c r="G2668" s="174" t="s">
        <v>4294</v>
      </c>
      <c r="H2668" s="174" t="s">
        <v>1702</v>
      </c>
      <c r="I2668" s="174" t="str">
        <f t="shared" si="1"/>
        <v>SUL</v>
      </c>
    </row>
    <row r="2669" ht="14.25" customHeight="1">
      <c r="G2669" s="174" t="s">
        <v>4295</v>
      </c>
      <c r="H2669" s="174" t="s">
        <v>1672</v>
      </c>
      <c r="I2669" s="174" t="str">
        <f t="shared" si="1"/>
        <v>NORTE</v>
      </c>
    </row>
    <row r="2670" ht="14.25" customHeight="1">
      <c r="G2670" s="174" t="s">
        <v>4296</v>
      </c>
      <c r="H2670" s="174" t="s">
        <v>1706</v>
      </c>
      <c r="I2670" s="174" t="str">
        <f t="shared" si="1"/>
        <v>SUL</v>
      </c>
    </row>
    <row r="2671" ht="14.25" customHeight="1">
      <c r="G2671" s="174" t="s">
        <v>4297</v>
      </c>
      <c r="H2671" s="174" t="s">
        <v>1666</v>
      </c>
      <c r="I2671" s="174" t="str">
        <f t="shared" si="1"/>
        <v>SUDESTE</v>
      </c>
    </row>
    <row r="2672" ht="14.25" customHeight="1">
      <c r="G2672" s="174" t="s">
        <v>4298</v>
      </c>
      <c r="H2672" s="174" t="s">
        <v>1710</v>
      </c>
      <c r="I2672" s="174" t="str">
        <f t="shared" si="1"/>
        <v>CENTRO OESTE</v>
      </c>
    </row>
    <row r="2673" ht="14.25" customHeight="1">
      <c r="G2673" s="174" t="s">
        <v>4299</v>
      </c>
      <c r="H2673" s="174" t="s">
        <v>1685</v>
      </c>
      <c r="I2673" s="174" t="str">
        <f t="shared" si="1"/>
        <v>NORDESTE</v>
      </c>
    </row>
    <row r="2674" ht="14.25" customHeight="1">
      <c r="G2674" s="174" t="s">
        <v>4300</v>
      </c>
      <c r="H2674" s="174" t="s">
        <v>1666</v>
      </c>
      <c r="I2674" s="174" t="str">
        <f t="shared" si="1"/>
        <v>SUDESTE</v>
      </c>
    </row>
    <row r="2675" ht="14.25" customHeight="1">
      <c r="G2675" s="174" t="s">
        <v>4301</v>
      </c>
      <c r="H2675" s="174" t="s">
        <v>1747</v>
      </c>
      <c r="I2675" s="174" t="str">
        <f t="shared" si="1"/>
        <v>NORDESTE</v>
      </c>
    </row>
    <row r="2676" ht="14.25" customHeight="1">
      <c r="G2676" s="174" t="s">
        <v>4302</v>
      </c>
      <c r="H2676" s="174" t="s">
        <v>1706</v>
      </c>
      <c r="I2676" s="174" t="str">
        <f t="shared" si="1"/>
        <v>SUL</v>
      </c>
    </row>
    <row r="2677" ht="14.25" customHeight="1">
      <c r="G2677" s="174" t="s">
        <v>4303</v>
      </c>
      <c r="H2677" s="174" t="s">
        <v>1704</v>
      </c>
      <c r="I2677" s="174" t="str">
        <f t="shared" si="1"/>
        <v>NORDESTE</v>
      </c>
    </row>
    <row r="2678" ht="14.25" customHeight="1">
      <c r="G2678" s="174" t="s">
        <v>4304</v>
      </c>
      <c r="H2678" s="174" t="s">
        <v>1704</v>
      </c>
      <c r="I2678" s="174" t="str">
        <f t="shared" si="1"/>
        <v>NORDESTE</v>
      </c>
    </row>
    <row r="2679" ht="14.25" customHeight="1">
      <c r="G2679" s="174" t="s">
        <v>4305</v>
      </c>
      <c r="H2679" s="174" t="s">
        <v>1704</v>
      </c>
      <c r="I2679" s="174" t="str">
        <f t="shared" si="1"/>
        <v>NORDESTE</v>
      </c>
    </row>
    <row r="2680" ht="14.25" customHeight="1">
      <c r="G2680" s="174" t="s">
        <v>4306</v>
      </c>
      <c r="H2680" s="174" t="s">
        <v>1704</v>
      </c>
      <c r="I2680" s="174" t="str">
        <f t="shared" si="1"/>
        <v>NORDESTE</v>
      </c>
    </row>
    <row r="2681" ht="14.25" customHeight="1">
      <c r="G2681" s="174" t="s">
        <v>4307</v>
      </c>
      <c r="H2681" s="174" t="s">
        <v>1719</v>
      </c>
      <c r="I2681" s="174" t="str">
        <f t="shared" si="1"/>
        <v>NORDESTE</v>
      </c>
    </row>
    <row r="2682" ht="14.25" customHeight="1">
      <c r="G2682" s="174" t="s">
        <v>4308</v>
      </c>
      <c r="H2682" s="174" t="s">
        <v>1725</v>
      </c>
      <c r="I2682" s="174" t="str">
        <f t="shared" si="1"/>
        <v>NORDESTE</v>
      </c>
    </row>
    <row r="2683" ht="14.25" customHeight="1">
      <c r="G2683" s="174" t="s">
        <v>4309</v>
      </c>
      <c r="H2683" s="174" t="s">
        <v>1742</v>
      </c>
      <c r="I2683" s="174" t="str">
        <f t="shared" si="1"/>
        <v>SUL</v>
      </c>
    </row>
    <row r="2684" ht="14.25" customHeight="1">
      <c r="G2684" s="174" t="s">
        <v>4310</v>
      </c>
      <c r="H2684" s="174" t="s">
        <v>1733</v>
      </c>
      <c r="I2684" s="174" t="str">
        <f t="shared" si="1"/>
        <v>NORDESTE</v>
      </c>
    </row>
    <row r="2685" ht="14.25" customHeight="1">
      <c r="G2685" s="174" t="s">
        <v>4311</v>
      </c>
      <c r="H2685" s="174" t="s">
        <v>1664</v>
      </c>
      <c r="I2685" s="174" t="str">
        <f t="shared" si="1"/>
        <v>NORDESTE</v>
      </c>
    </row>
    <row r="2686" ht="14.25" customHeight="1">
      <c r="G2686" s="174" t="s">
        <v>4312</v>
      </c>
      <c r="H2686" s="174" t="s">
        <v>1721</v>
      </c>
      <c r="I2686" s="174" t="str">
        <f t="shared" si="1"/>
        <v>NORTE</v>
      </c>
    </row>
    <row r="2687" ht="14.25" customHeight="1">
      <c r="G2687" s="174" t="s">
        <v>4313</v>
      </c>
      <c r="H2687" s="174" t="s">
        <v>1666</v>
      </c>
      <c r="I2687" s="174" t="str">
        <f t="shared" si="1"/>
        <v>SUDESTE</v>
      </c>
    </row>
    <row r="2688" ht="14.25" customHeight="1">
      <c r="G2688" s="174" t="s">
        <v>4314</v>
      </c>
      <c r="H2688" s="174" t="s">
        <v>1719</v>
      </c>
      <c r="I2688" s="174" t="str">
        <f t="shared" si="1"/>
        <v>NORDESTE</v>
      </c>
    </row>
    <row r="2689" ht="14.25" customHeight="1">
      <c r="G2689" s="174" t="s">
        <v>4315</v>
      </c>
      <c r="H2689" s="174" t="s">
        <v>1733</v>
      </c>
      <c r="I2689" s="174" t="str">
        <f t="shared" si="1"/>
        <v>NORDESTE</v>
      </c>
    </row>
    <row r="2690" ht="14.25" customHeight="1">
      <c r="G2690" s="174" t="s">
        <v>4316</v>
      </c>
      <c r="H2690" s="174" t="s">
        <v>1725</v>
      </c>
      <c r="I2690" s="174" t="str">
        <f t="shared" si="1"/>
        <v>NORDESTE</v>
      </c>
    </row>
    <row r="2691" ht="14.25" customHeight="1">
      <c r="G2691" s="174" t="s">
        <v>4317</v>
      </c>
      <c r="H2691" s="174" t="s">
        <v>1733</v>
      </c>
      <c r="I2691" s="174" t="str">
        <f t="shared" si="1"/>
        <v>NORDESTE</v>
      </c>
    </row>
    <row r="2692" ht="14.25" customHeight="1">
      <c r="G2692" s="174" t="s">
        <v>4318</v>
      </c>
      <c r="H2692" s="174" t="s">
        <v>1725</v>
      </c>
      <c r="I2692" s="174" t="str">
        <f t="shared" si="1"/>
        <v>NORDESTE</v>
      </c>
    </row>
    <row r="2693" ht="14.25" customHeight="1">
      <c r="G2693" s="174" t="s">
        <v>4319</v>
      </c>
      <c r="H2693" s="174" t="s">
        <v>1717</v>
      </c>
      <c r="I2693" s="174" t="str">
        <f t="shared" si="1"/>
        <v>NORDESTE</v>
      </c>
    </row>
    <row r="2694" ht="14.25" customHeight="1">
      <c r="G2694" s="174" t="s">
        <v>4320</v>
      </c>
      <c r="H2694" s="174" t="s">
        <v>1717</v>
      </c>
      <c r="I2694" s="174" t="str">
        <f t="shared" si="1"/>
        <v>NORDESTE</v>
      </c>
    </row>
    <row r="2695" ht="14.25" customHeight="1">
      <c r="G2695" s="174" t="s">
        <v>4321</v>
      </c>
      <c r="H2695" s="174" t="s">
        <v>1704</v>
      </c>
      <c r="I2695" s="174" t="str">
        <f t="shared" si="1"/>
        <v>NORDESTE</v>
      </c>
    </row>
    <row r="2696" ht="14.25" customHeight="1">
      <c r="G2696" s="174" t="s">
        <v>4322</v>
      </c>
      <c r="H2696" s="174" t="s">
        <v>1717</v>
      </c>
      <c r="I2696" s="174" t="str">
        <f t="shared" si="1"/>
        <v>NORDESTE</v>
      </c>
    </row>
    <row r="2697" ht="14.25" customHeight="1">
      <c r="G2697" s="174" t="s">
        <v>4323</v>
      </c>
      <c r="H2697" s="174" t="s">
        <v>1725</v>
      </c>
      <c r="I2697" s="174" t="str">
        <f t="shared" si="1"/>
        <v>NORDESTE</v>
      </c>
    </row>
    <row r="2698" ht="14.25" customHeight="1">
      <c r="G2698" s="174" t="s">
        <v>4324</v>
      </c>
      <c r="H2698" s="174" t="s">
        <v>1725</v>
      </c>
      <c r="I2698" s="174" t="str">
        <f t="shared" si="1"/>
        <v>NORDESTE</v>
      </c>
    </row>
    <row r="2699" ht="14.25" customHeight="1">
      <c r="G2699" s="174" t="s">
        <v>4325</v>
      </c>
      <c r="H2699" s="174" t="s">
        <v>1721</v>
      </c>
      <c r="I2699" s="174" t="str">
        <f t="shared" si="1"/>
        <v>NORTE</v>
      </c>
    </row>
    <row r="2700" ht="14.25" customHeight="1">
      <c r="G2700" s="174" t="s">
        <v>4326</v>
      </c>
      <c r="H2700" s="174" t="s">
        <v>1717</v>
      </c>
      <c r="I2700" s="174" t="str">
        <f t="shared" si="1"/>
        <v>NORDESTE</v>
      </c>
    </row>
    <row r="2701" ht="14.25" customHeight="1">
      <c r="G2701" s="174" t="s">
        <v>4327</v>
      </c>
      <c r="H2701" s="174" t="s">
        <v>1666</v>
      </c>
      <c r="I2701" s="174" t="str">
        <f t="shared" si="1"/>
        <v>SUDESTE</v>
      </c>
    </row>
    <row r="2702" ht="14.25" customHeight="1">
      <c r="G2702" s="174" t="s">
        <v>4328</v>
      </c>
      <c r="H2702" s="174" t="s">
        <v>1742</v>
      </c>
      <c r="I2702" s="174" t="str">
        <f t="shared" si="1"/>
        <v>SUL</v>
      </c>
    </row>
    <row r="2703" ht="14.25" customHeight="1">
      <c r="G2703" s="174" t="s">
        <v>4329</v>
      </c>
      <c r="H2703" s="174" t="s">
        <v>1666</v>
      </c>
      <c r="I2703" s="174" t="str">
        <f t="shared" si="1"/>
        <v>SUDESTE</v>
      </c>
    </row>
    <row r="2704" ht="14.25" customHeight="1">
      <c r="G2704" s="174" t="s">
        <v>4330</v>
      </c>
      <c r="H2704" s="174" t="s">
        <v>1666</v>
      </c>
      <c r="I2704" s="174" t="str">
        <f t="shared" si="1"/>
        <v>SUDESTE</v>
      </c>
    </row>
    <row r="2705" ht="14.25" customHeight="1">
      <c r="G2705" s="174" t="s">
        <v>4331</v>
      </c>
      <c r="H2705" s="174" t="s">
        <v>1717</v>
      </c>
      <c r="I2705" s="174" t="str">
        <f t="shared" si="1"/>
        <v>NORDESTE</v>
      </c>
    </row>
    <row r="2706" ht="14.25" customHeight="1">
      <c r="G2706" s="174" t="s">
        <v>4331</v>
      </c>
      <c r="H2706" s="174" t="s">
        <v>1666</v>
      </c>
      <c r="I2706" s="174" t="str">
        <f t="shared" si="1"/>
        <v>SUDESTE</v>
      </c>
    </row>
    <row r="2707" ht="14.25" customHeight="1">
      <c r="G2707" s="174" t="s">
        <v>4332</v>
      </c>
      <c r="H2707" s="174" t="s">
        <v>1704</v>
      </c>
      <c r="I2707" s="174" t="str">
        <f t="shared" si="1"/>
        <v>NORDESTE</v>
      </c>
    </row>
    <row r="2708" ht="14.25" customHeight="1">
      <c r="G2708" s="174" t="s">
        <v>4333</v>
      </c>
      <c r="H2708" s="174" t="s">
        <v>1733</v>
      </c>
      <c r="I2708" s="174" t="str">
        <f t="shared" si="1"/>
        <v>NORDESTE</v>
      </c>
    </row>
    <row r="2709" ht="14.25" customHeight="1">
      <c r="G2709" s="174" t="s">
        <v>4334</v>
      </c>
      <c r="H2709" s="174" t="s">
        <v>1685</v>
      </c>
      <c r="I2709" s="174" t="str">
        <f t="shared" si="1"/>
        <v>NORDESTE</v>
      </c>
    </row>
    <row r="2710" ht="14.25" customHeight="1">
      <c r="G2710" s="174" t="s">
        <v>4335</v>
      </c>
      <c r="H2710" s="174" t="s">
        <v>1733</v>
      </c>
      <c r="I2710" s="174" t="str">
        <f t="shared" si="1"/>
        <v>NORDESTE</v>
      </c>
    </row>
    <row r="2711" ht="14.25" customHeight="1">
      <c r="G2711" s="174" t="s">
        <v>4336</v>
      </c>
      <c r="H2711" s="174" t="s">
        <v>1666</v>
      </c>
      <c r="I2711" s="174" t="str">
        <f t="shared" si="1"/>
        <v>SUDESTE</v>
      </c>
    </row>
    <row r="2712" ht="14.25" customHeight="1">
      <c r="G2712" s="174" t="s">
        <v>4336</v>
      </c>
      <c r="H2712" s="174" t="s">
        <v>1658</v>
      </c>
      <c r="I2712" s="174" t="str">
        <f t="shared" si="1"/>
        <v>CENTRO OESTE</v>
      </c>
    </row>
    <row r="2713" ht="14.25" customHeight="1">
      <c r="G2713" s="174" t="s">
        <v>4337</v>
      </c>
      <c r="H2713" s="174" t="s">
        <v>1719</v>
      </c>
      <c r="I2713" s="174" t="str">
        <f t="shared" si="1"/>
        <v>NORDESTE</v>
      </c>
    </row>
    <row r="2714" ht="14.25" customHeight="1">
      <c r="G2714" s="174" t="s">
        <v>4338</v>
      </c>
      <c r="H2714" s="174" t="s">
        <v>1742</v>
      </c>
      <c r="I2714" s="174" t="str">
        <f t="shared" si="1"/>
        <v>SUL</v>
      </c>
    </row>
    <row r="2715" ht="14.25" customHeight="1">
      <c r="G2715" s="174" t="s">
        <v>4339</v>
      </c>
      <c r="H2715" s="174" t="s">
        <v>1742</v>
      </c>
      <c r="I2715" s="174" t="str">
        <f t="shared" si="1"/>
        <v>SUL</v>
      </c>
    </row>
    <row r="2716" ht="14.25" customHeight="1">
      <c r="G2716" s="174" t="s">
        <v>4340</v>
      </c>
      <c r="H2716" s="174" t="s">
        <v>1750</v>
      </c>
      <c r="I2716" s="174" t="str">
        <f t="shared" si="1"/>
        <v>SUDESTE</v>
      </c>
    </row>
    <row r="2717" ht="14.25" customHeight="1">
      <c r="G2717" s="174" t="s">
        <v>4341</v>
      </c>
      <c r="H2717" s="174" t="s">
        <v>1725</v>
      </c>
      <c r="I2717" s="174" t="str">
        <f t="shared" si="1"/>
        <v>NORDESTE</v>
      </c>
    </row>
    <row r="2718" ht="14.25" customHeight="1">
      <c r="G2718" s="174" t="s">
        <v>4342</v>
      </c>
      <c r="H2718" s="174" t="s">
        <v>1706</v>
      </c>
      <c r="I2718" s="174" t="str">
        <f t="shared" si="1"/>
        <v>SUL</v>
      </c>
    </row>
    <row r="2719" ht="14.25" customHeight="1">
      <c r="G2719" s="174" t="s">
        <v>4343</v>
      </c>
      <c r="H2719" s="174" t="s">
        <v>1710</v>
      </c>
      <c r="I2719" s="174" t="str">
        <f t="shared" si="1"/>
        <v>CENTRO OESTE</v>
      </c>
    </row>
    <row r="2720" ht="14.25" customHeight="1">
      <c r="G2720" s="174" t="s">
        <v>4344</v>
      </c>
      <c r="H2720" s="174" t="s">
        <v>1685</v>
      </c>
      <c r="I2720" s="174" t="str">
        <f t="shared" si="1"/>
        <v>NORDESTE</v>
      </c>
    </row>
    <row r="2721" ht="14.25" customHeight="1">
      <c r="G2721" s="174" t="s">
        <v>4345</v>
      </c>
      <c r="H2721" s="174" t="s">
        <v>1730</v>
      </c>
      <c r="I2721" s="174" t="str">
        <f t="shared" si="1"/>
        <v>SUDESTE</v>
      </c>
    </row>
    <row r="2722" ht="14.25" customHeight="1">
      <c r="G2722" s="174" t="s">
        <v>4346</v>
      </c>
      <c r="H2722" s="174" t="s">
        <v>1721</v>
      </c>
      <c r="I2722" s="174" t="str">
        <f t="shared" si="1"/>
        <v>NORTE</v>
      </c>
    </row>
    <row r="2723" ht="14.25" customHeight="1">
      <c r="G2723" s="174" t="s">
        <v>4346</v>
      </c>
      <c r="H2723" s="174" t="s">
        <v>1742</v>
      </c>
      <c r="I2723" s="174" t="str">
        <f t="shared" si="1"/>
        <v>SUL</v>
      </c>
    </row>
    <row r="2724" ht="14.25" customHeight="1">
      <c r="G2724" s="174" t="s">
        <v>4347</v>
      </c>
      <c r="H2724" s="174" t="s">
        <v>1742</v>
      </c>
      <c r="I2724" s="174" t="str">
        <f t="shared" si="1"/>
        <v>SUL</v>
      </c>
    </row>
    <row r="2725" ht="14.25" customHeight="1">
      <c r="G2725" s="174" t="s">
        <v>4348</v>
      </c>
      <c r="H2725" s="174" t="s">
        <v>1706</v>
      </c>
      <c r="I2725" s="174" t="str">
        <f t="shared" si="1"/>
        <v>SUL</v>
      </c>
    </row>
    <row r="2726" ht="14.25" customHeight="1">
      <c r="G2726" s="174" t="s">
        <v>4349</v>
      </c>
      <c r="H2726" s="174" t="s">
        <v>1704</v>
      </c>
      <c r="I2726" s="174" t="str">
        <f t="shared" si="1"/>
        <v>NORDESTE</v>
      </c>
    </row>
    <row r="2727" ht="14.25" customHeight="1">
      <c r="G2727" s="174" t="s">
        <v>4350</v>
      </c>
      <c r="H2727" s="174" t="s">
        <v>1685</v>
      </c>
      <c r="I2727" s="174" t="str">
        <f t="shared" si="1"/>
        <v>NORDESTE</v>
      </c>
    </row>
    <row r="2728" ht="14.25" customHeight="1">
      <c r="G2728" s="174" t="s">
        <v>4351</v>
      </c>
      <c r="H2728" s="174" t="s">
        <v>1685</v>
      </c>
      <c r="I2728" s="174" t="str">
        <f t="shared" si="1"/>
        <v>NORDESTE</v>
      </c>
    </row>
    <row r="2729" ht="14.25" customHeight="1">
      <c r="G2729" s="174" t="s">
        <v>4352</v>
      </c>
      <c r="H2729" s="174" t="s">
        <v>1717</v>
      </c>
      <c r="I2729" s="174" t="str">
        <f t="shared" si="1"/>
        <v>NORDESTE</v>
      </c>
    </row>
    <row r="2730" ht="14.25" customHeight="1">
      <c r="G2730" s="174" t="s">
        <v>4353</v>
      </c>
      <c r="H2730" s="174" t="s">
        <v>1685</v>
      </c>
      <c r="I2730" s="174" t="str">
        <f t="shared" si="1"/>
        <v>NORDESTE</v>
      </c>
    </row>
    <row r="2731" ht="14.25" customHeight="1">
      <c r="G2731" s="174" t="s">
        <v>4354</v>
      </c>
      <c r="H2731" s="174" t="s">
        <v>1733</v>
      </c>
      <c r="I2731" s="174" t="str">
        <f t="shared" si="1"/>
        <v>NORDESTE</v>
      </c>
    </row>
    <row r="2732" ht="14.25" customHeight="1">
      <c r="G2732" s="174" t="s">
        <v>4355</v>
      </c>
      <c r="H2732" s="174" t="s">
        <v>1733</v>
      </c>
      <c r="I2732" s="174" t="str">
        <f t="shared" si="1"/>
        <v>NORDESTE</v>
      </c>
    </row>
    <row r="2733" ht="14.25" customHeight="1">
      <c r="G2733" s="174" t="s">
        <v>4356</v>
      </c>
      <c r="H2733" s="174" t="s">
        <v>1666</v>
      </c>
      <c r="I2733" s="174" t="str">
        <f t="shared" si="1"/>
        <v>SUDESTE</v>
      </c>
    </row>
    <row r="2734" ht="14.25" customHeight="1">
      <c r="G2734" s="174" t="s">
        <v>4357</v>
      </c>
      <c r="H2734" s="174" t="s">
        <v>1685</v>
      </c>
      <c r="I2734" s="174" t="str">
        <f t="shared" si="1"/>
        <v>NORDESTE</v>
      </c>
    </row>
    <row r="2735" ht="14.25" customHeight="1">
      <c r="G2735" s="174" t="s">
        <v>4358</v>
      </c>
      <c r="H2735" s="174" t="s">
        <v>1666</v>
      </c>
      <c r="I2735" s="174" t="str">
        <f t="shared" si="1"/>
        <v>SUDESTE</v>
      </c>
    </row>
    <row r="2736" ht="14.25" customHeight="1">
      <c r="G2736" s="174" t="s">
        <v>4359</v>
      </c>
      <c r="H2736" s="174" t="s">
        <v>1713</v>
      </c>
      <c r="I2736" s="174" t="str">
        <f t="shared" si="1"/>
        <v>CENTRO OESTE</v>
      </c>
    </row>
    <row r="2737" ht="14.25" customHeight="1">
      <c r="G2737" s="174" t="s">
        <v>4360</v>
      </c>
      <c r="H2737" s="174" t="s">
        <v>1666</v>
      </c>
      <c r="I2737" s="174" t="str">
        <f t="shared" si="1"/>
        <v>SUDESTE</v>
      </c>
    </row>
    <row r="2738" ht="14.25" customHeight="1">
      <c r="G2738" s="174" t="s">
        <v>4361</v>
      </c>
      <c r="H2738" s="174" t="s">
        <v>1725</v>
      </c>
      <c r="I2738" s="174" t="str">
        <f t="shared" si="1"/>
        <v>NORDESTE</v>
      </c>
    </row>
    <row r="2739" ht="14.25" customHeight="1">
      <c r="G2739" s="174" t="s">
        <v>4362</v>
      </c>
      <c r="H2739" s="174" t="s">
        <v>1702</v>
      </c>
      <c r="I2739" s="174" t="str">
        <f t="shared" si="1"/>
        <v>SUL</v>
      </c>
    </row>
    <row r="2740" ht="14.25" customHeight="1">
      <c r="G2740" s="174" t="s">
        <v>4363</v>
      </c>
      <c r="H2740" s="174" t="s">
        <v>1685</v>
      </c>
      <c r="I2740" s="174" t="str">
        <f t="shared" si="1"/>
        <v>NORDESTE</v>
      </c>
    </row>
    <row r="2741" ht="14.25" customHeight="1">
      <c r="G2741" s="174" t="s">
        <v>4364</v>
      </c>
      <c r="H2741" s="174" t="s">
        <v>1698</v>
      </c>
      <c r="I2741" s="174" t="str">
        <f t="shared" si="1"/>
        <v>SUDESTE</v>
      </c>
    </row>
    <row r="2742" ht="14.25" customHeight="1">
      <c r="G2742" s="174" t="s">
        <v>4365</v>
      </c>
      <c r="H2742" s="174" t="s">
        <v>1666</v>
      </c>
      <c r="I2742" s="174" t="str">
        <f t="shared" si="1"/>
        <v>SUDESTE</v>
      </c>
    </row>
    <row r="2743" ht="14.25" customHeight="1">
      <c r="G2743" s="174" t="s">
        <v>4365</v>
      </c>
      <c r="H2743" s="174" t="s">
        <v>1702</v>
      </c>
      <c r="I2743" s="174" t="str">
        <f t="shared" si="1"/>
        <v>SUL</v>
      </c>
    </row>
    <row r="2744" ht="14.25" customHeight="1">
      <c r="G2744" s="174" t="s">
        <v>4366</v>
      </c>
      <c r="H2744" s="174" t="s">
        <v>1679</v>
      </c>
      <c r="I2744" s="174" t="str">
        <f t="shared" si="1"/>
        <v>NORTE</v>
      </c>
    </row>
    <row r="2745" ht="14.25" customHeight="1">
      <c r="G2745" s="174" t="s">
        <v>4367</v>
      </c>
      <c r="H2745" s="174" t="s">
        <v>1750</v>
      </c>
      <c r="I2745" s="174" t="str">
        <f t="shared" si="1"/>
        <v>SUDESTE</v>
      </c>
    </row>
    <row r="2746" ht="14.25" customHeight="1">
      <c r="G2746" s="174" t="s">
        <v>4368</v>
      </c>
      <c r="H2746" s="174" t="s">
        <v>1747</v>
      </c>
      <c r="I2746" s="174" t="str">
        <f t="shared" si="1"/>
        <v>NORDESTE</v>
      </c>
    </row>
    <row r="2747" ht="14.25" customHeight="1">
      <c r="G2747" s="174" t="s">
        <v>4369</v>
      </c>
      <c r="H2747" s="174" t="s">
        <v>1702</v>
      </c>
      <c r="I2747" s="174" t="str">
        <f t="shared" si="1"/>
        <v>SUL</v>
      </c>
    </row>
    <row r="2748" ht="14.25" customHeight="1">
      <c r="G2748" s="174" t="s">
        <v>4370</v>
      </c>
      <c r="H2748" s="174" t="s">
        <v>1666</v>
      </c>
      <c r="I2748" s="174" t="str">
        <f t="shared" si="1"/>
        <v>SUDESTE</v>
      </c>
    </row>
    <row r="2749" ht="14.25" customHeight="1">
      <c r="G2749" s="174" t="s">
        <v>4371</v>
      </c>
      <c r="H2749" s="174" t="s">
        <v>1719</v>
      </c>
      <c r="I2749" s="174" t="str">
        <f t="shared" si="1"/>
        <v>NORDESTE</v>
      </c>
    </row>
    <row r="2750" ht="14.25" customHeight="1">
      <c r="G2750" s="174" t="s">
        <v>4372</v>
      </c>
      <c r="H2750" s="174" t="s">
        <v>1706</v>
      </c>
      <c r="I2750" s="174" t="str">
        <f t="shared" si="1"/>
        <v>SUL</v>
      </c>
    </row>
    <row r="2751" ht="14.25" customHeight="1">
      <c r="G2751" s="174" t="s">
        <v>4373</v>
      </c>
      <c r="H2751" s="174" t="s">
        <v>1685</v>
      </c>
      <c r="I2751" s="174" t="str">
        <f t="shared" si="1"/>
        <v>NORDESTE</v>
      </c>
    </row>
    <row r="2752" ht="14.25" customHeight="1">
      <c r="G2752" s="174" t="s">
        <v>4374</v>
      </c>
      <c r="H2752" s="174" t="s">
        <v>1706</v>
      </c>
      <c r="I2752" s="174" t="str">
        <f t="shared" si="1"/>
        <v>SUL</v>
      </c>
    </row>
    <row r="2753" ht="14.25" customHeight="1">
      <c r="G2753" s="174" t="s">
        <v>4375</v>
      </c>
      <c r="H2753" s="174" t="s">
        <v>1721</v>
      </c>
      <c r="I2753" s="174" t="str">
        <f t="shared" si="1"/>
        <v>NORTE</v>
      </c>
    </row>
    <row r="2754" ht="14.25" customHeight="1">
      <c r="G2754" s="174" t="s">
        <v>4376</v>
      </c>
      <c r="H2754" s="174" t="s">
        <v>1750</v>
      </c>
      <c r="I2754" s="174" t="str">
        <f t="shared" si="1"/>
        <v>SUDESTE</v>
      </c>
    </row>
    <row r="2755" ht="14.25" customHeight="1">
      <c r="G2755" s="174" t="s">
        <v>4377</v>
      </c>
      <c r="H2755" s="174" t="s">
        <v>1666</v>
      </c>
      <c r="I2755" s="174" t="str">
        <f t="shared" si="1"/>
        <v>SUDESTE</v>
      </c>
    </row>
    <row r="2756" ht="14.25" customHeight="1">
      <c r="G2756" s="174" t="s">
        <v>4378</v>
      </c>
      <c r="H2756" s="174" t="s">
        <v>1690</v>
      </c>
      <c r="I2756" s="174" t="str">
        <f t="shared" si="1"/>
        <v>NORDESTE</v>
      </c>
    </row>
    <row r="2757" ht="14.25" customHeight="1">
      <c r="G2757" s="174" t="s">
        <v>4379</v>
      </c>
      <c r="H2757" s="174" t="s">
        <v>1742</v>
      </c>
      <c r="I2757" s="174" t="str">
        <f t="shared" si="1"/>
        <v>SUL</v>
      </c>
    </row>
    <row r="2758" ht="14.25" customHeight="1">
      <c r="G2758" s="174" t="s">
        <v>4380</v>
      </c>
      <c r="H2758" s="174" t="s">
        <v>1750</v>
      </c>
      <c r="I2758" s="174" t="str">
        <f t="shared" si="1"/>
        <v>SUDESTE</v>
      </c>
    </row>
    <row r="2759" ht="14.25" customHeight="1">
      <c r="G2759" s="174" t="s">
        <v>4381</v>
      </c>
      <c r="H2759" s="174" t="s">
        <v>1666</v>
      </c>
      <c r="I2759" s="174" t="str">
        <f t="shared" si="1"/>
        <v>SUDESTE</v>
      </c>
    </row>
    <row r="2760" ht="14.25" customHeight="1">
      <c r="G2760" s="174" t="s">
        <v>4382</v>
      </c>
      <c r="H2760" s="174" t="s">
        <v>1706</v>
      </c>
      <c r="I2760" s="174" t="str">
        <f t="shared" si="1"/>
        <v>SUL</v>
      </c>
    </row>
    <row r="2761" ht="14.25" customHeight="1">
      <c r="G2761" s="174" t="s">
        <v>4383</v>
      </c>
      <c r="H2761" s="174" t="s">
        <v>1750</v>
      </c>
      <c r="I2761" s="174" t="str">
        <f t="shared" si="1"/>
        <v>SUDESTE</v>
      </c>
    </row>
    <row r="2762" ht="14.25" customHeight="1">
      <c r="G2762" s="174" t="s">
        <v>4384</v>
      </c>
      <c r="H2762" s="174" t="s">
        <v>1666</v>
      </c>
      <c r="I2762" s="174" t="str">
        <f t="shared" si="1"/>
        <v>SUDESTE</v>
      </c>
    </row>
    <row r="2763" ht="14.25" customHeight="1">
      <c r="G2763" s="174" t="s">
        <v>4385</v>
      </c>
      <c r="H2763" s="174" t="s">
        <v>1685</v>
      </c>
      <c r="I2763" s="174" t="str">
        <f t="shared" si="1"/>
        <v>NORDESTE</v>
      </c>
    </row>
    <row r="2764" ht="14.25" customHeight="1">
      <c r="G2764" s="174" t="s">
        <v>4386</v>
      </c>
      <c r="H2764" s="174" t="s">
        <v>1750</v>
      </c>
      <c r="I2764" s="174" t="str">
        <f t="shared" si="1"/>
        <v>SUDESTE</v>
      </c>
    </row>
    <row r="2765" ht="14.25" customHeight="1">
      <c r="G2765" s="174" t="s">
        <v>4387</v>
      </c>
      <c r="H2765" s="174" t="s">
        <v>1706</v>
      </c>
      <c r="I2765" s="174" t="str">
        <f t="shared" si="1"/>
        <v>SUL</v>
      </c>
    </row>
    <row r="2766" ht="14.25" customHeight="1">
      <c r="G2766" s="174" t="s">
        <v>4388</v>
      </c>
      <c r="H2766" s="174" t="s">
        <v>1666</v>
      </c>
      <c r="I2766" s="174" t="str">
        <f t="shared" si="1"/>
        <v>SUDESTE</v>
      </c>
    </row>
    <row r="2767" ht="14.25" customHeight="1">
      <c r="G2767" s="174" t="s">
        <v>4389</v>
      </c>
      <c r="H2767" s="174" t="s">
        <v>1658</v>
      </c>
      <c r="I2767" s="174" t="str">
        <f t="shared" si="1"/>
        <v>CENTRO OESTE</v>
      </c>
    </row>
    <row r="2768" ht="14.25" customHeight="1">
      <c r="G2768" s="174" t="s">
        <v>4390</v>
      </c>
      <c r="H2768" s="174" t="s">
        <v>1702</v>
      </c>
      <c r="I2768" s="174" t="str">
        <f t="shared" si="1"/>
        <v>SUL</v>
      </c>
    </row>
    <row r="2769" ht="14.25" customHeight="1">
      <c r="G2769" s="174" t="s">
        <v>4391</v>
      </c>
      <c r="H2769" s="174" t="s">
        <v>1742</v>
      </c>
      <c r="I2769" s="174" t="str">
        <f t="shared" si="1"/>
        <v>SUL</v>
      </c>
    </row>
    <row r="2770" ht="14.25" customHeight="1">
      <c r="G2770" s="174" t="s">
        <v>4392</v>
      </c>
      <c r="H2770" s="174" t="s">
        <v>1666</v>
      </c>
      <c r="I2770" s="174" t="str">
        <f t="shared" si="1"/>
        <v>SUDESTE</v>
      </c>
    </row>
    <row r="2771" ht="14.25" customHeight="1">
      <c r="G2771" s="174" t="s">
        <v>4393</v>
      </c>
      <c r="H2771" s="174" t="s">
        <v>1685</v>
      </c>
      <c r="I2771" s="174" t="str">
        <f t="shared" si="1"/>
        <v>NORDESTE</v>
      </c>
    </row>
    <row r="2772" ht="14.25" customHeight="1">
      <c r="G2772" s="174" t="s">
        <v>4394</v>
      </c>
      <c r="H2772" s="174" t="s">
        <v>1702</v>
      </c>
      <c r="I2772" s="174" t="str">
        <f t="shared" si="1"/>
        <v>SUL</v>
      </c>
    </row>
    <row r="2773" ht="14.25" customHeight="1">
      <c r="G2773" s="174" t="s">
        <v>4395</v>
      </c>
      <c r="H2773" s="174" t="s">
        <v>1704</v>
      </c>
      <c r="I2773" s="174" t="str">
        <f t="shared" si="1"/>
        <v>NORDESTE</v>
      </c>
    </row>
    <row r="2774" ht="14.25" customHeight="1">
      <c r="G2774" s="174" t="s">
        <v>4396</v>
      </c>
      <c r="H2774" s="174" t="s">
        <v>1666</v>
      </c>
      <c r="I2774" s="174" t="str">
        <f t="shared" si="1"/>
        <v>SUDESTE</v>
      </c>
    </row>
    <row r="2775" ht="14.25" customHeight="1">
      <c r="G2775" s="174" t="s">
        <v>4397</v>
      </c>
      <c r="H2775" s="174" t="s">
        <v>1750</v>
      </c>
      <c r="I2775" s="174" t="str">
        <f t="shared" si="1"/>
        <v>SUDESTE</v>
      </c>
    </row>
    <row r="2776" ht="14.25" customHeight="1">
      <c r="G2776" s="174" t="s">
        <v>4398</v>
      </c>
      <c r="H2776" s="174" t="s">
        <v>1666</v>
      </c>
      <c r="I2776" s="174" t="str">
        <f t="shared" si="1"/>
        <v>SUDESTE</v>
      </c>
    </row>
    <row r="2777" ht="14.25" customHeight="1">
      <c r="G2777" s="174" t="s">
        <v>4399</v>
      </c>
      <c r="H2777" s="174" t="s">
        <v>1717</v>
      </c>
      <c r="I2777" s="174" t="str">
        <f t="shared" si="1"/>
        <v>NORDESTE</v>
      </c>
    </row>
    <row r="2778" ht="14.25" customHeight="1">
      <c r="G2778" s="174" t="s">
        <v>4400</v>
      </c>
      <c r="H2778" s="174" t="s">
        <v>1664</v>
      </c>
      <c r="I2778" s="174" t="str">
        <f t="shared" si="1"/>
        <v>NORDESTE</v>
      </c>
    </row>
    <row r="2779" ht="14.25" customHeight="1">
      <c r="G2779" s="174" t="s">
        <v>4401</v>
      </c>
      <c r="H2779" s="174" t="s">
        <v>1687</v>
      </c>
      <c r="I2779" s="174" t="str">
        <f t="shared" si="1"/>
        <v>NORTE</v>
      </c>
    </row>
    <row r="2780" ht="14.25" customHeight="1">
      <c r="G2780" s="174" t="s">
        <v>4402</v>
      </c>
      <c r="H2780" s="174" t="s">
        <v>1690</v>
      </c>
      <c r="I2780" s="174" t="str">
        <f t="shared" si="1"/>
        <v>NORDESTE</v>
      </c>
    </row>
    <row r="2781" ht="14.25" customHeight="1">
      <c r="G2781" s="174" t="s">
        <v>4403</v>
      </c>
      <c r="H2781" s="174" t="s">
        <v>1702</v>
      </c>
      <c r="I2781" s="174" t="str">
        <f t="shared" si="1"/>
        <v>SUL</v>
      </c>
    </row>
    <row r="2782" ht="14.25" customHeight="1">
      <c r="G2782" s="174" t="s">
        <v>4404</v>
      </c>
      <c r="H2782" s="174" t="s">
        <v>1750</v>
      </c>
      <c r="I2782" s="174" t="str">
        <f t="shared" si="1"/>
        <v>SUDESTE</v>
      </c>
    </row>
    <row r="2783" ht="14.25" customHeight="1">
      <c r="G2783" s="174" t="s">
        <v>4405</v>
      </c>
      <c r="H2783" s="174" t="s">
        <v>1706</v>
      </c>
      <c r="I2783" s="174" t="str">
        <f t="shared" si="1"/>
        <v>SUL</v>
      </c>
    </row>
    <row r="2784" ht="14.25" customHeight="1">
      <c r="G2784" s="174" t="s">
        <v>4406</v>
      </c>
      <c r="H2784" s="174" t="s">
        <v>1742</v>
      </c>
      <c r="I2784" s="174" t="str">
        <f t="shared" si="1"/>
        <v>SUL</v>
      </c>
    </row>
    <row r="2785" ht="14.25" customHeight="1">
      <c r="G2785" s="174" t="s">
        <v>4407</v>
      </c>
      <c r="H2785" s="174" t="s">
        <v>1742</v>
      </c>
      <c r="I2785" s="174" t="str">
        <f t="shared" si="1"/>
        <v>SUL</v>
      </c>
    </row>
    <row r="2786" ht="14.25" customHeight="1">
      <c r="G2786" s="174" t="s">
        <v>4408</v>
      </c>
      <c r="H2786" s="174" t="s">
        <v>1698</v>
      </c>
      <c r="I2786" s="174" t="str">
        <f t="shared" si="1"/>
        <v>SUDESTE</v>
      </c>
    </row>
    <row r="2787" ht="14.25" customHeight="1">
      <c r="G2787" s="174" t="s">
        <v>4409</v>
      </c>
      <c r="H2787" s="174" t="s">
        <v>1750</v>
      </c>
      <c r="I2787" s="174" t="str">
        <f t="shared" si="1"/>
        <v>SUDESTE</v>
      </c>
    </row>
    <row r="2788" ht="14.25" customHeight="1">
      <c r="G2788" s="174" t="s">
        <v>4410</v>
      </c>
      <c r="H2788" s="174" t="s">
        <v>1719</v>
      </c>
      <c r="I2788" s="174" t="str">
        <f t="shared" si="1"/>
        <v>NORDESTE</v>
      </c>
    </row>
    <row r="2789" ht="14.25" customHeight="1">
      <c r="G2789" s="174" t="s">
        <v>4411</v>
      </c>
      <c r="H2789" s="174" t="s">
        <v>1685</v>
      </c>
      <c r="I2789" s="174" t="str">
        <f t="shared" si="1"/>
        <v>NORDESTE</v>
      </c>
    </row>
    <row r="2790" ht="14.25" customHeight="1">
      <c r="G2790" s="174" t="s">
        <v>4412</v>
      </c>
      <c r="H2790" s="174" t="s">
        <v>1721</v>
      </c>
      <c r="I2790" s="174" t="str">
        <f t="shared" si="1"/>
        <v>NORTE</v>
      </c>
    </row>
    <row r="2791" ht="14.25" customHeight="1">
      <c r="G2791" s="174" t="s">
        <v>4413</v>
      </c>
      <c r="H2791" s="174" t="s">
        <v>1702</v>
      </c>
      <c r="I2791" s="174" t="str">
        <f t="shared" si="1"/>
        <v>SUL</v>
      </c>
    </row>
    <row r="2792" ht="14.25" customHeight="1">
      <c r="G2792" s="174" t="s">
        <v>4414</v>
      </c>
      <c r="H2792" s="174" t="s">
        <v>1702</v>
      </c>
      <c r="I2792" s="174" t="str">
        <f t="shared" si="1"/>
        <v>SUL</v>
      </c>
    </row>
    <row r="2793" ht="14.25" customHeight="1">
      <c r="G2793" s="174" t="s">
        <v>4415</v>
      </c>
      <c r="H2793" s="174" t="s">
        <v>1719</v>
      </c>
      <c r="I2793" s="174" t="str">
        <f t="shared" si="1"/>
        <v>NORDESTE</v>
      </c>
    </row>
    <row r="2794" ht="14.25" customHeight="1">
      <c r="G2794" s="174" t="s">
        <v>4416</v>
      </c>
      <c r="H2794" s="174" t="s">
        <v>1702</v>
      </c>
      <c r="I2794" s="174" t="str">
        <f t="shared" si="1"/>
        <v>SUL</v>
      </c>
    </row>
    <row r="2795" ht="14.25" customHeight="1">
      <c r="G2795" s="174" t="s">
        <v>4417</v>
      </c>
      <c r="H2795" s="174" t="s">
        <v>1666</v>
      </c>
      <c r="I2795" s="174" t="str">
        <f t="shared" si="1"/>
        <v>SUDESTE</v>
      </c>
    </row>
    <row r="2796" ht="14.25" customHeight="1">
      <c r="G2796" s="174" t="s">
        <v>4418</v>
      </c>
      <c r="H2796" s="174" t="s">
        <v>1706</v>
      </c>
      <c r="I2796" s="174" t="str">
        <f t="shared" si="1"/>
        <v>SUL</v>
      </c>
    </row>
    <row r="2797" ht="14.25" customHeight="1">
      <c r="G2797" s="174" t="s">
        <v>4419</v>
      </c>
      <c r="H2797" s="174" t="s">
        <v>1750</v>
      </c>
      <c r="I2797" s="174" t="str">
        <f t="shared" si="1"/>
        <v>SUDESTE</v>
      </c>
    </row>
    <row r="2798" ht="14.25" customHeight="1">
      <c r="G2798" s="174" t="s">
        <v>4420</v>
      </c>
      <c r="H2798" s="174" t="s">
        <v>1704</v>
      </c>
      <c r="I2798" s="174" t="str">
        <f t="shared" si="1"/>
        <v>NORDESTE</v>
      </c>
    </row>
    <row r="2799" ht="14.25" customHeight="1">
      <c r="G2799" s="174" t="s">
        <v>4421</v>
      </c>
      <c r="H2799" s="174" t="s">
        <v>1750</v>
      </c>
      <c r="I2799" s="174" t="str">
        <f t="shared" si="1"/>
        <v>SUDESTE</v>
      </c>
    </row>
    <row r="2800" ht="14.25" customHeight="1">
      <c r="G2800" s="174" t="s">
        <v>4422</v>
      </c>
      <c r="H2800" s="174" t="s">
        <v>1750</v>
      </c>
      <c r="I2800" s="174" t="str">
        <f t="shared" si="1"/>
        <v>SUDESTE</v>
      </c>
    </row>
    <row r="2801" ht="14.25" customHeight="1">
      <c r="G2801" s="174" t="s">
        <v>4423</v>
      </c>
      <c r="H2801" s="174" t="s">
        <v>1713</v>
      </c>
      <c r="I2801" s="174" t="str">
        <f t="shared" si="1"/>
        <v>CENTRO OESTE</v>
      </c>
    </row>
    <row r="2802" ht="14.25" customHeight="1">
      <c r="G2802" s="174" t="s">
        <v>4424</v>
      </c>
      <c r="H2802" s="174" t="s">
        <v>1750</v>
      </c>
      <c r="I2802" s="174" t="str">
        <f t="shared" si="1"/>
        <v>SUDESTE</v>
      </c>
    </row>
    <row r="2803" ht="14.25" customHeight="1">
      <c r="G2803" s="174" t="s">
        <v>4425</v>
      </c>
      <c r="H2803" s="174" t="s">
        <v>1719</v>
      </c>
      <c r="I2803" s="174" t="str">
        <f t="shared" si="1"/>
        <v>NORDESTE</v>
      </c>
    </row>
    <row r="2804" ht="14.25" customHeight="1">
      <c r="G2804" s="174" t="s">
        <v>4426</v>
      </c>
      <c r="H2804" s="174" t="s">
        <v>1750</v>
      </c>
      <c r="I2804" s="174" t="str">
        <f t="shared" si="1"/>
        <v>SUDESTE</v>
      </c>
    </row>
    <row r="2805" ht="14.25" customHeight="1">
      <c r="G2805" s="174" t="s">
        <v>4427</v>
      </c>
      <c r="H2805" s="174" t="s">
        <v>1713</v>
      </c>
      <c r="I2805" s="174" t="str">
        <f t="shared" si="1"/>
        <v>CENTRO OESTE</v>
      </c>
    </row>
    <row r="2806" ht="14.25" customHeight="1">
      <c r="G2806" s="174" t="s">
        <v>4428</v>
      </c>
      <c r="H2806" s="174" t="s">
        <v>1733</v>
      </c>
      <c r="I2806" s="174" t="str">
        <f t="shared" si="1"/>
        <v>NORDESTE</v>
      </c>
    </row>
    <row r="2807" ht="14.25" customHeight="1">
      <c r="G2807" s="174" t="s">
        <v>4429</v>
      </c>
      <c r="H2807" s="174" t="s">
        <v>1750</v>
      </c>
      <c r="I2807" s="174" t="str">
        <f t="shared" si="1"/>
        <v>SUDESTE</v>
      </c>
    </row>
    <row r="2808" ht="14.25" customHeight="1">
      <c r="G2808" s="174" t="s">
        <v>4430</v>
      </c>
      <c r="H2808" s="174" t="s">
        <v>1725</v>
      </c>
      <c r="I2808" s="174" t="str">
        <f t="shared" si="1"/>
        <v>NORDESTE</v>
      </c>
    </row>
    <row r="2809" ht="14.25" customHeight="1">
      <c r="G2809" s="174" t="s">
        <v>4431</v>
      </c>
      <c r="H2809" s="174" t="s">
        <v>1704</v>
      </c>
      <c r="I2809" s="174" t="str">
        <f t="shared" si="1"/>
        <v>NORDESTE</v>
      </c>
    </row>
    <row r="2810" ht="14.25" customHeight="1">
      <c r="G2810" s="174" t="s">
        <v>4432</v>
      </c>
      <c r="H2810" s="174" t="s">
        <v>1685</v>
      </c>
      <c r="I2810" s="174" t="str">
        <f t="shared" si="1"/>
        <v>NORDESTE</v>
      </c>
    </row>
    <row r="2811" ht="14.25" customHeight="1">
      <c r="G2811" s="174" t="s">
        <v>4433</v>
      </c>
      <c r="H2811" s="174" t="s">
        <v>1733</v>
      </c>
      <c r="I2811" s="174" t="str">
        <f t="shared" si="1"/>
        <v>NORDESTE</v>
      </c>
    </row>
    <row r="2812" ht="14.25" customHeight="1">
      <c r="G2812" s="174" t="s">
        <v>4434</v>
      </c>
      <c r="H2812" s="174" t="s">
        <v>1666</v>
      </c>
      <c r="I2812" s="174" t="str">
        <f t="shared" si="1"/>
        <v>SUDESTE</v>
      </c>
    </row>
    <row r="2813" ht="14.25" customHeight="1">
      <c r="G2813" s="174" t="s">
        <v>4435</v>
      </c>
      <c r="H2813" s="174" t="s">
        <v>1666</v>
      </c>
      <c r="I2813" s="174" t="str">
        <f t="shared" si="1"/>
        <v>SUDESTE</v>
      </c>
    </row>
    <row r="2814" ht="14.25" customHeight="1">
      <c r="G2814" s="174" t="s">
        <v>4436</v>
      </c>
      <c r="H2814" s="174" t="s">
        <v>1706</v>
      </c>
      <c r="I2814" s="174" t="str">
        <f t="shared" si="1"/>
        <v>SUL</v>
      </c>
    </row>
    <row r="2815" ht="14.25" customHeight="1">
      <c r="G2815" s="174" t="s">
        <v>4437</v>
      </c>
      <c r="H2815" s="174" t="s">
        <v>1702</v>
      </c>
      <c r="I2815" s="174" t="str">
        <f t="shared" si="1"/>
        <v>SUL</v>
      </c>
    </row>
    <row r="2816" ht="14.25" customHeight="1">
      <c r="G2816" s="174" t="s">
        <v>4438</v>
      </c>
      <c r="H2816" s="174" t="s">
        <v>1750</v>
      </c>
      <c r="I2816" s="174" t="str">
        <f t="shared" si="1"/>
        <v>SUDESTE</v>
      </c>
    </row>
    <row r="2817" ht="14.25" customHeight="1">
      <c r="G2817" s="174" t="s">
        <v>4439</v>
      </c>
      <c r="H2817" s="174" t="s">
        <v>1666</v>
      </c>
      <c r="I2817" s="174" t="str">
        <f t="shared" si="1"/>
        <v>SUDESTE</v>
      </c>
    </row>
    <row r="2818" ht="14.25" customHeight="1">
      <c r="G2818" s="174" t="s">
        <v>4440</v>
      </c>
      <c r="H2818" s="174" t="s">
        <v>1702</v>
      </c>
      <c r="I2818" s="174" t="str">
        <f t="shared" si="1"/>
        <v>SUL</v>
      </c>
    </row>
    <row r="2819" ht="14.25" customHeight="1">
      <c r="G2819" s="174" t="s">
        <v>4441</v>
      </c>
      <c r="H2819" s="174" t="s">
        <v>1750</v>
      </c>
      <c r="I2819" s="174" t="str">
        <f t="shared" si="1"/>
        <v>SUDESTE</v>
      </c>
    </row>
    <row r="2820" ht="14.25" customHeight="1">
      <c r="G2820" s="174" t="s">
        <v>4442</v>
      </c>
      <c r="H2820" s="174" t="s">
        <v>1702</v>
      </c>
      <c r="I2820" s="174" t="str">
        <f t="shared" si="1"/>
        <v>SUL</v>
      </c>
    </row>
    <row r="2821" ht="14.25" customHeight="1">
      <c r="G2821" s="174" t="s">
        <v>4443</v>
      </c>
      <c r="H2821" s="174" t="s">
        <v>1750</v>
      </c>
      <c r="I2821" s="174" t="str">
        <f t="shared" si="1"/>
        <v>SUDESTE</v>
      </c>
    </row>
    <row r="2822" ht="14.25" customHeight="1">
      <c r="G2822" s="174" t="s">
        <v>4444</v>
      </c>
      <c r="H2822" s="174" t="s">
        <v>1666</v>
      </c>
      <c r="I2822" s="174" t="str">
        <f t="shared" si="1"/>
        <v>SUDESTE</v>
      </c>
    </row>
    <row r="2823" ht="14.25" customHeight="1">
      <c r="G2823" s="174" t="s">
        <v>4445</v>
      </c>
      <c r="H2823" s="174" t="s">
        <v>1706</v>
      </c>
      <c r="I2823" s="174" t="str">
        <f t="shared" si="1"/>
        <v>SUL</v>
      </c>
    </row>
    <row r="2824" ht="14.25" customHeight="1">
      <c r="G2824" s="174" t="s">
        <v>4446</v>
      </c>
      <c r="H2824" s="174" t="s">
        <v>1658</v>
      </c>
      <c r="I2824" s="174" t="str">
        <f t="shared" si="1"/>
        <v>CENTRO OESTE</v>
      </c>
    </row>
    <row r="2825" ht="14.25" customHeight="1">
      <c r="G2825" s="174" t="s">
        <v>4447</v>
      </c>
      <c r="H2825" s="174" t="s">
        <v>1725</v>
      </c>
      <c r="I2825" s="174" t="str">
        <f t="shared" si="1"/>
        <v>NORDESTE</v>
      </c>
    </row>
    <row r="2826" ht="14.25" customHeight="1">
      <c r="G2826" s="174" t="s">
        <v>4448</v>
      </c>
      <c r="H2826" s="174" t="s">
        <v>1721</v>
      </c>
      <c r="I2826" s="174" t="str">
        <f t="shared" si="1"/>
        <v>NORTE</v>
      </c>
    </row>
    <row r="2827" ht="14.25" customHeight="1">
      <c r="G2827" s="174" t="s">
        <v>4449</v>
      </c>
      <c r="H2827" s="174" t="s">
        <v>1730</v>
      </c>
      <c r="I2827" s="174" t="str">
        <f t="shared" si="1"/>
        <v>SUDESTE</v>
      </c>
    </row>
    <row r="2828" ht="14.25" customHeight="1">
      <c r="G2828" s="174" t="s">
        <v>4450</v>
      </c>
      <c r="H2828" s="174" t="s">
        <v>1733</v>
      </c>
      <c r="I2828" s="174" t="str">
        <f t="shared" si="1"/>
        <v>NORDESTE</v>
      </c>
    </row>
    <row r="2829" ht="14.25" customHeight="1">
      <c r="G2829" s="174" t="s">
        <v>4451</v>
      </c>
      <c r="H2829" s="174" t="s">
        <v>1685</v>
      </c>
      <c r="I2829" s="174" t="str">
        <f t="shared" si="1"/>
        <v>NORDESTE</v>
      </c>
    </row>
    <row r="2830" ht="14.25" customHeight="1">
      <c r="G2830" s="174" t="s">
        <v>4452</v>
      </c>
      <c r="H2830" s="174" t="s">
        <v>1742</v>
      </c>
      <c r="I2830" s="174" t="str">
        <f t="shared" si="1"/>
        <v>SUL</v>
      </c>
    </row>
    <row r="2831" ht="14.25" customHeight="1">
      <c r="G2831" s="174" t="s">
        <v>4453</v>
      </c>
      <c r="H2831" s="174" t="s">
        <v>1747</v>
      </c>
      <c r="I2831" s="174" t="str">
        <f t="shared" si="1"/>
        <v>NORDESTE</v>
      </c>
    </row>
    <row r="2832" ht="14.25" customHeight="1">
      <c r="G2832" s="174" t="s">
        <v>4454</v>
      </c>
      <c r="H2832" s="174" t="s">
        <v>1679</v>
      </c>
      <c r="I2832" s="174" t="str">
        <f t="shared" si="1"/>
        <v>NORTE</v>
      </c>
    </row>
    <row r="2833" ht="14.25" customHeight="1">
      <c r="G2833" s="174" t="s">
        <v>4455</v>
      </c>
      <c r="H2833" s="174" t="s">
        <v>1717</v>
      </c>
      <c r="I2833" s="174" t="str">
        <f t="shared" si="1"/>
        <v>NORDESTE</v>
      </c>
    </row>
    <row r="2834" ht="14.25" customHeight="1">
      <c r="G2834" s="174" t="s">
        <v>4456</v>
      </c>
      <c r="H2834" s="174" t="s">
        <v>1685</v>
      </c>
      <c r="I2834" s="174" t="str">
        <f t="shared" si="1"/>
        <v>NORDESTE</v>
      </c>
    </row>
    <row r="2835" ht="14.25" customHeight="1">
      <c r="G2835" s="174" t="s">
        <v>4457</v>
      </c>
      <c r="H2835" s="174" t="s">
        <v>1750</v>
      </c>
      <c r="I2835" s="174" t="str">
        <f t="shared" si="1"/>
        <v>SUDESTE</v>
      </c>
    </row>
    <row r="2836" ht="14.25" customHeight="1">
      <c r="G2836" s="174" t="s">
        <v>4458</v>
      </c>
      <c r="H2836" s="174" t="s">
        <v>1733</v>
      </c>
      <c r="I2836" s="174" t="str">
        <f t="shared" si="1"/>
        <v>NORDESTE</v>
      </c>
    </row>
    <row r="2837" ht="14.25" customHeight="1">
      <c r="G2837" s="174" t="s">
        <v>4459</v>
      </c>
      <c r="H2837" s="174" t="s">
        <v>1750</v>
      </c>
      <c r="I2837" s="174" t="str">
        <f t="shared" si="1"/>
        <v>SUDESTE</v>
      </c>
    </row>
    <row r="2838" ht="14.25" customHeight="1">
      <c r="G2838" s="174" t="s">
        <v>4460</v>
      </c>
      <c r="H2838" s="174" t="s">
        <v>1685</v>
      </c>
      <c r="I2838" s="174" t="str">
        <f t="shared" si="1"/>
        <v>NORDESTE</v>
      </c>
    </row>
    <row r="2839" ht="14.25" customHeight="1">
      <c r="G2839" s="174" t="s">
        <v>4461</v>
      </c>
      <c r="H2839" s="174" t="s">
        <v>1750</v>
      </c>
      <c r="I2839" s="174" t="str">
        <f t="shared" si="1"/>
        <v>SUDESTE</v>
      </c>
    </row>
    <row r="2840" ht="14.25" customHeight="1">
      <c r="G2840" s="174" t="s">
        <v>4462</v>
      </c>
      <c r="H2840" s="174" t="s">
        <v>1664</v>
      </c>
      <c r="I2840" s="174" t="str">
        <f t="shared" si="1"/>
        <v>NORDESTE</v>
      </c>
    </row>
    <row r="2841" ht="14.25" customHeight="1">
      <c r="G2841" s="174" t="s">
        <v>4463</v>
      </c>
      <c r="H2841" s="174" t="s">
        <v>1666</v>
      </c>
      <c r="I2841" s="174" t="str">
        <f t="shared" si="1"/>
        <v>SUDESTE</v>
      </c>
    </row>
    <row r="2842" ht="14.25" customHeight="1">
      <c r="G2842" s="174" t="s">
        <v>4464</v>
      </c>
      <c r="H2842" s="174" t="s">
        <v>1742</v>
      </c>
      <c r="I2842" s="174" t="str">
        <f t="shared" si="1"/>
        <v>SUL</v>
      </c>
    </row>
    <row r="2843" ht="14.25" customHeight="1">
      <c r="G2843" s="174" t="s">
        <v>4465</v>
      </c>
      <c r="H2843" s="174" t="s">
        <v>1736</v>
      </c>
      <c r="I2843" s="174" t="str">
        <f t="shared" si="1"/>
        <v>NORTE</v>
      </c>
    </row>
    <row r="2844" ht="14.25" customHeight="1">
      <c r="G2844" s="174" t="s">
        <v>4466</v>
      </c>
      <c r="H2844" s="174" t="s">
        <v>1666</v>
      </c>
      <c r="I2844" s="174" t="str">
        <f t="shared" si="1"/>
        <v>SUDESTE</v>
      </c>
    </row>
    <row r="2845" ht="14.25" customHeight="1">
      <c r="G2845" s="174" t="s">
        <v>4467</v>
      </c>
      <c r="H2845" s="174" t="s">
        <v>1717</v>
      </c>
      <c r="I2845" s="174" t="str">
        <f t="shared" si="1"/>
        <v>NORDESTE</v>
      </c>
    </row>
    <row r="2846" ht="14.25" customHeight="1">
      <c r="G2846" s="174" t="s">
        <v>4468</v>
      </c>
      <c r="H2846" s="174" t="s">
        <v>1706</v>
      </c>
      <c r="I2846" s="174" t="str">
        <f t="shared" si="1"/>
        <v>SUL</v>
      </c>
    </row>
    <row r="2847" ht="14.25" customHeight="1">
      <c r="G2847" s="174" t="s">
        <v>4469</v>
      </c>
      <c r="H2847" s="174" t="s">
        <v>1730</v>
      </c>
      <c r="I2847" s="174" t="str">
        <f t="shared" si="1"/>
        <v>SUDESTE</v>
      </c>
    </row>
    <row r="2848" ht="14.25" customHeight="1">
      <c r="G2848" s="174" t="s">
        <v>4470</v>
      </c>
      <c r="H2848" s="174" t="s">
        <v>1685</v>
      </c>
      <c r="I2848" s="174" t="str">
        <f t="shared" si="1"/>
        <v>NORDESTE</v>
      </c>
    </row>
    <row r="2849" ht="14.25" customHeight="1">
      <c r="G2849" s="174" t="s">
        <v>4471</v>
      </c>
      <c r="H2849" s="174" t="s">
        <v>1690</v>
      </c>
      <c r="I2849" s="174" t="str">
        <f t="shared" si="1"/>
        <v>NORDESTE</v>
      </c>
    </row>
    <row r="2850" ht="14.25" customHeight="1">
      <c r="G2850" s="174" t="s">
        <v>4472</v>
      </c>
      <c r="H2850" s="174" t="s">
        <v>1725</v>
      </c>
      <c r="I2850" s="174" t="str">
        <f t="shared" si="1"/>
        <v>NORDESTE</v>
      </c>
    </row>
    <row r="2851" ht="14.25" customHeight="1">
      <c r="G2851" s="174" t="s">
        <v>4473</v>
      </c>
      <c r="H2851" s="174" t="s">
        <v>1685</v>
      </c>
      <c r="I2851" s="174" t="str">
        <f t="shared" si="1"/>
        <v>NORDESTE</v>
      </c>
    </row>
    <row r="2852" ht="14.25" customHeight="1">
      <c r="G2852" s="174" t="s">
        <v>4474</v>
      </c>
      <c r="H2852" s="174" t="s">
        <v>1666</v>
      </c>
      <c r="I2852" s="174" t="str">
        <f t="shared" si="1"/>
        <v>SUDESTE</v>
      </c>
    </row>
    <row r="2853" ht="14.25" customHeight="1">
      <c r="G2853" s="174" t="s">
        <v>4475</v>
      </c>
      <c r="H2853" s="174" t="s">
        <v>1719</v>
      </c>
      <c r="I2853" s="174" t="str">
        <f t="shared" si="1"/>
        <v>NORDESTE</v>
      </c>
    </row>
    <row r="2854" ht="14.25" customHeight="1">
      <c r="G2854" s="174" t="s">
        <v>4476</v>
      </c>
      <c r="H2854" s="174" t="s">
        <v>1687</v>
      </c>
      <c r="I2854" s="174" t="str">
        <f t="shared" si="1"/>
        <v>NORTE</v>
      </c>
    </row>
    <row r="2855" ht="14.25" customHeight="1">
      <c r="G2855" s="174" t="s">
        <v>4477</v>
      </c>
      <c r="H2855" s="174" t="s">
        <v>1685</v>
      </c>
      <c r="I2855" s="174" t="str">
        <f t="shared" si="1"/>
        <v>NORDESTE</v>
      </c>
    </row>
    <row r="2856" ht="14.25" customHeight="1">
      <c r="G2856" s="174" t="s">
        <v>4478</v>
      </c>
      <c r="H2856" s="174" t="s">
        <v>1706</v>
      </c>
      <c r="I2856" s="174" t="str">
        <f t="shared" si="1"/>
        <v>SUL</v>
      </c>
    </row>
    <row r="2857" ht="14.25" customHeight="1">
      <c r="G2857" s="174" t="s">
        <v>4479</v>
      </c>
      <c r="H2857" s="174" t="s">
        <v>1687</v>
      </c>
      <c r="I2857" s="174" t="str">
        <f t="shared" si="1"/>
        <v>NORTE</v>
      </c>
    </row>
    <row r="2858" ht="14.25" customHeight="1">
      <c r="G2858" s="174" t="s">
        <v>4480</v>
      </c>
      <c r="H2858" s="174" t="s">
        <v>1704</v>
      </c>
      <c r="I2858" s="174" t="str">
        <f t="shared" si="1"/>
        <v>NORDESTE</v>
      </c>
    </row>
    <row r="2859" ht="14.25" customHeight="1">
      <c r="G2859" s="174" t="s">
        <v>4481</v>
      </c>
      <c r="H2859" s="174" t="s">
        <v>1750</v>
      </c>
      <c r="I2859" s="174" t="str">
        <f t="shared" si="1"/>
        <v>SUDESTE</v>
      </c>
    </row>
    <row r="2860" ht="14.25" customHeight="1">
      <c r="G2860" s="174" t="s">
        <v>4482</v>
      </c>
      <c r="H2860" s="174" t="s">
        <v>1730</v>
      </c>
      <c r="I2860" s="174" t="str">
        <f t="shared" si="1"/>
        <v>SUDESTE</v>
      </c>
    </row>
    <row r="2861" ht="14.25" customHeight="1">
      <c r="G2861" s="174" t="s">
        <v>4483</v>
      </c>
      <c r="H2861" s="174" t="s">
        <v>1685</v>
      </c>
      <c r="I2861" s="174" t="str">
        <f t="shared" si="1"/>
        <v>NORDESTE</v>
      </c>
    </row>
    <row r="2862" ht="14.25" customHeight="1">
      <c r="G2862" s="174" t="s">
        <v>4484</v>
      </c>
      <c r="H2862" s="174" t="s">
        <v>1685</v>
      </c>
      <c r="I2862" s="174" t="str">
        <f t="shared" si="1"/>
        <v>NORDESTE</v>
      </c>
    </row>
    <row r="2863" ht="14.25" customHeight="1">
      <c r="G2863" s="174" t="s">
        <v>4485</v>
      </c>
      <c r="H2863" s="174" t="s">
        <v>1750</v>
      </c>
      <c r="I2863" s="174" t="str">
        <f t="shared" si="1"/>
        <v>SUDESTE</v>
      </c>
    </row>
    <row r="2864" ht="14.25" customHeight="1">
      <c r="G2864" s="174" t="s">
        <v>4486</v>
      </c>
      <c r="H2864" s="174" t="s">
        <v>1750</v>
      </c>
      <c r="I2864" s="174" t="str">
        <f t="shared" si="1"/>
        <v>SUDESTE</v>
      </c>
    </row>
    <row r="2865" ht="14.25" customHeight="1">
      <c r="G2865" s="174" t="s">
        <v>4487</v>
      </c>
      <c r="H2865" s="174" t="s">
        <v>1658</v>
      </c>
      <c r="I2865" s="174" t="str">
        <f t="shared" si="1"/>
        <v>CENTRO OESTE</v>
      </c>
    </row>
    <row r="2866" ht="14.25" customHeight="1">
      <c r="G2866" s="174" t="s">
        <v>4488</v>
      </c>
      <c r="H2866" s="174" t="s">
        <v>1706</v>
      </c>
      <c r="I2866" s="174" t="str">
        <f t="shared" si="1"/>
        <v>SUL</v>
      </c>
    </row>
    <row r="2867" ht="14.25" customHeight="1">
      <c r="G2867" s="174" t="s">
        <v>4489</v>
      </c>
      <c r="H2867" s="174" t="s">
        <v>1664</v>
      </c>
      <c r="I2867" s="174" t="str">
        <f t="shared" si="1"/>
        <v>NORDESTE</v>
      </c>
    </row>
    <row r="2868" ht="14.25" customHeight="1">
      <c r="G2868" s="174" t="s">
        <v>4490</v>
      </c>
      <c r="H2868" s="174" t="s">
        <v>1733</v>
      </c>
      <c r="I2868" s="174" t="str">
        <f t="shared" si="1"/>
        <v>NORDESTE</v>
      </c>
    </row>
    <row r="2869" ht="14.25" customHeight="1">
      <c r="G2869" s="174" t="s">
        <v>4491</v>
      </c>
      <c r="H2869" s="174" t="s">
        <v>1706</v>
      </c>
      <c r="I2869" s="174" t="str">
        <f t="shared" si="1"/>
        <v>SUL</v>
      </c>
    </row>
    <row r="2870" ht="14.25" customHeight="1">
      <c r="G2870" s="174" t="s">
        <v>4492</v>
      </c>
      <c r="H2870" s="174" t="s">
        <v>1666</v>
      </c>
      <c r="I2870" s="174" t="str">
        <f t="shared" si="1"/>
        <v>SUDESTE</v>
      </c>
    </row>
    <row r="2871" ht="14.25" customHeight="1">
      <c r="G2871" s="174" t="s">
        <v>4493</v>
      </c>
      <c r="H2871" s="174" t="s">
        <v>1685</v>
      </c>
      <c r="I2871" s="174" t="str">
        <f t="shared" si="1"/>
        <v>NORDESTE</v>
      </c>
    </row>
    <row r="2872" ht="14.25" customHeight="1">
      <c r="G2872" s="174" t="s">
        <v>4494</v>
      </c>
      <c r="H2872" s="174" t="s">
        <v>1685</v>
      </c>
      <c r="I2872" s="174" t="str">
        <f t="shared" si="1"/>
        <v>NORDESTE</v>
      </c>
    </row>
    <row r="2873" ht="14.25" customHeight="1">
      <c r="G2873" s="174" t="s">
        <v>4495</v>
      </c>
      <c r="H2873" s="174" t="s">
        <v>1747</v>
      </c>
      <c r="I2873" s="174" t="str">
        <f t="shared" si="1"/>
        <v>NORDESTE</v>
      </c>
    </row>
    <row r="2874" ht="14.25" customHeight="1">
      <c r="G2874" s="174" t="s">
        <v>4496</v>
      </c>
      <c r="H2874" s="174" t="s">
        <v>1747</v>
      </c>
      <c r="I2874" s="174" t="str">
        <f t="shared" si="1"/>
        <v>NORDESTE</v>
      </c>
    </row>
    <row r="2875" ht="14.25" customHeight="1">
      <c r="G2875" s="174" t="s">
        <v>4497</v>
      </c>
      <c r="H2875" s="174" t="s">
        <v>1702</v>
      </c>
      <c r="I2875" s="174" t="str">
        <f t="shared" si="1"/>
        <v>SUL</v>
      </c>
    </row>
    <row r="2876" ht="14.25" customHeight="1">
      <c r="G2876" s="174" t="s">
        <v>4498</v>
      </c>
      <c r="H2876" s="174" t="s">
        <v>1719</v>
      </c>
      <c r="I2876" s="174" t="str">
        <f t="shared" si="1"/>
        <v>NORDESTE</v>
      </c>
    </row>
    <row r="2877" ht="14.25" customHeight="1">
      <c r="G2877" s="174" t="s">
        <v>4499</v>
      </c>
      <c r="H2877" s="174" t="s">
        <v>1719</v>
      </c>
      <c r="I2877" s="174" t="str">
        <f t="shared" si="1"/>
        <v>NORDESTE</v>
      </c>
    </row>
    <row r="2878" ht="14.25" customHeight="1">
      <c r="G2878" s="174" t="s">
        <v>4500</v>
      </c>
      <c r="H2878" s="174" t="s">
        <v>1658</v>
      </c>
      <c r="I2878" s="174" t="str">
        <f t="shared" si="1"/>
        <v>CENTRO OESTE</v>
      </c>
    </row>
    <row r="2879" ht="14.25" customHeight="1">
      <c r="G2879" s="174" t="s">
        <v>4501</v>
      </c>
      <c r="H2879" s="174" t="s">
        <v>1702</v>
      </c>
      <c r="I2879" s="174" t="str">
        <f t="shared" si="1"/>
        <v>SUL</v>
      </c>
    </row>
    <row r="2880" ht="14.25" customHeight="1">
      <c r="G2880" s="174" t="s">
        <v>4502</v>
      </c>
      <c r="H2880" s="174" t="s">
        <v>1666</v>
      </c>
      <c r="I2880" s="174" t="str">
        <f t="shared" si="1"/>
        <v>SUDESTE</v>
      </c>
    </row>
    <row r="2881" ht="14.25" customHeight="1">
      <c r="G2881" s="174" t="s">
        <v>4503</v>
      </c>
      <c r="H2881" s="174" t="s">
        <v>1742</v>
      </c>
      <c r="I2881" s="174" t="str">
        <f t="shared" si="1"/>
        <v>SUL</v>
      </c>
    </row>
    <row r="2882" ht="14.25" customHeight="1">
      <c r="G2882" s="174" t="s">
        <v>4504</v>
      </c>
      <c r="H2882" s="174" t="s">
        <v>1672</v>
      </c>
      <c r="I2882" s="174" t="str">
        <f t="shared" si="1"/>
        <v>NORTE</v>
      </c>
    </row>
    <row r="2883" ht="14.25" customHeight="1">
      <c r="G2883" s="174" t="s">
        <v>4505</v>
      </c>
      <c r="H2883" s="174" t="s">
        <v>1719</v>
      </c>
      <c r="I2883" s="174" t="str">
        <f t="shared" si="1"/>
        <v>NORDESTE</v>
      </c>
    </row>
    <row r="2884" ht="14.25" customHeight="1">
      <c r="G2884" s="174" t="s">
        <v>4506</v>
      </c>
      <c r="H2884" s="174" t="s">
        <v>1672</v>
      </c>
      <c r="I2884" s="174" t="str">
        <f t="shared" si="1"/>
        <v>NORTE</v>
      </c>
    </row>
    <row r="2885" ht="14.25" customHeight="1">
      <c r="G2885" s="174" t="s">
        <v>4507</v>
      </c>
      <c r="H2885" s="174" t="s">
        <v>1717</v>
      </c>
      <c r="I2885" s="174" t="str">
        <f t="shared" si="1"/>
        <v>NORDESTE</v>
      </c>
    </row>
    <row r="2886" ht="14.25" customHeight="1">
      <c r="G2886" s="174" t="s">
        <v>4508</v>
      </c>
      <c r="H2886" s="174" t="s">
        <v>1672</v>
      </c>
      <c r="I2886" s="174" t="str">
        <f t="shared" si="1"/>
        <v>NORTE</v>
      </c>
    </row>
    <row r="2887" ht="14.25" customHeight="1">
      <c r="G2887" s="174" t="s">
        <v>4509</v>
      </c>
      <c r="H2887" s="174" t="s">
        <v>1656</v>
      </c>
      <c r="I2887" s="174" t="str">
        <f t="shared" si="1"/>
        <v>NORTE</v>
      </c>
    </row>
    <row r="2888" ht="14.25" customHeight="1">
      <c r="G2888" s="174" t="s">
        <v>4510</v>
      </c>
      <c r="H2888" s="174" t="s">
        <v>1702</v>
      </c>
      <c r="I2888" s="174" t="str">
        <f t="shared" si="1"/>
        <v>SUL</v>
      </c>
    </row>
    <row r="2889" ht="14.25" customHeight="1">
      <c r="G2889" s="174" t="s">
        <v>4511</v>
      </c>
      <c r="H2889" s="174" t="s">
        <v>1702</v>
      </c>
      <c r="I2889" s="174" t="str">
        <f t="shared" si="1"/>
        <v>SUL</v>
      </c>
    </row>
    <row r="2890" ht="14.25" customHeight="1">
      <c r="G2890" s="174" t="s">
        <v>4512</v>
      </c>
      <c r="H2890" s="174" t="s">
        <v>1702</v>
      </c>
      <c r="I2890" s="174" t="str">
        <f t="shared" si="1"/>
        <v>SUL</v>
      </c>
    </row>
    <row r="2891" ht="14.25" customHeight="1">
      <c r="G2891" s="174" t="s">
        <v>4513</v>
      </c>
      <c r="H2891" s="174" t="s">
        <v>1750</v>
      </c>
      <c r="I2891" s="174" t="str">
        <f t="shared" si="1"/>
        <v>SUDESTE</v>
      </c>
    </row>
    <row r="2892" ht="14.25" customHeight="1">
      <c r="G2892" s="174" t="s">
        <v>4514</v>
      </c>
      <c r="H2892" s="174" t="s">
        <v>1702</v>
      </c>
      <c r="I2892" s="174" t="str">
        <f t="shared" si="1"/>
        <v>SUL</v>
      </c>
    </row>
    <row r="2893" ht="14.25" customHeight="1">
      <c r="G2893" s="174" t="s">
        <v>4515</v>
      </c>
      <c r="H2893" s="174" t="s">
        <v>1666</v>
      </c>
      <c r="I2893" s="174" t="str">
        <f t="shared" si="1"/>
        <v>SUDESTE</v>
      </c>
    </row>
    <row r="2894" ht="14.25" customHeight="1">
      <c r="G2894" s="174" t="s">
        <v>4516</v>
      </c>
      <c r="H2894" s="174" t="s">
        <v>1730</v>
      </c>
      <c r="I2894" s="174" t="str">
        <f t="shared" si="1"/>
        <v>SUDESTE</v>
      </c>
    </row>
    <row r="2895" ht="14.25" customHeight="1">
      <c r="G2895" s="174" t="s">
        <v>4517</v>
      </c>
      <c r="H2895" s="174" t="s">
        <v>1702</v>
      </c>
      <c r="I2895" s="174" t="str">
        <f t="shared" si="1"/>
        <v>SUL</v>
      </c>
    </row>
    <row r="2896" ht="14.25" customHeight="1">
      <c r="G2896" s="174" t="s">
        <v>4518</v>
      </c>
      <c r="H2896" s="174" t="s">
        <v>1666</v>
      </c>
      <c r="I2896" s="174" t="str">
        <f t="shared" si="1"/>
        <v>SUDESTE</v>
      </c>
    </row>
    <row r="2897" ht="14.25" customHeight="1">
      <c r="G2897" s="174" t="s">
        <v>4519</v>
      </c>
      <c r="H2897" s="174" t="s">
        <v>1666</v>
      </c>
      <c r="I2897" s="174" t="str">
        <f t="shared" si="1"/>
        <v>SUDESTE</v>
      </c>
    </row>
    <row r="2898" ht="14.25" customHeight="1">
      <c r="G2898" s="174" t="s">
        <v>4520</v>
      </c>
      <c r="H2898" s="174" t="s">
        <v>1672</v>
      </c>
      <c r="I2898" s="174" t="str">
        <f t="shared" si="1"/>
        <v>NORTE</v>
      </c>
    </row>
    <row r="2899" ht="14.25" customHeight="1">
      <c r="G2899" s="174" t="s">
        <v>4521</v>
      </c>
      <c r="H2899" s="174" t="s">
        <v>1725</v>
      </c>
      <c r="I2899" s="174" t="str">
        <f t="shared" si="1"/>
        <v>NORDESTE</v>
      </c>
    </row>
    <row r="2900" ht="14.25" customHeight="1">
      <c r="G2900" s="174" t="s">
        <v>4522</v>
      </c>
      <c r="H2900" s="174" t="s">
        <v>1702</v>
      </c>
      <c r="I2900" s="174" t="str">
        <f t="shared" si="1"/>
        <v>SUL</v>
      </c>
    </row>
    <row r="2901" ht="14.25" customHeight="1">
      <c r="G2901" s="174" t="s">
        <v>4523</v>
      </c>
      <c r="H2901" s="174" t="s">
        <v>1656</v>
      </c>
      <c r="I2901" s="174" t="str">
        <f t="shared" si="1"/>
        <v>NORTE</v>
      </c>
    </row>
    <row r="2902" ht="14.25" customHeight="1">
      <c r="G2902" s="174" t="s">
        <v>4524</v>
      </c>
      <c r="H2902" s="174" t="s">
        <v>1742</v>
      </c>
      <c r="I2902" s="174" t="str">
        <f t="shared" si="1"/>
        <v>SUL</v>
      </c>
    </row>
    <row r="2903" ht="14.25" customHeight="1">
      <c r="G2903" s="174" t="s">
        <v>4525</v>
      </c>
      <c r="H2903" s="174" t="s">
        <v>1685</v>
      </c>
      <c r="I2903" s="174" t="str">
        <f t="shared" si="1"/>
        <v>NORDESTE</v>
      </c>
    </row>
    <row r="2904" ht="14.25" customHeight="1">
      <c r="G2904" s="174" t="s">
        <v>4526</v>
      </c>
      <c r="H2904" s="174" t="s">
        <v>1685</v>
      </c>
      <c r="I2904" s="174" t="str">
        <f t="shared" si="1"/>
        <v>NORDESTE</v>
      </c>
    </row>
    <row r="2905" ht="14.25" customHeight="1">
      <c r="G2905" s="174" t="s">
        <v>4527</v>
      </c>
      <c r="H2905" s="174" t="s">
        <v>1666</v>
      </c>
      <c r="I2905" s="174" t="str">
        <f t="shared" si="1"/>
        <v>SUDESTE</v>
      </c>
    </row>
    <row r="2906" ht="14.25" customHeight="1">
      <c r="G2906" s="174" t="s">
        <v>4528</v>
      </c>
      <c r="H2906" s="174" t="s">
        <v>1698</v>
      </c>
      <c r="I2906" s="174" t="str">
        <f t="shared" si="1"/>
        <v>SUDESTE</v>
      </c>
    </row>
    <row r="2907" ht="14.25" customHeight="1">
      <c r="G2907" s="174" t="s">
        <v>4529</v>
      </c>
      <c r="H2907" s="174" t="s">
        <v>1742</v>
      </c>
      <c r="I2907" s="174" t="str">
        <f t="shared" si="1"/>
        <v>SUL</v>
      </c>
    </row>
    <row r="2908" ht="14.25" customHeight="1">
      <c r="G2908" s="174" t="s">
        <v>4530</v>
      </c>
      <c r="H2908" s="174" t="s">
        <v>1666</v>
      </c>
      <c r="I2908" s="174" t="str">
        <f t="shared" si="1"/>
        <v>SUDESTE</v>
      </c>
    </row>
    <row r="2909" ht="14.25" customHeight="1">
      <c r="G2909" s="174" t="s">
        <v>4531</v>
      </c>
      <c r="H2909" s="174" t="s">
        <v>1664</v>
      </c>
      <c r="I2909" s="174" t="str">
        <f t="shared" si="1"/>
        <v>NORDESTE</v>
      </c>
    </row>
    <row r="2910" ht="14.25" customHeight="1">
      <c r="G2910" s="174" t="s">
        <v>4532</v>
      </c>
      <c r="H2910" s="174" t="s">
        <v>1658</v>
      </c>
      <c r="I2910" s="174" t="str">
        <f t="shared" si="1"/>
        <v>CENTRO OESTE</v>
      </c>
    </row>
    <row r="2911" ht="14.25" customHeight="1">
      <c r="G2911" s="174" t="s">
        <v>4533</v>
      </c>
      <c r="H2911" s="174" t="s">
        <v>1672</v>
      </c>
      <c r="I2911" s="174" t="str">
        <f t="shared" si="1"/>
        <v>NORTE</v>
      </c>
    </row>
    <row r="2912" ht="14.25" customHeight="1">
      <c r="G2912" s="174" t="s">
        <v>4534</v>
      </c>
      <c r="H2912" s="174" t="s">
        <v>1687</v>
      </c>
      <c r="I2912" s="174" t="str">
        <f t="shared" si="1"/>
        <v>NORTE</v>
      </c>
    </row>
    <row r="2913" ht="14.25" customHeight="1">
      <c r="G2913" s="174" t="s">
        <v>4535</v>
      </c>
      <c r="H2913" s="174" t="s">
        <v>1750</v>
      </c>
      <c r="I2913" s="174" t="str">
        <f t="shared" si="1"/>
        <v>SUDESTE</v>
      </c>
    </row>
    <row r="2914" ht="14.25" customHeight="1">
      <c r="G2914" s="174" t="s">
        <v>4536</v>
      </c>
      <c r="H2914" s="174" t="s">
        <v>1704</v>
      </c>
      <c r="I2914" s="174" t="str">
        <f t="shared" si="1"/>
        <v>NORDESTE</v>
      </c>
    </row>
    <row r="2915" ht="14.25" customHeight="1">
      <c r="G2915" s="174" t="s">
        <v>4537</v>
      </c>
      <c r="H2915" s="174" t="s">
        <v>1750</v>
      </c>
      <c r="I2915" s="174" t="str">
        <f t="shared" si="1"/>
        <v>SUDESTE</v>
      </c>
    </row>
    <row r="2916" ht="14.25" customHeight="1">
      <c r="G2916" s="174" t="s">
        <v>4538</v>
      </c>
      <c r="H2916" s="174" t="s">
        <v>1706</v>
      </c>
      <c r="I2916" s="174" t="str">
        <f t="shared" si="1"/>
        <v>SUL</v>
      </c>
    </row>
    <row r="2917" ht="14.25" customHeight="1">
      <c r="G2917" s="174" t="s">
        <v>4539</v>
      </c>
      <c r="H2917" s="174" t="s">
        <v>1710</v>
      </c>
      <c r="I2917" s="174" t="str">
        <f t="shared" si="1"/>
        <v>CENTRO OESTE</v>
      </c>
    </row>
    <row r="2918" ht="14.25" customHeight="1">
      <c r="G2918" s="174" t="s">
        <v>4540</v>
      </c>
      <c r="H2918" s="174" t="s">
        <v>1687</v>
      </c>
      <c r="I2918" s="174" t="str">
        <f t="shared" si="1"/>
        <v>NORTE</v>
      </c>
    </row>
    <row r="2919" ht="14.25" customHeight="1">
      <c r="G2919" s="174" t="s">
        <v>4541</v>
      </c>
      <c r="H2919" s="174" t="s">
        <v>1690</v>
      </c>
      <c r="I2919" s="174" t="str">
        <f t="shared" si="1"/>
        <v>NORDESTE</v>
      </c>
    </row>
    <row r="2920" ht="14.25" customHeight="1">
      <c r="G2920" s="174" t="s">
        <v>4542</v>
      </c>
      <c r="H2920" s="174" t="s">
        <v>1685</v>
      </c>
      <c r="I2920" s="174" t="str">
        <f t="shared" si="1"/>
        <v>NORDESTE</v>
      </c>
    </row>
    <row r="2921" ht="14.25" customHeight="1">
      <c r="G2921" s="174" t="s">
        <v>4543</v>
      </c>
      <c r="H2921" s="174" t="s">
        <v>1664</v>
      </c>
      <c r="I2921" s="174" t="str">
        <f t="shared" si="1"/>
        <v>NORDESTE</v>
      </c>
    </row>
    <row r="2922" ht="14.25" customHeight="1">
      <c r="G2922" s="174" t="s">
        <v>4544</v>
      </c>
      <c r="H2922" s="174" t="s">
        <v>1685</v>
      </c>
      <c r="I2922" s="174" t="str">
        <f t="shared" si="1"/>
        <v>NORDESTE</v>
      </c>
    </row>
    <row r="2923" ht="14.25" customHeight="1">
      <c r="G2923" s="174" t="s">
        <v>4545</v>
      </c>
      <c r="H2923" s="174" t="s">
        <v>1717</v>
      </c>
      <c r="I2923" s="174" t="str">
        <f t="shared" si="1"/>
        <v>NORDESTE</v>
      </c>
    </row>
    <row r="2924" ht="14.25" customHeight="1">
      <c r="G2924" s="174" t="s">
        <v>4546</v>
      </c>
      <c r="H2924" s="174" t="s">
        <v>1704</v>
      </c>
      <c r="I2924" s="174" t="str">
        <f t="shared" si="1"/>
        <v>NORDESTE</v>
      </c>
    </row>
    <row r="2925" ht="14.25" customHeight="1">
      <c r="G2925" s="174" t="s">
        <v>4547</v>
      </c>
      <c r="H2925" s="174" t="s">
        <v>1690</v>
      </c>
      <c r="I2925" s="174" t="str">
        <f t="shared" si="1"/>
        <v>NORDESTE</v>
      </c>
    </row>
    <row r="2926" ht="14.25" customHeight="1">
      <c r="G2926" s="174" t="s">
        <v>4548</v>
      </c>
      <c r="H2926" s="174" t="s">
        <v>1704</v>
      </c>
      <c r="I2926" s="174" t="str">
        <f t="shared" si="1"/>
        <v>NORDESTE</v>
      </c>
    </row>
    <row r="2927" ht="14.25" customHeight="1">
      <c r="G2927" s="174" t="s">
        <v>4549</v>
      </c>
      <c r="H2927" s="174" t="s">
        <v>1687</v>
      </c>
      <c r="I2927" s="174" t="str">
        <f t="shared" si="1"/>
        <v>NORTE</v>
      </c>
    </row>
    <row r="2928" ht="14.25" customHeight="1">
      <c r="G2928" s="174" t="s">
        <v>4550</v>
      </c>
      <c r="H2928" s="174" t="s">
        <v>1750</v>
      </c>
      <c r="I2928" s="174" t="str">
        <f t="shared" si="1"/>
        <v>SUDESTE</v>
      </c>
    </row>
    <row r="2929" ht="14.25" customHeight="1">
      <c r="G2929" s="174" t="s">
        <v>4551</v>
      </c>
      <c r="H2929" s="174" t="s">
        <v>1742</v>
      </c>
      <c r="I2929" s="174" t="str">
        <f t="shared" si="1"/>
        <v>SUL</v>
      </c>
    </row>
    <row r="2930" ht="14.25" customHeight="1">
      <c r="G2930" s="174" t="s">
        <v>4552</v>
      </c>
      <c r="H2930" s="174" t="s">
        <v>1698</v>
      </c>
      <c r="I2930" s="174" t="str">
        <f t="shared" si="1"/>
        <v>SUDESTE</v>
      </c>
    </row>
    <row r="2931" ht="14.25" customHeight="1">
      <c r="G2931" s="174" t="s">
        <v>4553</v>
      </c>
      <c r="H2931" s="174" t="s">
        <v>1742</v>
      </c>
      <c r="I2931" s="174" t="str">
        <f t="shared" si="1"/>
        <v>SUL</v>
      </c>
    </row>
    <row r="2932" ht="14.25" customHeight="1">
      <c r="G2932" s="174" t="s">
        <v>4554</v>
      </c>
      <c r="H2932" s="174" t="s">
        <v>1685</v>
      </c>
      <c r="I2932" s="174" t="str">
        <f t="shared" si="1"/>
        <v>NORDESTE</v>
      </c>
    </row>
    <row r="2933" ht="14.25" customHeight="1">
      <c r="G2933" s="174" t="s">
        <v>4555</v>
      </c>
      <c r="H2933" s="174" t="s">
        <v>1664</v>
      </c>
      <c r="I2933" s="174" t="str">
        <f t="shared" si="1"/>
        <v>NORDESTE</v>
      </c>
    </row>
    <row r="2934" ht="14.25" customHeight="1">
      <c r="G2934" s="174" t="s">
        <v>4555</v>
      </c>
      <c r="H2934" s="174" t="s">
        <v>1706</v>
      </c>
      <c r="I2934" s="174" t="str">
        <f t="shared" si="1"/>
        <v>SUL</v>
      </c>
    </row>
    <row r="2935" ht="14.25" customHeight="1">
      <c r="G2935" s="174" t="s">
        <v>4556</v>
      </c>
      <c r="H2935" s="174" t="s">
        <v>1666</v>
      </c>
      <c r="I2935" s="174" t="str">
        <f t="shared" si="1"/>
        <v>SUDESTE</v>
      </c>
    </row>
    <row r="2936" ht="14.25" customHeight="1">
      <c r="G2936" s="174" t="s">
        <v>4557</v>
      </c>
      <c r="H2936" s="174" t="s">
        <v>1719</v>
      </c>
      <c r="I2936" s="174" t="str">
        <f t="shared" si="1"/>
        <v>NORDESTE</v>
      </c>
    </row>
    <row r="2937" ht="14.25" customHeight="1">
      <c r="G2937" s="174" t="s">
        <v>4558</v>
      </c>
      <c r="H2937" s="174" t="s">
        <v>1713</v>
      </c>
      <c r="I2937" s="174" t="str">
        <f t="shared" si="1"/>
        <v>CENTRO OESTE</v>
      </c>
    </row>
    <row r="2938" ht="14.25" customHeight="1">
      <c r="G2938" s="174" t="s">
        <v>4559</v>
      </c>
      <c r="H2938" s="174" t="s">
        <v>1742</v>
      </c>
      <c r="I2938" s="174" t="str">
        <f t="shared" si="1"/>
        <v>SUL</v>
      </c>
    </row>
    <row r="2939" ht="14.25" customHeight="1">
      <c r="G2939" s="174" t="s">
        <v>4560</v>
      </c>
      <c r="H2939" s="174" t="s">
        <v>1733</v>
      </c>
      <c r="I2939" s="174" t="str">
        <f t="shared" si="1"/>
        <v>NORDESTE</v>
      </c>
    </row>
    <row r="2940" ht="14.25" customHeight="1">
      <c r="G2940" s="174" t="s">
        <v>4561</v>
      </c>
      <c r="H2940" s="174" t="s">
        <v>1685</v>
      </c>
      <c r="I2940" s="174" t="str">
        <f t="shared" si="1"/>
        <v>NORDESTE</v>
      </c>
    </row>
    <row r="2941" ht="14.25" customHeight="1">
      <c r="G2941" s="174" t="s">
        <v>4562</v>
      </c>
      <c r="H2941" s="174" t="s">
        <v>1690</v>
      </c>
      <c r="I2941" s="174" t="str">
        <f t="shared" si="1"/>
        <v>NORDESTE</v>
      </c>
    </row>
    <row r="2942" ht="14.25" customHeight="1">
      <c r="G2942" s="174" t="s">
        <v>4563</v>
      </c>
      <c r="H2942" s="174" t="s">
        <v>1725</v>
      </c>
      <c r="I2942" s="174" t="str">
        <f t="shared" si="1"/>
        <v>NORDESTE</v>
      </c>
    </row>
    <row r="2943" ht="14.25" customHeight="1">
      <c r="G2943" s="174" t="s">
        <v>4564</v>
      </c>
      <c r="H2943" s="174" t="s">
        <v>1725</v>
      </c>
      <c r="I2943" s="174" t="str">
        <f t="shared" si="1"/>
        <v>NORDESTE</v>
      </c>
    </row>
    <row r="2944" ht="14.25" customHeight="1">
      <c r="G2944" s="174" t="s">
        <v>4565</v>
      </c>
      <c r="H2944" s="174" t="s">
        <v>1702</v>
      </c>
      <c r="I2944" s="174" t="str">
        <f t="shared" si="1"/>
        <v>SUL</v>
      </c>
    </row>
    <row r="2945" ht="14.25" customHeight="1">
      <c r="G2945" s="174" t="s">
        <v>4566</v>
      </c>
      <c r="H2945" s="174" t="s">
        <v>1664</v>
      </c>
      <c r="I2945" s="174" t="str">
        <f t="shared" si="1"/>
        <v>NORDESTE</v>
      </c>
    </row>
    <row r="2946" ht="14.25" customHeight="1">
      <c r="G2946" s="174" t="s">
        <v>4567</v>
      </c>
      <c r="H2946" s="174" t="s">
        <v>1698</v>
      </c>
      <c r="I2946" s="174" t="str">
        <f t="shared" si="1"/>
        <v>SUDESTE</v>
      </c>
    </row>
    <row r="2947" ht="14.25" customHeight="1">
      <c r="G2947" s="174" t="s">
        <v>4568</v>
      </c>
      <c r="H2947" s="174" t="s">
        <v>1656</v>
      </c>
      <c r="I2947" s="174" t="str">
        <f t="shared" si="1"/>
        <v>NORTE</v>
      </c>
    </row>
    <row r="2948" ht="14.25" customHeight="1">
      <c r="G2948" s="174" t="s">
        <v>4569</v>
      </c>
      <c r="H2948" s="174" t="s">
        <v>1706</v>
      </c>
      <c r="I2948" s="174" t="str">
        <f t="shared" si="1"/>
        <v>SUL</v>
      </c>
    </row>
    <row r="2949" ht="14.25" customHeight="1">
      <c r="G2949" s="174" t="s">
        <v>4570</v>
      </c>
      <c r="H2949" s="174" t="s">
        <v>1719</v>
      </c>
      <c r="I2949" s="174" t="str">
        <f t="shared" si="1"/>
        <v>NORDESTE</v>
      </c>
    </row>
    <row r="2950" ht="14.25" customHeight="1">
      <c r="G2950" s="174" t="s">
        <v>4571</v>
      </c>
      <c r="H2950" s="174" t="s">
        <v>1666</v>
      </c>
      <c r="I2950" s="174" t="str">
        <f t="shared" si="1"/>
        <v>SUDESTE</v>
      </c>
    </row>
    <row r="2951" ht="14.25" customHeight="1">
      <c r="G2951" s="174" t="s">
        <v>4572</v>
      </c>
      <c r="H2951" s="174" t="s">
        <v>1702</v>
      </c>
      <c r="I2951" s="174" t="str">
        <f t="shared" si="1"/>
        <v>SUL</v>
      </c>
    </row>
    <row r="2952" ht="14.25" customHeight="1">
      <c r="G2952" s="174" t="s">
        <v>4573</v>
      </c>
      <c r="H2952" s="174" t="s">
        <v>1702</v>
      </c>
      <c r="I2952" s="174" t="str">
        <f t="shared" si="1"/>
        <v>SUL</v>
      </c>
    </row>
    <row r="2953" ht="14.25" customHeight="1">
      <c r="G2953" s="174" t="s">
        <v>4574</v>
      </c>
      <c r="H2953" s="174" t="s">
        <v>1666</v>
      </c>
      <c r="I2953" s="174" t="str">
        <f t="shared" si="1"/>
        <v>SUDESTE</v>
      </c>
    </row>
    <row r="2954" ht="14.25" customHeight="1">
      <c r="G2954" s="174" t="s">
        <v>4575</v>
      </c>
      <c r="H2954" s="174" t="s">
        <v>1742</v>
      </c>
      <c r="I2954" s="174" t="str">
        <f t="shared" si="1"/>
        <v>SUL</v>
      </c>
    </row>
    <row r="2955" ht="14.25" customHeight="1">
      <c r="G2955" s="174" t="s">
        <v>4576</v>
      </c>
      <c r="H2955" s="174" t="s">
        <v>1742</v>
      </c>
      <c r="I2955" s="174" t="str">
        <f t="shared" si="1"/>
        <v>SUL</v>
      </c>
    </row>
    <row r="2956" ht="14.25" customHeight="1">
      <c r="G2956" s="174" t="s">
        <v>4577</v>
      </c>
      <c r="H2956" s="174" t="s">
        <v>1721</v>
      </c>
      <c r="I2956" s="174" t="str">
        <f t="shared" si="1"/>
        <v>NORTE</v>
      </c>
    </row>
    <row r="2957" ht="14.25" customHeight="1">
      <c r="G2957" s="174" t="s">
        <v>4578</v>
      </c>
      <c r="H2957" s="174" t="s">
        <v>1750</v>
      </c>
      <c r="I2957" s="174" t="str">
        <f t="shared" si="1"/>
        <v>SUDESTE</v>
      </c>
    </row>
    <row r="2958" ht="14.25" customHeight="1">
      <c r="G2958" s="174" t="s">
        <v>4579</v>
      </c>
      <c r="H2958" s="174" t="s">
        <v>1664</v>
      </c>
      <c r="I2958" s="174" t="str">
        <f t="shared" si="1"/>
        <v>NORDESTE</v>
      </c>
    </row>
    <row r="2959" ht="14.25" customHeight="1">
      <c r="G2959" s="174" t="s">
        <v>4580</v>
      </c>
      <c r="H2959" s="174" t="s">
        <v>1730</v>
      </c>
      <c r="I2959" s="174" t="str">
        <f t="shared" si="1"/>
        <v>SUDESTE</v>
      </c>
    </row>
    <row r="2960" ht="14.25" customHeight="1">
      <c r="G2960" s="174" t="s">
        <v>4581</v>
      </c>
      <c r="H2960" s="174" t="s">
        <v>1666</v>
      </c>
      <c r="I2960" s="174" t="str">
        <f t="shared" si="1"/>
        <v>SUDESTE</v>
      </c>
    </row>
    <row r="2961" ht="14.25" customHeight="1">
      <c r="G2961" s="174" t="s">
        <v>4582</v>
      </c>
      <c r="H2961" s="174" t="s">
        <v>1698</v>
      </c>
      <c r="I2961" s="174" t="str">
        <f t="shared" si="1"/>
        <v>SUDESTE</v>
      </c>
    </row>
    <row r="2962" ht="14.25" customHeight="1">
      <c r="G2962" s="174" t="s">
        <v>4583</v>
      </c>
      <c r="H2962" s="174" t="s">
        <v>1702</v>
      </c>
      <c r="I2962" s="174" t="str">
        <f t="shared" si="1"/>
        <v>SUL</v>
      </c>
    </row>
    <row r="2963" ht="14.25" customHeight="1">
      <c r="G2963" s="174" t="s">
        <v>4584</v>
      </c>
      <c r="H2963" s="174" t="s">
        <v>1702</v>
      </c>
      <c r="I2963" s="174" t="str">
        <f t="shared" si="1"/>
        <v>SUL</v>
      </c>
    </row>
    <row r="2964" ht="14.25" customHeight="1">
      <c r="G2964" s="174" t="s">
        <v>4585</v>
      </c>
      <c r="H2964" s="174" t="s">
        <v>1750</v>
      </c>
      <c r="I2964" s="174" t="str">
        <f t="shared" si="1"/>
        <v>SUDESTE</v>
      </c>
    </row>
    <row r="2965" ht="14.25" customHeight="1">
      <c r="G2965" s="174" t="s">
        <v>4586</v>
      </c>
      <c r="H2965" s="174" t="s">
        <v>1702</v>
      </c>
      <c r="I2965" s="174" t="str">
        <f t="shared" si="1"/>
        <v>SUL</v>
      </c>
    </row>
    <row r="2966" ht="14.25" customHeight="1">
      <c r="G2966" s="174" t="s">
        <v>4587</v>
      </c>
      <c r="H2966" s="174" t="s">
        <v>1702</v>
      </c>
      <c r="I2966" s="174" t="str">
        <f t="shared" si="1"/>
        <v>SUL</v>
      </c>
    </row>
    <row r="2967" ht="14.25" customHeight="1">
      <c r="G2967" s="174" t="s">
        <v>4588</v>
      </c>
      <c r="H2967" s="174" t="s">
        <v>1750</v>
      </c>
      <c r="I2967" s="174" t="str">
        <f t="shared" si="1"/>
        <v>SUDESTE</v>
      </c>
    </row>
    <row r="2968" ht="14.25" customHeight="1">
      <c r="G2968" s="174" t="s">
        <v>4589</v>
      </c>
      <c r="H2968" s="174" t="s">
        <v>1666</v>
      </c>
      <c r="I2968" s="174" t="str">
        <f t="shared" si="1"/>
        <v>SUDESTE</v>
      </c>
    </row>
    <row r="2969" ht="14.25" customHeight="1">
      <c r="G2969" s="174" t="s">
        <v>4590</v>
      </c>
      <c r="H2969" s="174" t="s">
        <v>1702</v>
      </c>
      <c r="I2969" s="174" t="str">
        <f t="shared" si="1"/>
        <v>SUL</v>
      </c>
    </row>
    <row r="2970" ht="14.25" customHeight="1">
      <c r="G2970" s="174" t="s">
        <v>4591</v>
      </c>
      <c r="H2970" s="174" t="s">
        <v>1702</v>
      </c>
      <c r="I2970" s="174" t="str">
        <f t="shared" si="1"/>
        <v>SUL</v>
      </c>
    </row>
    <row r="2971" ht="14.25" customHeight="1">
      <c r="G2971" s="174" t="s">
        <v>4592</v>
      </c>
      <c r="H2971" s="174" t="s">
        <v>1666</v>
      </c>
      <c r="I2971" s="174" t="str">
        <f t="shared" si="1"/>
        <v>SUDESTE</v>
      </c>
    </row>
    <row r="2972" ht="14.25" customHeight="1">
      <c r="G2972" s="174" t="s">
        <v>4593</v>
      </c>
      <c r="H2972" s="174" t="s">
        <v>1687</v>
      </c>
      <c r="I2972" s="174" t="str">
        <f t="shared" si="1"/>
        <v>NORTE</v>
      </c>
    </row>
    <row r="2973" ht="14.25" customHeight="1">
      <c r="G2973" s="174" t="s">
        <v>4594</v>
      </c>
      <c r="H2973" s="174" t="s">
        <v>1719</v>
      </c>
      <c r="I2973" s="174" t="str">
        <f t="shared" si="1"/>
        <v>NORDESTE</v>
      </c>
    </row>
    <row r="2974" ht="14.25" customHeight="1">
      <c r="G2974" s="174" t="s">
        <v>4595</v>
      </c>
      <c r="H2974" s="174" t="s">
        <v>1666</v>
      </c>
      <c r="I2974" s="174" t="str">
        <f t="shared" si="1"/>
        <v>SUDESTE</v>
      </c>
    </row>
    <row r="2975" ht="14.25" customHeight="1">
      <c r="G2975" s="174" t="s">
        <v>4596</v>
      </c>
      <c r="H2975" s="174" t="s">
        <v>1702</v>
      </c>
      <c r="I2975" s="174" t="str">
        <f t="shared" si="1"/>
        <v>SUL</v>
      </c>
    </row>
    <row r="2976" ht="14.25" customHeight="1">
      <c r="G2976" s="174" t="s">
        <v>4597</v>
      </c>
      <c r="H2976" s="174" t="s">
        <v>1666</v>
      </c>
      <c r="I2976" s="174" t="str">
        <f t="shared" si="1"/>
        <v>SUDESTE</v>
      </c>
    </row>
    <row r="2977" ht="14.25" customHeight="1">
      <c r="G2977" s="174" t="s">
        <v>4598</v>
      </c>
      <c r="H2977" s="174" t="s">
        <v>1742</v>
      </c>
      <c r="I2977" s="174" t="str">
        <f t="shared" si="1"/>
        <v>SUL</v>
      </c>
    </row>
    <row r="2978" ht="14.25" customHeight="1">
      <c r="G2978" s="174" t="s">
        <v>4599</v>
      </c>
      <c r="H2978" s="174" t="s">
        <v>1702</v>
      </c>
      <c r="I2978" s="174" t="str">
        <f t="shared" si="1"/>
        <v>SUL</v>
      </c>
    </row>
    <row r="2979" ht="14.25" customHeight="1">
      <c r="G2979" s="174" t="s">
        <v>4600</v>
      </c>
      <c r="H2979" s="174" t="s">
        <v>1666</v>
      </c>
      <c r="I2979" s="174" t="str">
        <f t="shared" si="1"/>
        <v>SUDESTE</v>
      </c>
    </row>
    <row r="2980" ht="14.25" customHeight="1">
      <c r="G2980" s="174" t="s">
        <v>4601</v>
      </c>
      <c r="H2980" s="174" t="s">
        <v>1690</v>
      </c>
      <c r="I2980" s="174" t="str">
        <f t="shared" si="1"/>
        <v>NORDESTE</v>
      </c>
    </row>
    <row r="2981" ht="14.25" customHeight="1">
      <c r="G2981" s="174" t="s">
        <v>4602</v>
      </c>
      <c r="H2981" s="174" t="s">
        <v>1750</v>
      </c>
      <c r="I2981" s="174" t="str">
        <f t="shared" si="1"/>
        <v>SUDESTE</v>
      </c>
    </row>
    <row r="2982" ht="14.25" customHeight="1">
      <c r="G2982" s="174" t="s">
        <v>4603</v>
      </c>
      <c r="H2982" s="174" t="s">
        <v>1733</v>
      </c>
      <c r="I2982" s="174" t="str">
        <f t="shared" si="1"/>
        <v>NORDESTE</v>
      </c>
    </row>
    <row r="2983" ht="14.25" customHeight="1">
      <c r="G2983" s="174" t="s">
        <v>4604</v>
      </c>
      <c r="H2983" s="174" t="s">
        <v>1666</v>
      </c>
      <c r="I2983" s="174" t="str">
        <f t="shared" si="1"/>
        <v>SUDESTE</v>
      </c>
    </row>
    <row r="2984" ht="14.25" customHeight="1">
      <c r="G2984" s="174" t="s">
        <v>4605</v>
      </c>
      <c r="H2984" s="174" t="s">
        <v>1747</v>
      </c>
      <c r="I2984" s="174" t="str">
        <f t="shared" si="1"/>
        <v>NORDESTE</v>
      </c>
    </row>
    <row r="2985" ht="14.25" customHeight="1">
      <c r="G2985" s="174" t="s">
        <v>4606</v>
      </c>
      <c r="H2985" s="174" t="s">
        <v>1702</v>
      </c>
      <c r="I2985" s="174" t="str">
        <f t="shared" si="1"/>
        <v>SUL</v>
      </c>
    </row>
    <row r="2986" ht="14.25" customHeight="1">
      <c r="G2986" s="174" t="s">
        <v>4607</v>
      </c>
      <c r="H2986" s="174" t="s">
        <v>1658</v>
      </c>
      <c r="I2986" s="174" t="str">
        <f t="shared" si="1"/>
        <v>CENTRO OESTE</v>
      </c>
    </row>
    <row r="2987" ht="14.25" customHeight="1">
      <c r="G2987" s="174" t="s">
        <v>4608</v>
      </c>
      <c r="H2987" s="174" t="s">
        <v>1685</v>
      </c>
      <c r="I2987" s="174" t="str">
        <f t="shared" si="1"/>
        <v>NORDESTE</v>
      </c>
    </row>
    <row r="2988" ht="14.25" customHeight="1">
      <c r="G2988" s="174" t="s">
        <v>4609</v>
      </c>
      <c r="H2988" s="174" t="s">
        <v>1690</v>
      </c>
      <c r="I2988" s="174" t="str">
        <f t="shared" si="1"/>
        <v>NORDESTE</v>
      </c>
    </row>
    <row r="2989" ht="14.25" customHeight="1">
      <c r="G2989" s="174" t="s">
        <v>4610</v>
      </c>
      <c r="H2989" s="174" t="s">
        <v>1725</v>
      </c>
      <c r="I2989" s="174" t="str">
        <f t="shared" si="1"/>
        <v>NORDESTE</v>
      </c>
    </row>
    <row r="2990" ht="14.25" customHeight="1">
      <c r="G2990" s="174" t="s">
        <v>4611</v>
      </c>
      <c r="H2990" s="174" t="s">
        <v>1719</v>
      </c>
      <c r="I2990" s="174" t="str">
        <f t="shared" si="1"/>
        <v>NORDESTE</v>
      </c>
    </row>
    <row r="2991" ht="14.25" customHeight="1">
      <c r="G2991" s="174" t="s">
        <v>4611</v>
      </c>
      <c r="H2991" s="174" t="s">
        <v>1706</v>
      </c>
      <c r="I2991" s="174" t="str">
        <f t="shared" si="1"/>
        <v>SUL</v>
      </c>
    </row>
    <row r="2992" ht="14.25" customHeight="1">
      <c r="G2992" s="174" t="s">
        <v>4612</v>
      </c>
      <c r="H2992" s="174" t="s">
        <v>1742</v>
      </c>
      <c r="I2992" s="174" t="str">
        <f t="shared" si="1"/>
        <v>SUL</v>
      </c>
    </row>
    <row r="2993" ht="14.25" customHeight="1">
      <c r="G2993" s="174" t="s">
        <v>4613</v>
      </c>
      <c r="H2993" s="174" t="s">
        <v>1685</v>
      </c>
      <c r="I2993" s="174" t="str">
        <f t="shared" si="1"/>
        <v>NORDESTE</v>
      </c>
    </row>
    <row r="2994" ht="14.25" customHeight="1">
      <c r="G2994" s="174" t="s">
        <v>4614</v>
      </c>
      <c r="H2994" s="174" t="s">
        <v>1664</v>
      </c>
      <c r="I2994" s="174" t="str">
        <f t="shared" si="1"/>
        <v>NORDESTE</v>
      </c>
    </row>
    <row r="2995" ht="14.25" customHeight="1">
      <c r="G2995" s="174" t="s">
        <v>4615</v>
      </c>
      <c r="H2995" s="174" t="s">
        <v>1704</v>
      </c>
      <c r="I2995" s="174" t="str">
        <f t="shared" si="1"/>
        <v>NORDESTE</v>
      </c>
    </row>
    <row r="2996" ht="14.25" customHeight="1">
      <c r="G2996" s="174" t="s">
        <v>4616</v>
      </c>
      <c r="H2996" s="174" t="s">
        <v>1666</v>
      </c>
      <c r="I2996" s="174" t="str">
        <f t="shared" si="1"/>
        <v>SUDESTE</v>
      </c>
    </row>
    <row r="2997" ht="14.25" customHeight="1">
      <c r="G2997" s="174" t="s">
        <v>4617</v>
      </c>
      <c r="H2997" s="174" t="s">
        <v>1750</v>
      </c>
      <c r="I2997" s="174" t="str">
        <f t="shared" si="1"/>
        <v>SUDESTE</v>
      </c>
    </row>
    <row r="2998" ht="14.25" customHeight="1">
      <c r="G2998" s="174" t="s">
        <v>4618</v>
      </c>
      <c r="H2998" s="174" t="s">
        <v>1719</v>
      </c>
      <c r="I2998" s="174" t="str">
        <f t="shared" si="1"/>
        <v>NORDESTE</v>
      </c>
    </row>
    <row r="2999" ht="14.25" customHeight="1">
      <c r="G2999" s="174" t="s">
        <v>4619</v>
      </c>
      <c r="H2999" s="174" t="s">
        <v>1721</v>
      </c>
      <c r="I2999" s="174" t="str">
        <f t="shared" si="1"/>
        <v>NORTE</v>
      </c>
    </row>
    <row r="3000" ht="14.25" customHeight="1">
      <c r="G3000" s="174" t="s">
        <v>4620</v>
      </c>
      <c r="H3000" s="174" t="s">
        <v>1702</v>
      </c>
      <c r="I3000" s="174" t="str">
        <f t="shared" si="1"/>
        <v>SUL</v>
      </c>
    </row>
    <row r="3001" ht="14.25" customHeight="1">
      <c r="G3001" s="174" t="s">
        <v>4621</v>
      </c>
      <c r="H3001" s="174" t="s">
        <v>1666</v>
      </c>
      <c r="I3001" s="174" t="str">
        <f t="shared" si="1"/>
        <v>SUDESTE</v>
      </c>
    </row>
    <row r="3002" ht="14.25" customHeight="1">
      <c r="G3002" s="174" t="s">
        <v>4622</v>
      </c>
      <c r="H3002" s="174" t="s">
        <v>1666</v>
      </c>
      <c r="I3002" s="174" t="str">
        <f t="shared" si="1"/>
        <v>SUDESTE</v>
      </c>
    </row>
    <row r="3003" ht="14.25" customHeight="1">
      <c r="G3003" s="174" t="s">
        <v>4623</v>
      </c>
      <c r="H3003" s="174" t="s">
        <v>1666</v>
      </c>
      <c r="I3003" s="174" t="str">
        <f t="shared" si="1"/>
        <v>SUDESTE</v>
      </c>
    </row>
    <row r="3004" ht="14.25" customHeight="1">
      <c r="G3004" s="174" t="s">
        <v>4624</v>
      </c>
      <c r="H3004" s="174" t="s">
        <v>1666</v>
      </c>
      <c r="I3004" s="174" t="str">
        <f t="shared" si="1"/>
        <v>SUDESTE</v>
      </c>
    </row>
    <row r="3005" ht="14.25" customHeight="1">
      <c r="G3005" s="174" t="s">
        <v>4625</v>
      </c>
      <c r="H3005" s="174" t="s">
        <v>1666</v>
      </c>
      <c r="I3005" s="174" t="str">
        <f t="shared" si="1"/>
        <v>SUDESTE</v>
      </c>
    </row>
    <row r="3006" ht="14.25" customHeight="1">
      <c r="G3006" s="174" t="s">
        <v>4626</v>
      </c>
      <c r="H3006" s="174" t="s">
        <v>1725</v>
      </c>
      <c r="I3006" s="174" t="str">
        <f t="shared" si="1"/>
        <v>NORDESTE</v>
      </c>
    </row>
    <row r="3007" ht="14.25" customHeight="1">
      <c r="G3007" s="174" t="s">
        <v>4627</v>
      </c>
      <c r="H3007" s="174" t="s">
        <v>1685</v>
      </c>
      <c r="I3007" s="174" t="str">
        <f t="shared" si="1"/>
        <v>NORDESTE</v>
      </c>
    </row>
    <row r="3008" ht="14.25" customHeight="1">
      <c r="G3008" s="174" t="s">
        <v>4628</v>
      </c>
      <c r="H3008" s="174" t="s">
        <v>1704</v>
      </c>
      <c r="I3008" s="174" t="str">
        <f t="shared" si="1"/>
        <v>NORDESTE</v>
      </c>
    </row>
    <row r="3009" ht="14.25" customHeight="1">
      <c r="G3009" s="174" t="s">
        <v>4629</v>
      </c>
      <c r="H3009" s="174" t="s">
        <v>1719</v>
      </c>
      <c r="I3009" s="174" t="str">
        <f t="shared" si="1"/>
        <v>NORDESTE</v>
      </c>
    </row>
    <row r="3010" ht="14.25" customHeight="1">
      <c r="G3010" s="174" t="s">
        <v>4630</v>
      </c>
      <c r="H3010" s="174" t="s">
        <v>1702</v>
      </c>
      <c r="I3010" s="174" t="str">
        <f t="shared" si="1"/>
        <v>SUL</v>
      </c>
    </row>
    <row r="3011" ht="14.25" customHeight="1">
      <c r="G3011" s="174" t="s">
        <v>4631</v>
      </c>
      <c r="H3011" s="174" t="s">
        <v>1666</v>
      </c>
      <c r="I3011" s="174" t="str">
        <f t="shared" si="1"/>
        <v>SUDESTE</v>
      </c>
    </row>
    <row r="3012" ht="14.25" customHeight="1">
      <c r="G3012" s="174" t="s">
        <v>4632</v>
      </c>
      <c r="H3012" s="174" t="s">
        <v>1742</v>
      </c>
      <c r="I3012" s="174" t="str">
        <f t="shared" si="1"/>
        <v>SUL</v>
      </c>
    </row>
    <row r="3013" ht="14.25" customHeight="1">
      <c r="G3013" s="174" t="s">
        <v>4633</v>
      </c>
      <c r="H3013" s="174" t="s">
        <v>1719</v>
      </c>
      <c r="I3013" s="174" t="str">
        <f t="shared" si="1"/>
        <v>NORDESTE</v>
      </c>
    </row>
    <row r="3014" ht="14.25" customHeight="1">
      <c r="G3014" s="174" t="s">
        <v>4634</v>
      </c>
      <c r="H3014" s="174" t="s">
        <v>1742</v>
      </c>
      <c r="I3014" s="174" t="str">
        <f t="shared" si="1"/>
        <v>SUL</v>
      </c>
    </row>
    <row r="3015" ht="14.25" customHeight="1">
      <c r="G3015" s="174" t="s">
        <v>4635</v>
      </c>
      <c r="H3015" s="174" t="s">
        <v>1742</v>
      </c>
      <c r="I3015" s="174" t="str">
        <f t="shared" si="1"/>
        <v>SUL</v>
      </c>
    </row>
    <row r="3016" ht="14.25" customHeight="1">
      <c r="G3016" s="174" t="s">
        <v>4636</v>
      </c>
      <c r="H3016" s="174" t="s">
        <v>1702</v>
      </c>
      <c r="I3016" s="174" t="str">
        <f t="shared" si="1"/>
        <v>SUL</v>
      </c>
    </row>
    <row r="3017" ht="14.25" customHeight="1">
      <c r="G3017" s="174" t="s">
        <v>4637</v>
      </c>
      <c r="H3017" s="174" t="s">
        <v>1666</v>
      </c>
      <c r="I3017" s="174" t="str">
        <f t="shared" si="1"/>
        <v>SUDESTE</v>
      </c>
    </row>
    <row r="3018" ht="14.25" customHeight="1">
      <c r="G3018" s="174" t="s">
        <v>4638</v>
      </c>
      <c r="H3018" s="174" t="s">
        <v>1704</v>
      </c>
      <c r="I3018" s="174" t="str">
        <f t="shared" si="1"/>
        <v>NORDESTE</v>
      </c>
    </row>
    <row r="3019" ht="14.25" customHeight="1">
      <c r="G3019" s="174" t="s">
        <v>4639</v>
      </c>
      <c r="H3019" s="174" t="s">
        <v>1704</v>
      </c>
      <c r="I3019" s="174" t="str">
        <f t="shared" si="1"/>
        <v>NORDESTE</v>
      </c>
    </row>
    <row r="3020" ht="14.25" customHeight="1">
      <c r="G3020" s="174" t="s">
        <v>4640</v>
      </c>
      <c r="H3020" s="174" t="s">
        <v>1706</v>
      </c>
      <c r="I3020" s="174" t="str">
        <f t="shared" si="1"/>
        <v>SUL</v>
      </c>
    </row>
    <row r="3021" ht="14.25" customHeight="1">
      <c r="G3021" s="174" t="s">
        <v>4641</v>
      </c>
      <c r="H3021" s="174" t="s">
        <v>1666</v>
      </c>
      <c r="I3021" s="174" t="str">
        <f t="shared" si="1"/>
        <v>SUDESTE</v>
      </c>
    </row>
    <row r="3022" ht="14.25" customHeight="1">
      <c r="G3022" s="174" t="s">
        <v>4642</v>
      </c>
      <c r="H3022" s="174" t="s">
        <v>1658</v>
      </c>
      <c r="I3022" s="174" t="str">
        <f t="shared" si="1"/>
        <v>CENTRO OESTE</v>
      </c>
    </row>
    <row r="3023" ht="14.25" customHeight="1">
      <c r="G3023" s="174" t="s">
        <v>4643</v>
      </c>
      <c r="H3023" s="174" t="s">
        <v>1664</v>
      </c>
      <c r="I3023" s="174" t="str">
        <f t="shared" si="1"/>
        <v>NORDESTE</v>
      </c>
    </row>
    <row r="3024" ht="14.25" customHeight="1">
      <c r="G3024" s="174" t="s">
        <v>4644</v>
      </c>
      <c r="H3024" s="174" t="s">
        <v>1713</v>
      </c>
      <c r="I3024" s="174" t="str">
        <f t="shared" si="1"/>
        <v>CENTRO OESTE</v>
      </c>
    </row>
    <row r="3025" ht="14.25" customHeight="1">
      <c r="G3025" s="174" t="s">
        <v>4645</v>
      </c>
      <c r="H3025" s="174" t="s">
        <v>1719</v>
      </c>
      <c r="I3025" s="174" t="str">
        <f t="shared" si="1"/>
        <v>NORDESTE</v>
      </c>
    </row>
    <row r="3026" ht="14.25" customHeight="1">
      <c r="G3026" s="174" t="s">
        <v>4646</v>
      </c>
      <c r="H3026" s="174" t="s">
        <v>1666</v>
      </c>
      <c r="I3026" s="174" t="str">
        <f t="shared" si="1"/>
        <v>SUDESTE</v>
      </c>
    </row>
    <row r="3027" ht="14.25" customHeight="1">
      <c r="G3027" s="174" t="s">
        <v>4647</v>
      </c>
      <c r="H3027" s="174" t="s">
        <v>1750</v>
      </c>
      <c r="I3027" s="174" t="str">
        <f t="shared" si="1"/>
        <v>SUDESTE</v>
      </c>
    </row>
    <row r="3028" ht="14.25" customHeight="1">
      <c r="G3028" s="174" t="s">
        <v>4648</v>
      </c>
      <c r="H3028" s="174" t="s">
        <v>1702</v>
      </c>
      <c r="I3028" s="174" t="str">
        <f t="shared" si="1"/>
        <v>SUL</v>
      </c>
    </row>
    <row r="3029" ht="14.25" customHeight="1">
      <c r="G3029" s="174" t="s">
        <v>4649</v>
      </c>
      <c r="H3029" s="174" t="s">
        <v>1672</v>
      </c>
      <c r="I3029" s="174" t="str">
        <f t="shared" si="1"/>
        <v>NORTE</v>
      </c>
    </row>
    <row r="3030" ht="14.25" customHeight="1">
      <c r="G3030" s="174" t="s">
        <v>4650</v>
      </c>
      <c r="H3030" s="174" t="s">
        <v>1658</v>
      </c>
      <c r="I3030" s="174" t="str">
        <f t="shared" si="1"/>
        <v>CENTRO OESTE</v>
      </c>
    </row>
    <row r="3031" ht="14.25" customHeight="1">
      <c r="G3031" s="174" t="s">
        <v>4651</v>
      </c>
      <c r="H3031" s="174" t="s">
        <v>1721</v>
      </c>
      <c r="I3031" s="174" t="str">
        <f t="shared" si="1"/>
        <v>NORTE</v>
      </c>
    </row>
    <row r="3032" ht="14.25" customHeight="1">
      <c r="G3032" s="174" t="s">
        <v>4652</v>
      </c>
      <c r="H3032" s="174" t="s">
        <v>1690</v>
      </c>
      <c r="I3032" s="174" t="str">
        <f t="shared" si="1"/>
        <v>NORDESTE</v>
      </c>
    </row>
    <row r="3033" ht="14.25" customHeight="1">
      <c r="G3033" s="174" t="s">
        <v>4653</v>
      </c>
      <c r="H3033" s="174" t="s">
        <v>1733</v>
      </c>
      <c r="I3033" s="174" t="str">
        <f t="shared" si="1"/>
        <v>NORDESTE</v>
      </c>
    </row>
    <row r="3034" ht="14.25" customHeight="1">
      <c r="G3034" s="174" t="s">
        <v>4654</v>
      </c>
      <c r="H3034" s="174" t="s">
        <v>1742</v>
      </c>
      <c r="I3034" s="174" t="str">
        <f t="shared" si="1"/>
        <v>SUL</v>
      </c>
    </row>
    <row r="3035" ht="14.25" customHeight="1">
      <c r="G3035" s="174" t="s">
        <v>4655</v>
      </c>
      <c r="H3035" s="174" t="s">
        <v>1679</v>
      </c>
      <c r="I3035" s="174" t="str">
        <f t="shared" si="1"/>
        <v>NORTE</v>
      </c>
    </row>
    <row r="3036" ht="14.25" customHeight="1">
      <c r="G3036" s="174" t="s">
        <v>4656</v>
      </c>
      <c r="H3036" s="174" t="s">
        <v>1666</v>
      </c>
      <c r="I3036" s="174" t="str">
        <f t="shared" si="1"/>
        <v>SUDESTE</v>
      </c>
    </row>
    <row r="3037" ht="14.25" customHeight="1">
      <c r="G3037" s="174" t="s">
        <v>4657</v>
      </c>
      <c r="H3037" s="174" t="s">
        <v>1685</v>
      </c>
      <c r="I3037" s="174" t="str">
        <f t="shared" si="1"/>
        <v>NORDESTE</v>
      </c>
    </row>
    <row r="3038" ht="14.25" customHeight="1">
      <c r="G3038" s="174" t="s">
        <v>4658</v>
      </c>
      <c r="H3038" s="174" t="s">
        <v>1702</v>
      </c>
      <c r="I3038" s="174" t="str">
        <f t="shared" si="1"/>
        <v>SUL</v>
      </c>
    </row>
    <row r="3039" ht="14.25" customHeight="1">
      <c r="G3039" s="174" t="s">
        <v>4659</v>
      </c>
      <c r="H3039" s="174" t="s">
        <v>1687</v>
      </c>
      <c r="I3039" s="174" t="str">
        <f t="shared" si="1"/>
        <v>NORTE</v>
      </c>
    </row>
    <row r="3040" ht="14.25" customHeight="1">
      <c r="G3040" s="174" t="s">
        <v>4660</v>
      </c>
      <c r="H3040" s="174" t="s">
        <v>1666</v>
      </c>
      <c r="I3040" s="174" t="str">
        <f t="shared" si="1"/>
        <v>SUDESTE</v>
      </c>
    </row>
    <row r="3041" ht="14.25" customHeight="1">
      <c r="G3041" s="174" t="s">
        <v>4661</v>
      </c>
      <c r="H3041" s="174" t="s">
        <v>1706</v>
      </c>
      <c r="I3041" s="174" t="str">
        <f t="shared" si="1"/>
        <v>SUL</v>
      </c>
    </row>
    <row r="3042" ht="14.25" customHeight="1">
      <c r="G3042" s="174" t="s">
        <v>4662</v>
      </c>
      <c r="H3042" s="174" t="s">
        <v>1687</v>
      </c>
      <c r="I3042" s="174" t="str">
        <f t="shared" si="1"/>
        <v>NORTE</v>
      </c>
    </row>
    <row r="3043" ht="14.25" customHeight="1">
      <c r="G3043" s="174" t="s">
        <v>4663</v>
      </c>
      <c r="H3043" s="174" t="s">
        <v>1730</v>
      </c>
      <c r="I3043" s="174" t="str">
        <f t="shared" si="1"/>
        <v>SUDESTE</v>
      </c>
    </row>
    <row r="3044" ht="14.25" customHeight="1">
      <c r="G3044" s="174" t="s">
        <v>4664</v>
      </c>
      <c r="H3044" s="174" t="s">
        <v>1666</v>
      </c>
      <c r="I3044" s="174" t="str">
        <f t="shared" si="1"/>
        <v>SUDESTE</v>
      </c>
    </row>
    <row r="3045" ht="14.25" customHeight="1">
      <c r="G3045" s="174" t="s">
        <v>4665</v>
      </c>
      <c r="H3045" s="174" t="s">
        <v>1750</v>
      </c>
      <c r="I3045" s="174" t="str">
        <f t="shared" si="1"/>
        <v>SUDESTE</v>
      </c>
    </row>
    <row r="3046" ht="14.25" customHeight="1">
      <c r="G3046" s="174" t="s">
        <v>4666</v>
      </c>
      <c r="H3046" s="174" t="s">
        <v>1702</v>
      </c>
      <c r="I3046" s="174" t="str">
        <f t="shared" si="1"/>
        <v>SUL</v>
      </c>
    </row>
    <row r="3047" ht="14.25" customHeight="1">
      <c r="G3047" s="174" t="s">
        <v>4667</v>
      </c>
      <c r="H3047" s="174" t="s">
        <v>1666</v>
      </c>
      <c r="I3047" s="174" t="str">
        <f t="shared" si="1"/>
        <v>SUDESTE</v>
      </c>
    </row>
    <row r="3048" ht="14.25" customHeight="1">
      <c r="G3048" s="174" t="s">
        <v>4668</v>
      </c>
      <c r="H3048" s="174" t="s">
        <v>1750</v>
      </c>
      <c r="I3048" s="174" t="str">
        <f t="shared" si="1"/>
        <v>SUDESTE</v>
      </c>
    </row>
    <row r="3049" ht="14.25" customHeight="1">
      <c r="G3049" s="174" t="s">
        <v>4669</v>
      </c>
      <c r="H3049" s="174" t="s">
        <v>1690</v>
      </c>
      <c r="I3049" s="174" t="str">
        <f t="shared" si="1"/>
        <v>NORDESTE</v>
      </c>
    </row>
    <row r="3050" ht="14.25" customHeight="1">
      <c r="G3050" s="174" t="s">
        <v>4670</v>
      </c>
      <c r="H3050" s="174" t="s">
        <v>1750</v>
      </c>
      <c r="I3050" s="174" t="str">
        <f t="shared" si="1"/>
        <v>SUDESTE</v>
      </c>
    </row>
    <row r="3051" ht="14.25" customHeight="1">
      <c r="G3051" s="174" t="s">
        <v>4671</v>
      </c>
      <c r="H3051" s="174" t="s">
        <v>1666</v>
      </c>
      <c r="I3051" s="174" t="str">
        <f t="shared" si="1"/>
        <v>SUDESTE</v>
      </c>
    </row>
    <row r="3052" ht="14.25" customHeight="1">
      <c r="G3052" s="174" t="s">
        <v>4671</v>
      </c>
      <c r="H3052" s="174" t="s">
        <v>1730</v>
      </c>
      <c r="I3052" s="174" t="str">
        <f t="shared" si="1"/>
        <v>SUDESTE</v>
      </c>
    </row>
    <row r="3053" ht="14.25" customHeight="1">
      <c r="G3053" s="174" t="s">
        <v>4672</v>
      </c>
      <c r="H3053" s="174" t="s">
        <v>1664</v>
      </c>
      <c r="I3053" s="174" t="str">
        <f t="shared" si="1"/>
        <v>NORDESTE</v>
      </c>
    </row>
    <row r="3054" ht="14.25" customHeight="1">
      <c r="G3054" s="174" t="s">
        <v>4673</v>
      </c>
      <c r="H3054" s="174" t="s">
        <v>1733</v>
      </c>
      <c r="I3054" s="174" t="str">
        <f t="shared" si="1"/>
        <v>NORDESTE</v>
      </c>
    </row>
    <row r="3055" ht="14.25" customHeight="1">
      <c r="G3055" s="174" t="s">
        <v>4674</v>
      </c>
      <c r="H3055" s="174" t="s">
        <v>1725</v>
      </c>
      <c r="I3055" s="174" t="str">
        <f t="shared" si="1"/>
        <v>NORDESTE</v>
      </c>
    </row>
    <row r="3056" ht="14.25" customHeight="1">
      <c r="G3056" s="174" t="s">
        <v>4675</v>
      </c>
      <c r="H3056" s="174" t="s">
        <v>1685</v>
      </c>
      <c r="I3056" s="174" t="str">
        <f t="shared" si="1"/>
        <v>NORDESTE</v>
      </c>
    </row>
    <row r="3057" ht="14.25" customHeight="1">
      <c r="G3057" s="174" t="s">
        <v>4676</v>
      </c>
      <c r="H3057" s="174" t="s">
        <v>1725</v>
      </c>
      <c r="I3057" s="174" t="str">
        <f t="shared" si="1"/>
        <v>NORDESTE</v>
      </c>
    </row>
    <row r="3058" ht="14.25" customHeight="1">
      <c r="G3058" s="174" t="s">
        <v>4677</v>
      </c>
      <c r="H3058" s="174" t="s">
        <v>1730</v>
      </c>
      <c r="I3058" s="174" t="str">
        <f t="shared" si="1"/>
        <v>SUDESTE</v>
      </c>
    </row>
    <row r="3059" ht="14.25" customHeight="1">
      <c r="G3059" s="174" t="s">
        <v>4678</v>
      </c>
      <c r="H3059" s="174" t="s">
        <v>1750</v>
      </c>
      <c r="I3059" s="174" t="str">
        <f t="shared" si="1"/>
        <v>SUDESTE</v>
      </c>
    </row>
    <row r="3060" ht="14.25" customHeight="1">
      <c r="G3060" s="174" t="s">
        <v>4679</v>
      </c>
      <c r="H3060" s="174" t="s">
        <v>1690</v>
      </c>
      <c r="I3060" s="174" t="str">
        <f t="shared" si="1"/>
        <v>NORDESTE</v>
      </c>
    </row>
    <row r="3061" ht="14.25" customHeight="1">
      <c r="G3061" s="174" t="s">
        <v>4679</v>
      </c>
      <c r="H3061" s="174" t="s">
        <v>1685</v>
      </c>
      <c r="I3061" s="174" t="str">
        <f t="shared" si="1"/>
        <v>NORDESTE</v>
      </c>
    </row>
    <row r="3062" ht="14.25" customHeight="1">
      <c r="G3062" s="174" t="s">
        <v>4680</v>
      </c>
      <c r="H3062" s="174" t="s">
        <v>1704</v>
      </c>
      <c r="I3062" s="174" t="str">
        <f t="shared" si="1"/>
        <v>NORDESTE</v>
      </c>
    </row>
    <row r="3063" ht="14.25" customHeight="1">
      <c r="G3063" s="174" t="s">
        <v>4681</v>
      </c>
      <c r="H3063" s="174" t="s">
        <v>1690</v>
      </c>
      <c r="I3063" s="174" t="str">
        <f t="shared" si="1"/>
        <v>NORDESTE</v>
      </c>
    </row>
    <row r="3064" ht="14.25" customHeight="1">
      <c r="G3064" s="174" t="s">
        <v>4682</v>
      </c>
      <c r="H3064" s="174" t="s">
        <v>1725</v>
      </c>
      <c r="I3064" s="174" t="str">
        <f t="shared" si="1"/>
        <v>NORDESTE</v>
      </c>
    </row>
    <row r="3065" ht="14.25" customHeight="1">
      <c r="G3065" s="174" t="s">
        <v>4683</v>
      </c>
      <c r="H3065" s="174" t="s">
        <v>1658</v>
      </c>
      <c r="I3065" s="174" t="str">
        <f t="shared" si="1"/>
        <v>CENTRO OESTE</v>
      </c>
    </row>
    <row r="3066" ht="14.25" customHeight="1">
      <c r="G3066" s="174" t="s">
        <v>4684</v>
      </c>
      <c r="H3066" s="174" t="s">
        <v>1698</v>
      </c>
      <c r="I3066" s="174" t="str">
        <f t="shared" si="1"/>
        <v>SUDESTE</v>
      </c>
    </row>
    <row r="3067" ht="14.25" customHeight="1">
      <c r="G3067" s="174" t="s">
        <v>4685</v>
      </c>
      <c r="H3067" s="174" t="s">
        <v>1658</v>
      </c>
      <c r="I3067" s="174" t="str">
        <f t="shared" si="1"/>
        <v>CENTRO OESTE</v>
      </c>
    </row>
    <row r="3068" ht="14.25" customHeight="1">
      <c r="G3068" s="174" t="s">
        <v>4686</v>
      </c>
      <c r="H3068" s="174" t="s">
        <v>1664</v>
      </c>
      <c r="I3068" s="174" t="str">
        <f t="shared" si="1"/>
        <v>NORDESTE</v>
      </c>
    </row>
    <row r="3069" ht="14.25" customHeight="1">
      <c r="G3069" s="174" t="s">
        <v>4687</v>
      </c>
      <c r="H3069" s="174" t="s">
        <v>1742</v>
      </c>
      <c r="I3069" s="174" t="str">
        <f t="shared" si="1"/>
        <v>SUL</v>
      </c>
    </row>
    <row r="3070" ht="14.25" customHeight="1">
      <c r="G3070" s="174" t="s">
        <v>4688</v>
      </c>
      <c r="H3070" s="174" t="s">
        <v>1666</v>
      </c>
      <c r="I3070" s="174" t="str">
        <f t="shared" si="1"/>
        <v>SUDESTE</v>
      </c>
    </row>
    <row r="3071" ht="14.25" customHeight="1">
      <c r="G3071" s="174" t="s">
        <v>4689</v>
      </c>
      <c r="H3071" s="174" t="s">
        <v>1666</v>
      </c>
      <c r="I3071" s="174" t="str">
        <f t="shared" si="1"/>
        <v>SUDESTE</v>
      </c>
    </row>
    <row r="3072" ht="14.25" customHeight="1">
      <c r="G3072" s="174" t="s">
        <v>4690</v>
      </c>
      <c r="H3072" s="174" t="s">
        <v>1658</v>
      </c>
      <c r="I3072" s="174" t="str">
        <f t="shared" si="1"/>
        <v>CENTRO OESTE</v>
      </c>
    </row>
    <row r="3073" ht="14.25" customHeight="1">
      <c r="G3073" s="174" t="s">
        <v>4691</v>
      </c>
      <c r="H3073" s="174" t="s">
        <v>1750</v>
      </c>
      <c r="I3073" s="174" t="str">
        <f t="shared" si="1"/>
        <v>SUDESTE</v>
      </c>
    </row>
    <row r="3074" ht="14.25" customHeight="1">
      <c r="G3074" s="174" t="s">
        <v>4692</v>
      </c>
      <c r="H3074" s="174" t="s">
        <v>1736</v>
      </c>
      <c r="I3074" s="174" t="str">
        <f t="shared" si="1"/>
        <v>NORTE</v>
      </c>
    </row>
    <row r="3075" ht="14.25" customHeight="1">
      <c r="G3075" s="174" t="s">
        <v>4693</v>
      </c>
      <c r="H3075" s="174" t="s">
        <v>1750</v>
      </c>
      <c r="I3075" s="174" t="str">
        <f t="shared" si="1"/>
        <v>SUDESTE</v>
      </c>
    </row>
    <row r="3076" ht="14.25" customHeight="1">
      <c r="G3076" s="174" t="s">
        <v>4694</v>
      </c>
      <c r="H3076" s="174" t="s">
        <v>1666</v>
      </c>
      <c r="I3076" s="174" t="str">
        <f t="shared" si="1"/>
        <v>SUDESTE</v>
      </c>
    </row>
    <row r="3077" ht="14.25" customHeight="1">
      <c r="G3077" s="174" t="s">
        <v>4695</v>
      </c>
      <c r="H3077" s="174" t="s">
        <v>1750</v>
      </c>
      <c r="I3077" s="174" t="str">
        <f t="shared" si="1"/>
        <v>SUDESTE</v>
      </c>
    </row>
    <row r="3078" ht="14.25" customHeight="1">
      <c r="G3078" s="174" t="s">
        <v>4696</v>
      </c>
      <c r="H3078" s="174" t="s">
        <v>1730</v>
      </c>
      <c r="I3078" s="174" t="str">
        <f t="shared" si="1"/>
        <v>SUDESTE</v>
      </c>
    </row>
    <row r="3079" ht="14.25" customHeight="1">
      <c r="G3079" s="174" t="s">
        <v>4697</v>
      </c>
      <c r="H3079" s="174" t="s">
        <v>1721</v>
      </c>
      <c r="I3079" s="174" t="str">
        <f t="shared" si="1"/>
        <v>NORTE</v>
      </c>
    </row>
    <row r="3080" ht="14.25" customHeight="1">
      <c r="G3080" s="174" t="s">
        <v>4698</v>
      </c>
      <c r="H3080" s="174" t="s">
        <v>1704</v>
      </c>
      <c r="I3080" s="174" t="str">
        <f t="shared" si="1"/>
        <v>NORDESTE</v>
      </c>
    </row>
    <row r="3081" ht="14.25" customHeight="1">
      <c r="G3081" s="174" t="s">
        <v>4698</v>
      </c>
      <c r="H3081" s="174" t="s">
        <v>1702</v>
      </c>
      <c r="I3081" s="174" t="str">
        <f t="shared" si="1"/>
        <v>SUL</v>
      </c>
    </row>
    <row r="3082" ht="14.25" customHeight="1">
      <c r="G3082" s="174" t="s">
        <v>4699</v>
      </c>
      <c r="H3082" s="174" t="s">
        <v>1666</v>
      </c>
      <c r="I3082" s="174" t="str">
        <f t="shared" si="1"/>
        <v>SUDESTE</v>
      </c>
    </row>
    <row r="3083" ht="14.25" customHeight="1">
      <c r="G3083" s="174" t="s">
        <v>4700</v>
      </c>
      <c r="H3083" s="174" t="s">
        <v>1742</v>
      </c>
      <c r="I3083" s="174" t="str">
        <f t="shared" si="1"/>
        <v>SUL</v>
      </c>
    </row>
    <row r="3084" ht="14.25" customHeight="1">
      <c r="G3084" s="174" t="s">
        <v>4701</v>
      </c>
      <c r="H3084" s="174" t="s">
        <v>1666</v>
      </c>
      <c r="I3084" s="174" t="str">
        <f t="shared" si="1"/>
        <v>SUDESTE</v>
      </c>
    </row>
    <row r="3085" ht="14.25" customHeight="1">
      <c r="G3085" s="174" t="s">
        <v>4702</v>
      </c>
      <c r="H3085" s="174" t="s">
        <v>1690</v>
      </c>
      <c r="I3085" s="174" t="str">
        <f t="shared" si="1"/>
        <v>NORDESTE</v>
      </c>
    </row>
    <row r="3086" ht="14.25" customHeight="1">
      <c r="G3086" s="174" t="s">
        <v>4703</v>
      </c>
      <c r="H3086" s="174" t="s">
        <v>1710</v>
      </c>
      <c r="I3086" s="174" t="str">
        <f t="shared" si="1"/>
        <v>CENTRO OESTE</v>
      </c>
    </row>
    <row r="3087" ht="14.25" customHeight="1">
      <c r="G3087" s="174" t="s">
        <v>4704</v>
      </c>
      <c r="H3087" s="174" t="s">
        <v>1704</v>
      </c>
      <c r="I3087" s="174" t="str">
        <f t="shared" si="1"/>
        <v>NORDESTE</v>
      </c>
    </row>
    <row r="3088" ht="14.25" customHeight="1">
      <c r="G3088" s="174" t="s">
        <v>4705</v>
      </c>
      <c r="H3088" s="174" t="s">
        <v>1717</v>
      </c>
      <c r="I3088" s="174" t="str">
        <f t="shared" si="1"/>
        <v>NORDESTE</v>
      </c>
    </row>
    <row r="3089" ht="14.25" customHeight="1">
      <c r="G3089" s="174" t="s">
        <v>4706</v>
      </c>
      <c r="H3089" s="174" t="s">
        <v>1750</v>
      </c>
      <c r="I3089" s="174" t="str">
        <f t="shared" si="1"/>
        <v>SUDESTE</v>
      </c>
    </row>
    <row r="3090" ht="14.25" customHeight="1">
      <c r="G3090" s="174" t="s">
        <v>4707</v>
      </c>
      <c r="H3090" s="174" t="s">
        <v>1685</v>
      </c>
      <c r="I3090" s="174" t="str">
        <f t="shared" si="1"/>
        <v>NORDESTE</v>
      </c>
    </row>
    <row r="3091" ht="14.25" customHeight="1">
      <c r="G3091" s="174" t="s">
        <v>4708</v>
      </c>
      <c r="H3091" s="174" t="s">
        <v>1721</v>
      </c>
      <c r="I3091" s="174" t="str">
        <f t="shared" si="1"/>
        <v>NORTE</v>
      </c>
    </row>
    <row r="3092" ht="14.25" customHeight="1">
      <c r="G3092" s="174" t="s">
        <v>4709</v>
      </c>
      <c r="H3092" s="174" t="s">
        <v>1685</v>
      </c>
      <c r="I3092" s="174" t="str">
        <f t="shared" si="1"/>
        <v>NORDESTE</v>
      </c>
    </row>
    <row r="3093" ht="14.25" customHeight="1">
      <c r="G3093" s="174" t="s">
        <v>4710</v>
      </c>
      <c r="H3093" s="174" t="s">
        <v>1736</v>
      </c>
      <c r="I3093" s="174" t="str">
        <f t="shared" si="1"/>
        <v>NORTE</v>
      </c>
    </row>
    <row r="3094" ht="14.25" customHeight="1">
      <c r="G3094" s="174" t="s">
        <v>4711</v>
      </c>
      <c r="H3094" s="174" t="s">
        <v>1750</v>
      </c>
      <c r="I3094" s="174" t="str">
        <f t="shared" si="1"/>
        <v>SUDESTE</v>
      </c>
    </row>
    <row r="3095" ht="14.25" customHeight="1">
      <c r="G3095" s="174" t="s">
        <v>4712</v>
      </c>
      <c r="H3095" s="174" t="s">
        <v>1702</v>
      </c>
      <c r="I3095" s="174" t="str">
        <f t="shared" si="1"/>
        <v>SUL</v>
      </c>
    </row>
    <row r="3096" ht="14.25" customHeight="1">
      <c r="G3096" s="174" t="s">
        <v>4713</v>
      </c>
      <c r="H3096" s="174" t="s">
        <v>1750</v>
      </c>
      <c r="I3096" s="174" t="str">
        <f t="shared" si="1"/>
        <v>SUDESTE</v>
      </c>
    </row>
    <row r="3097" ht="14.25" customHeight="1">
      <c r="G3097" s="174" t="s">
        <v>4714</v>
      </c>
      <c r="H3097" s="174" t="s">
        <v>1713</v>
      </c>
      <c r="I3097" s="174" t="str">
        <f t="shared" si="1"/>
        <v>CENTRO OESTE</v>
      </c>
    </row>
    <row r="3098" ht="14.25" customHeight="1">
      <c r="G3098" s="174" t="s">
        <v>4715</v>
      </c>
      <c r="H3098" s="174" t="s">
        <v>1750</v>
      </c>
      <c r="I3098" s="174" t="str">
        <f t="shared" si="1"/>
        <v>SUDESTE</v>
      </c>
    </row>
    <row r="3099" ht="14.25" customHeight="1">
      <c r="G3099" s="174" t="s">
        <v>4716</v>
      </c>
      <c r="H3099" s="174" t="s">
        <v>1666</v>
      </c>
      <c r="I3099" s="174" t="str">
        <f t="shared" si="1"/>
        <v>SUDESTE</v>
      </c>
    </row>
    <row r="3100" ht="14.25" customHeight="1">
      <c r="G3100" s="174" t="s">
        <v>4717</v>
      </c>
      <c r="H3100" s="174" t="s">
        <v>1706</v>
      </c>
      <c r="I3100" s="174" t="str">
        <f t="shared" si="1"/>
        <v>SUL</v>
      </c>
    </row>
    <row r="3101" ht="14.25" customHeight="1">
      <c r="G3101" s="174" t="s">
        <v>4718</v>
      </c>
      <c r="H3101" s="174" t="s">
        <v>1704</v>
      </c>
      <c r="I3101" s="174" t="str">
        <f t="shared" si="1"/>
        <v>NORDESTE</v>
      </c>
    </row>
    <row r="3102" ht="14.25" customHeight="1">
      <c r="G3102" s="174" t="s">
        <v>4719</v>
      </c>
      <c r="H3102" s="174" t="s">
        <v>1702</v>
      </c>
      <c r="I3102" s="174" t="str">
        <f t="shared" si="1"/>
        <v>SUL</v>
      </c>
    </row>
    <row r="3103" ht="14.25" customHeight="1">
      <c r="G3103" s="174" t="s">
        <v>4720</v>
      </c>
      <c r="H3103" s="174" t="s">
        <v>1690</v>
      </c>
      <c r="I3103" s="174" t="str">
        <f t="shared" si="1"/>
        <v>NORDESTE</v>
      </c>
    </row>
    <row r="3104" ht="14.25" customHeight="1">
      <c r="G3104" s="174" t="s">
        <v>4721</v>
      </c>
      <c r="H3104" s="174" t="s">
        <v>1687</v>
      </c>
      <c r="I3104" s="174" t="str">
        <f t="shared" si="1"/>
        <v>NORTE</v>
      </c>
    </row>
    <row r="3105" ht="14.25" customHeight="1">
      <c r="G3105" s="174" t="s">
        <v>4722</v>
      </c>
      <c r="H3105" s="174" t="s">
        <v>1750</v>
      </c>
      <c r="I3105" s="174" t="str">
        <f t="shared" si="1"/>
        <v>SUDESTE</v>
      </c>
    </row>
    <row r="3106" ht="14.25" customHeight="1">
      <c r="G3106" s="174" t="s">
        <v>4723</v>
      </c>
      <c r="H3106" s="174" t="s">
        <v>1706</v>
      </c>
      <c r="I3106" s="174" t="str">
        <f t="shared" si="1"/>
        <v>SUL</v>
      </c>
    </row>
    <row r="3107" ht="14.25" customHeight="1">
      <c r="G3107" s="174" t="s">
        <v>4724</v>
      </c>
      <c r="H3107" s="174" t="s">
        <v>1666</v>
      </c>
      <c r="I3107" s="174" t="str">
        <f t="shared" si="1"/>
        <v>SUDESTE</v>
      </c>
    </row>
    <row r="3108" ht="14.25" customHeight="1">
      <c r="G3108" s="174" t="s">
        <v>4725</v>
      </c>
      <c r="H3108" s="174" t="s">
        <v>1666</v>
      </c>
      <c r="I3108" s="174" t="str">
        <f t="shared" si="1"/>
        <v>SUDESTE</v>
      </c>
    </row>
    <row r="3109" ht="14.25" customHeight="1">
      <c r="G3109" s="174" t="s">
        <v>4726</v>
      </c>
      <c r="H3109" s="174" t="s">
        <v>1719</v>
      </c>
      <c r="I3109" s="174" t="str">
        <f t="shared" si="1"/>
        <v>NORDESTE</v>
      </c>
    </row>
    <row r="3110" ht="14.25" customHeight="1">
      <c r="G3110" s="174" t="s">
        <v>4727</v>
      </c>
      <c r="H3110" s="174" t="s">
        <v>1750</v>
      </c>
      <c r="I3110" s="174" t="str">
        <f t="shared" si="1"/>
        <v>SUDESTE</v>
      </c>
    </row>
    <row r="3111" ht="14.25" customHeight="1">
      <c r="G3111" s="174" t="s">
        <v>4728</v>
      </c>
      <c r="H3111" s="174" t="s">
        <v>1658</v>
      </c>
      <c r="I3111" s="174" t="str">
        <f t="shared" si="1"/>
        <v>CENTRO OESTE</v>
      </c>
    </row>
    <row r="3112" ht="14.25" customHeight="1">
      <c r="G3112" s="174" t="s">
        <v>4729</v>
      </c>
      <c r="H3112" s="174" t="s">
        <v>1747</v>
      </c>
      <c r="I3112" s="174" t="str">
        <f t="shared" si="1"/>
        <v>NORDESTE</v>
      </c>
    </row>
    <row r="3113" ht="14.25" customHeight="1">
      <c r="G3113" s="174" t="s">
        <v>4730</v>
      </c>
      <c r="H3113" s="174" t="s">
        <v>1750</v>
      </c>
      <c r="I3113" s="174" t="str">
        <f t="shared" si="1"/>
        <v>SUDESTE</v>
      </c>
    </row>
    <row r="3114" ht="14.25" customHeight="1">
      <c r="G3114" s="174" t="s">
        <v>4731</v>
      </c>
      <c r="H3114" s="174" t="s">
        <v>1750</v>
      </c>
      <c r="I3114" s="174" t="str">
        <f t="shared" si="1"/>
        <v>SUDESTE</v>
      </c>
    </row>
    <row r="3115" ht="14.25" customHeight="1">
      <c r="G3115" s="174" t="s">
        <v>4732</v>
      </c>
      <c r="H3115" s="174" t="s">
        <v>1687</v>
      </c>
      <c r="I3115" s="174" t="str">
        <f t="shared" si="1"/>
        <v>NORTE</v>
      </c>
    </row>
    <row r="3116" ht="14.25" customHeight="1">
      <c r="G3116" s="174" t="s">
        <v>4733</v>
      </c>
      <c r="H3116" s="174" t="s">
        <v>1687</v>
      </c>
      <c r="I3116" s="174" t="str">
        <f t="shared" si="1"/>
        <v>NORTE</v>
      </c>
    </row>
    <row r="3117" ht="14.25" customHeight="1">
      <c r="G3117" s="174" t="s">
        <v>4734</v>
      </c>
      <c r="H3117" s="174" t="s">
        <v>1690</v>
      </c>
      <c r="I3117" s="174" t="str">
        <f t="shared" si="1"/>
        <v>NORDESTE</v>
      </c>
    </row>
    <row r="3118" ht="14.25" customHeight="1">
      <c r="G3118" s="174" t="s">
        <v>4735</v>
      </c>
      <c r="H3118" s="174" t="s">
        <v>1750</v>
      </c>
      <c r="I3118" s="174" t="str">
        <f t="shared" si="1"/>
        <v>SUDESTE</v>
      </c>
    </row>
    <row r="3119" ht="14.25" customHeight="1">
      <c r="G3119" s="174" t="s">
        <v>4736</v>
      </c>
      <c r="H3119" s="174" t="s">
        <v>1704</v>
      </c>
      <c r="I3119" s="174" t="str">
        <f t="shared" si="1"/>
        <v>NORDESTE</v>
      </c>
    </row>
    <row r="3120" ht="14.25" customHeight="1">
      <c r="G3120" s="174" t="s">
        <v>4737</v>
      </c>
      <c r="H3120" s="174" t="s">
        <v>1750</v>
      </c>
      <c r="I3120" s="174" t="str">
        <f t="shared" si="1"/>
        <v>SUDESTE</v>
      </c>
    </row>
    <row r="3121" ht="14.25" customHeight="1">
      <c r="G3121" s="174" t="s">
        <v>4738</v>
      </c>
      <c r="H3121" s="174" t="s">
        <v>1706</v>
      </c>
      <c r="I3121" s="174" t="str">
        <f t="shared" si="1"/>
        <v>SUL</v>
      </c>
    </row>
    <row r="3122" ht="14.25" customHeight="1">
      <c r="G3122" s="174" t="s">
        <v>4739</v>
      </c>
      <c r="H3122" s="174" t="s">
        <v>1750</v>
      </c>
      <c r="I3122" s="174" t="str">
        <f t="shared" si="1"/>
        <v>SUDESTE</v>
      </c>
    </row>
    <row r="3123" ht="14.25" customHeight="1">
      <c r="G3123" s="174" t="s">
        <v>4740</v>
      </c>
      <c r="H3123" s="174" t="s">
        <v>1666</v>
      </c>
      <c r="I3123" s="174" t="str">
        <f t="shared" si="1"/>
        <v>SUDESTE</v>
      </c>
    </row>
    <row r="3124" ht="14.25" customHeight="1">
      <c r="G3124" s="174" t="s">
        <v>4741</v>
      </c>
      <c r="H3124" s="174" t="s">
        <v>1725</v>
      </c>
      <c r="I3124" s="174" t="str">
        <f t="shared" si="1"/>
        <v>NORDESTE</v>
      </c>
    </row>
    <row r="3125" ht="14.25" customHeight="1">
      <c r="G3125" s="174" t="s">
        <v>4742</v>
      </c>
      <c r="H3125" s="174" t="s">
        <v>1725</v>
      </c>
      <c r="I3125" s="174" t="str">
        <f t="shared" si="1"/>
        <v>NORDESTE</v>
      </c>
    </row>
    <row r="3126" ht="14.25" customHeight="1">
      <c r="G3126" s="174" t="s">
        <v>4743</v>
      </c>
      <c r="H3126" s="174" t="s">
        <v>1666</v>
      </c>
      <c r="I3126" s="174" t="str">
        <f t="shared" si="1"/>
        <v>SUDESTE</v>
      </c>
    </row>
    <row r="3127" ht="14.25" customHeight="1">
      <c r="G3127" s="174" t="s">
        <v>4744</v>
      </c>
      <c r="H3127" s="174" t="s">
        <v>1690</v>
      </c>
      <c r="I3127" s="174" t="str">
        <f t="shared" si="1"/>
        <v>NORDESTE</v>
      </c>
    </row>
    <row r="3128" ht="14.25" customHeight="1">
      <c r="G3128" s="174" t="s">
        <v>4745</v>
      </c>
      <c r="H3128" s="174" t="s">
        <v>1719</v>
      </c>
      <c r="I3128" s="174" t="str">
        <f t="shared" si="1"/>
        <v>NORDESTE</v>
      </c>
    </row>
    <row r="3129" ht="14.25" customHeight="1">
      <c r="G3129" s="174" t="s">
        <v>4746</v>
      </c>
      <c r="H3129" s="174" t="s">
        <v>1666</v>
      </c>
      <c r="I3129" s="174" t="str">
        <f t="shared" si="1"/>
        <v>SUDESTE</v>
      </c>
    </row>
    <row r="3130" ht="14.25" customHeight="1">
      <c r="G3130" s="174" t="s">
        <v>4747</v>
      </c>
      <c r="H3130" s="174" t="s">
        <v>1698</v>
      </c>
      <c r="I3130" s="174" t="str">
        <f t="shared" si="1"/>
        <v>SUDESTE</v>
      </c>
    </row>
    <row r="3131" ht="14.25" customHeight="1">
      <c r="G3131" s="174" t="s">
        <v>4748</v>
      </c>
      <c r="H3131" s="174" t="s">
        <v>1733</v>
      </c>
      <c r="I3131" s="174" t="str">
        <f t="shared" si="1"/>
        <v>NORDESTE</v>
      </c>
    </row>
    <row r="3132" ht="14.25" customHeight="1">
      <c r="G3132" s="174" t="s">
        <v>4749</v>
      </c>
      <c r="H3132" s="174" t="s">
        <v>1742</v>
      </c>
      <c r="I3132" s="174" t="str">
        <f t="shared" si="1"/>
        <v>SUL</v>
      </c>
    </row>
    <row r="3133" ht="14.25" customHeight="1">
      <c r="G3133" s="174" t="s">
        <v>4750</v>
      </c>
      <c r="H3133" s="174" t="s">
        <v>1687</v>
      </c>
      <c r="I3133" s="174" t="str">
        <f t="shared" si="1"/>
        <v>NORTE</v>
      </c>
    </row>
    <row r="3134" ht="14.25" customHeight="1">
      <c r="G3134" s="174" t="s">
        <v>4750</v>
      </c>
      <c r="H3134" s="174" t="s">
        <v>1733</v>
      </c>
      <c r="I3134" s="174" t="str">
        <f t="shared" si="1"/>
        <v>NORDESTE</v>
      </c>
    </row>
    <row r="3135" ht="14.25" customHeight="1">
      <c r="G3135" s="174" t="s">
        <v>4751</v>
      </c>
      <c r="H3135" s="174" t="s">
        <v>1658</v>
      </c>
      <c r="I3135" s="174" t="str">
        <f t="shared" si="1"/>
        <v>CENTRO OESTE</v>
      </c>
    </row>
    <row r="3136" ht="14.25" customHeight="1">
      <c r="G3136" s="174" t="s">
        <v>4752</v>
      </c>
      <c r="H3136" s="174" t="s">
        <v>1666</v>
      </c>
      <c r="I3136" s="174" t="str">
        <f t="shared" si="1"/>
        <v>SUDESTE</v>
      </c>
    </row>
    <row r="3137" ht="14.25" customHeight="1">
      <c r="G3137" s="174" t="s">
        <v>4753</v>
      </c>
      <c r="H3137" s="174" t="s">
        <v>1747</v>
      </c>
      <c r="I3137" s="174" t="str">
        <f t="shared" si="1"/>
        <v>NORDESTE</v>
      </c>
    </row>
    <row r="3138" ht="14.25" customHeight="1">
      <c r="G3138" s="174" t="s">
        <v>4754</v>
      </c>
      <c r="H3138" s="174" t="s">
        <v>1725</v>
      </c>
      <c r="I3138" s="174" t="str">
        <f t="shared" si="1"/>
        <v>NORDESTE</v>
      </c>
    </row>
    <row r="3139" ht="14.25" customHeight="1">
      <c r="G3139" s="174" t="s">
        <v>4755</v>
      </c>
      <c r="H3139" s="174" t="s">
        <v>1750</v>
      </c>
      <c r="I3139" s="174" t="str">
        <f t="shared" si="1"/>
        <v>SUDESTE</v>
      </c>
    </row>
    <row r="3140" ht="14.25" customHeight="1">
      <c r="G3140" s="174" t="s">
        <v>4756</v>
      </c>
      <c r="H3140" s="174" t="s">
        <v>1742</v>
      </c>
      <c r="I3140" s="174" t="str">
        <f t="shared" si="1"/>
        <v>SUL</v>
      </c>
    </row>
    <row r="3141" ht="14.25" customHeight="1">
      <c r="G3141" s="174" t="s">
        <v>4757</v>
      </c>
      <c r="H3141" s="174" t="s">
        <v>1750</v>
      </c>
      <c r="I3141" s="174" t="str">
        <f t="shared" si="1"/>
        <v>SUDESTE</v>
      </c>
    </row>
    <row r="3142" ht="14.25" customHeight="1">
      <c r="G3142" s="174" t="s">
        <v>4758</v>
      </c>
      <c r="H3142" s="174" t="s">
        <v>1750</v>
      </c>
      <c r="I3142" s="174" t="str">
        <f t="shared" si="1"/>
        <v>SUDESTE</v>
      </c>
    </row>
    <row r="3143" ht="14.25" customHeight="1">
      <c r="G3143" s="174" t="s">
        <v>4759</v>
      </c>
      <c r="H3143" s="174" t="s">
        <v>1666</v>
      </c>
      <c r="I3143" s="174" t="str">
        <f t="shared" si="1"/>
        <v>SUDESTE</v>
      </c>
    </row>
    <row r="3144" ht="14.25" customHeight="1">
      <c r="G3144" s="174" t="s">
        <v>4760</v>
      </c>
      <c r="H3144" s="174" t="s">
        <v>1750</v>
      </c>
      <c r="I3144" s="174" t="str">
        <f t="shared" si="1"/>
        <v>SUDESTE</v>
      </c>
    </row>
    <row r="3145" ht="14.25" customHeight="1">
      <c r="G3145" s="174" t="s">
        <v>4761</v>
      </c>
      <c r="H3145" s="174" t="s">
        <v>1666</v>
      </c>
      <c r="I3145" s="174" t="str">
        <f t="shared" si="1"/>
        <v>SUDESTE</v>
      </c>
    </row>
    <row r="3146" ht="14.25" customHeight="1">
      <c r="G3146" s="174" t="s">
        <v>4762</v>
      </c>
      <c r="H3146" s="174" t="s">
        <v>1742</v>
      </c>
      <c r="I3146" s="174" t="str">
        <f t="shared" si="1"/>
        <v>SUL</v>
      </c>
    </row>
    <row r="3147" ht="14.25" customHeight="1">
      <c r="G3147" s="174" t="s">
        <v>4763</v>
      </c>
      <c r="H3147" s="174" t="s">
        <v>1706</v>
      </c>
      <c r="I3147" s="174" t="str">
        <f t="shared" si="1"/>
        <v>SUL</v>
      </c>
    </row>
    <row r="3148" ht="14.25" customHeight="1">
      <c r="G3148" s="174" t="s">
        <v>4764</v>
      </c>
      <c r="H3148" s="174" t="s">
        <v>1666</v>
      </c>
      <c r="I3148" s="174" t="str">
        <f t="shared" si="1"/>
        <v>SUDESTE</v>
      </c>
    </row>
    <row r="3149" ht="14.25" customHeight="1">
      <c r="G3149" s="174" t="s">
        <v>4765</v>
      </c>
      <c r="H3149" s="174" t="s">
        <v>1750</v>
      </c>
      <c r="I3149" s="174" t="str">
        <f t="shared" si="1"/>
        <v>SUDESTE</v>
      </c>
    </row>
    <row r="3150" ht="14.25" customHeight="1">
      <c r="G3150" s="174" t="s">
        <v>4765</v>
      </c>
      <c r="H3150" s="174" t="s">
        <v>1706</v>
      </c>
      <c r="I3150" s="174" t="str">
        <f t="shared" si="1"/>
        <v>SUL</v>
      </c>
    </row>
    <row r="3151" ht="14.25" customHeight="1">
      <c r="G3151" s="174" t="s">
        <v>4766</v>
      </c>
      <c r="H3151" s="174" t="s">
        <v>1733</v>
      </c>
      <c r="I3151" s="174" t="str">
        <f t="shared" si="1"/>
        <v>NORDESTE</v>
      </c>
    </row>
    <row r="3152" ht="14.25" customHeight="1">
      <c r="G3152" s="174" t="s">
        <v>4767</v>
      </c>
      <c r="H3152" s="174" t="s">
        <v>1721</v>
      </c>
      <c r="I3152" s="174" t="str">
        <f t="shared" si="1"/>
        <v>NORTE</v>
      </c>
    </row>
    <row r="3153" ht="14.25" customHeight="1">
      <c r="G3153" s="174" t="s">
        <v>4768</v>
      </c>
      <c r="H3153" s="174" t="s">
        <v>1666</v>
      </c>
      <c r="I3153" s="174" t="str">
        <f t="shared" si="1"/>
        <v>SUDESTE</v>
      </c>
    </row>
    <row r="3154" ht="14.25" customHeight="1">
      <c r="G3154" s="174" t="s">
        <v>4769</v>
      </c>
      <c r="H3154" s="174" t="s">
        <v>1719</v>
      </c>
      <c r="I3154" s="174" t="str">
        <f t="shared" si="1"/>
        <v>NORDESTE</v>
      </c>
    </row>
    <row r="3155" ht="14.25" customHeight="1">
      <c r="G3155" s="174" t="s">
        <v>4770</v>
      </c>
      <c r="H3155" s="174" t="s">
        <v>1750</v>
      </c>
      <c r="I3155" s="174" t="str">
        <f t="shared" si="1"/>
        <v>SUDESTE</v>
      </c>
    </row>
    <row r="3156" ht="14.25" customHeight="1">
      <c r="G3156" s="174" t="s">
        <v>4771</v>
      </c>
      <c r="H3156" s="174" t="s">
        <v>1736</v>
      </c>
      <c r="I3156" s="174" t="str">
        <f t="shared" si="1"/>
        <v>NORTE</v>
      </c>
    </row>
    <row r="3157" ht="14.25" customHeight="1">
      <c r="G3157" s="174" t="s">
        <v>4772</v>
      </c>
      <c r="H3157" s="174" t="s">
        <v>1685</v>
      </c>
      <c r="I3157" s="174" t="str">
        <f t="shared" si="1"/>
        <v>NORDESTE</v>
      </c>
    </row>
    <row r="3158" ht="14.25" customHeight="1">
      <c r="G3158" s="174" t="s">
        <v>4773</v>
      </c>
      <c r="H3158" s="174" t="s">
        <v>1666</v>
      </c>
      <c r="I3158" s="174" t="str">
        <f t="shared" si="1"/>
        <v>SUDESTE</v>
      </c>
    </row>
    <row r="3159" ht="14.25" customHeight="1">
      <c r="G3159" s="174" t="s">
        <v>4774</v>
      </c>
      <c r="H3159" s="174" t="s">
        <v>1721</v>
      </c>
      <c r="I3159" s="174" t="str">
        <f t="shared" si="1"/>
        <v>NORTE</v>
      </c>
    </row>
    <row r="3160" ht="14.25" customHeight="1">
      <c r="G3160" s="174" t="s">
        <v>4775</v>
      </c>
      <c r="H3160" s="174" t="s">
        <v>1666</v>
      </c>
      <c r="I3160" s="174" t="str">
        <f t="shared" si="1"/>
        <v>SUDESTE</v>
      </c>
    </row>
    <row r="3161" ht="14.25" customHeight="1">
      <c r="G3161" s="174" t="s">
        <v>4776</v>
      </c>
      <c r="H3161" s="174" t="s">
        <v>1719</v>
      </c>
      <c r="I3161" s="174" t="str">
        <f t="shared" si="1"/>
        <v>NORDESTE</v>
      </c>
    </row>
    <row r="3162" ht="14.25" customHeight="1">
      <c r="G3162" s="174" t="s">
        <v>4777</v>
      </c>
      <c r="H3162" s="174" t="s">
        <v>1750</v>
      </c>
      <c r="I3162" s="174" t="str">
        <f t="shared" si="1"/>
        <v>SUDESTE</v>
      </c>
    </row>
    <row r="3163" ht="14.25" customHeight="1">
      <c r="G3163" s="174" t="s">
        <v>4778</v>
      </c>
      <c r="H3163" s="174" t="s">
        <v>1664</v>
      </c>
      <c r="I3163" s="174" t="str">
        <f t="shared" si="1"/>
        <v>NORDESTE</v>
      </c>
    </row>
    <row r="3164" ht="14.25" customHeight="1">
      <c r="G3164" s="174" t="s">
        <v>4779</v>
      </c>
      <c r="H3164" s="174" t="s">
        <v>1742</v>
      </c>
      <c r="I3164" s="174" t="str">
        <f t="shared" si="1"/>
        <v>SUL</v>
      </c>
    </row>
    <row r="3165" ht="14.25" customHeight="1">
      <c r="G3165" s="174" t="s">
        <v>4780</v>
      </c>
      <c r="H3165" s="174" t="s">
        <v>1704</v>
      </c>
      <c r="I3165" s="174" t="str">
        <f t="shared" si="1"/>
        <v>NORDESTE</v>
      </c>
    </row>
    <row r="3166" ht="14.25" customHeight="1">
      <c r="G3166" s="174" t="s">
        <v>4781</v>
      </c>
      <c r="H3166" s="174" t="s">
        <v>1666</v>
      </c>
      <c r="I3166" s="174" t="str">
        <f t="shared" si="1"/>
        <v>SUDESTE</v>
      </c>
    </row>
    <row r="3167" ht="14.25" customHeight="1">
      <c r="G3167" s="174" t="s">
        <v>4782</v>
      </c>
      <c r="H3167" s="174" t="s">
        <v>1658</v>
      </c>
      <c r="I3167" s="174" t="str">
        <f t="shared" si="1"/>
        <v>CENTRO OESTE</v>
      </c>
    </row>
    <row r="3168" ht="14.25" customHeight="1">
      <c r="G3168" s="174" t="s">
        <v>4783</v>
      </c>
      <c r="H3168" s="174" t="s">
        <v>1666</v>
      </c>
      <c r="I3168" s="174" t="str">
        <f t="shared" si="1"/>
        <v>SUDESTE</v>
      </c>
    </row>
    <row r="3169" ht="14.25" customHeight="1">
      <c r="G3169" s="174" t="s">
        <v>4784</v>
      </c>
      <c r="H3169" s="174" t="s">
        <v>1658</v>
      </c>
      <c r="I3169" s="174" t="str">
        <f t="shared" si="1"/>
        <v>CENTRO OESTE</v>
      </c>
    </row>
    <row r="3170" ht="14.25" customHeight="1">
      <c r="G3170" s="174" t="s">
        <v>4785</v>
      </c>
      <c r="H3170" s="174" t="s">
        <v>1658</v>
      </c>
      <c r="I3170" s="174" t="str">
        <f t="shared" si="1"/>
        <v>CENTRO OESTE</v>
      </c>
    </row>
    <row r="3171" ht="14.25" customHeight="1">
      <c r="G3171" s="174" t="s">
        <v>4786</v>
      </c>
      <c r="H3171" s="174" t="s">
        <v>1690</v>
      </c>
      <c r="I3171" s="174" t="str">
        <f t="shared" si="1"/>
        <v>NORDESTE</v>
      </c>
    </row>
    <row r="3172" ht="14.25" customHeight="1">
      <c r="G3172" s="174" t="s">
        <v>4787</v>
      </c>
      <c r="H3172" s="174" t="s">
        <v>1666</v>
      </c>
      <c r="I3172" s="174" t="str">
        <f t="shared" si="1"/>
        <v>SUDESTE</v>
      </c>
    </row>
    <row r="3173" ht="14.25" customHeight="1">
      <c r="G3173" s="174" t="s">
        <v>4788</v>
      </c>
      <c r="H3173" s="174" t="s">
        <v>1690</v>
      </c>
      <c r="I3173" s="174" t="str">
        <f t="shared" si="1"/>
        <v>NORDESTE</v>
      </c>
    </row>
    <row r="3174" ht="14.25" customHeight="1">
      <c r="G3174" s="174" t="s">
        <v>4789</v>
      </c>
      <c r="H3174" s="174" t="s">
        <v>1717</v>
      </c>
      <c r="I3174" s="174" t="str">
        <f t="shared" si="1"/>
        <v>NORDESTE</v>
      </c>
    </row>
    <row r="3175" ht="14.25" customHeight="1">
      <c r="G3175" s="174" t="s">
        <v>4790</v>
      </c>
      <c r="H3175" s="174" t="s">
        <v>1702</v>
      </c>
      <c r="I3175" s="174" t="str">
        <f t="shared" si="1"/>
        <v>SUL</v>
      </c>
    </row>
    <row r="3176" ht="14.25" customHeight="1">
      <c r="G3176" s="174" t="s">
        <v>4791</v>
      </c>
      <c r="H3176" s="174" t="s">
        <v>1717</v>
      </c>
      <c r="I3176" s="174" t="str">
        <f t="shared" si="1"/>
        <v>NORDESTE</v>
      </c>
    </row>
    <row r="3177" ht="14.25" customHeight="1">
      <c r="G3177" s="174" t="s">
        <v>4792</v>
      </c>
      <c r="H3177" s="174" t="s">
        <v>1742</v>
      </c>
      <c r="I3177" s="174" t="str">
        <f t="shared" si="1"/>
        <v>SUL</v>
      </c>
    </row>
    <row r="3178" ht="14.25" customHeight="1">
      <c r="G3178" s="174" t="s">
        <v>4793</v>
      </c>
      <c r="H3178" s="174" t="s">
        <v>1685</v>
      </c>
      <c r="I3178" s="174" t="str">
        <f t="shared" si="1"/>
        <v>NORDESTE</v>
      </c>
    </row>
    <row r="3179" ht="14.25" customHeight="1">
      <c r="G3179" s="174" t="s">
        <v>4794</v>
      </c>
      <c r="H3179" s="174" t="s">
        <v>1702</v>
      </c>
      <c r="I3179" s="174" t="str">
        <f t="shared" si="1"/>
        <v>SUL</v>
      </c>
    </row>
    <row r="3180" ht="14.25" customHeight="1">
      <c r="G3180" s="174" t="s">
        <v>4795</v>
      </c>
      <c r="H3180" s="174" t="s">
        <v>1690</v>
      </c>
      <c r="I3180" s="174" t="str">
        <f t="shared" si="1"/>
        <v>NORDESTE</v>
      </c>
    </row>
    <row r="3181" ht="14.25" customHeight="1">
      <c r="G3181" s="174" t="s">
        <v>4795</v>
      </c>
      <c r="H3181" s="174" t="s">
        <v>1658</v>
      </c>
      <c r="I3181" s="174" t="str">
        <f t="shared" si="1"/>
        <v>CENTRO OESTE</v>
      </c>
    </row>
    <row r="3182" ht="14.25" customHeight="1">
      <c r="G3182" s="174" t="s">
        <v>4796</v>
      </c>
      <c r="H3182" s="174" t="s">
        <v>1742</v>
      </c>
      <c r="I3182" s="174" t="str">
        <f t="shared" si="1"/>
        <v>SUL</v>
      </c>
    </row>
    <row r="3183" ht="14.25" customHeight="1">
      <c r="G3183" s="174" t="s">
        <v>4797</v>
      </c>
      <c r="H3183" s="174" t="s">
        <v>1750</v>
      </c>
      <c r="I3183" s="174" t="str">
        <f t="shared" si="1"/>
        <v>SUDESTE</v>
      </c>
    </row>
    <row r="3184" ht="14.25" customHeight="1">
      <c r="G3184" s="174" t="s">
        <v>4798</v>
      </c>
      <c r="H3184" s="174" t="s">
        <v>1658</v>
      </c>
      <c r="I3184" s="174" t="str">
        <f t="shared" si="1"/>
        <v>CENTRO OESTE</v>
      </c>
    </row>
    <row r="3185" ht="14.25" customHeight="1">
      <c r="G3185" s="174" t="s">
        <v>4799</v>
      </c>
      <c r="H3185" s="174" t="s">
        <v>1725</v>
      </c>
      <c r="I3185" s="174" t="str">
        <f t="shared" si="1"/>
        <v>NORDESTE</v>
      </c>
    </row>
    <row r="3186" ht="14.25" customHeight="1">
      <c r="G3186" s="174" t="s">
        <v>4800</v>
      </c>
      <c r="H3186" s="174" t="s">
        <v>1706</v>
      </c>
      <c r="I3186" s="174" t="str">
        <f t="shared" si="1"/>
        <v>SUL</v>
      </c>
    </row>
    <row r="3187" ht="14.25" customHeight="1">
      <c r="G3187" s="174" t="s">
        <v>4801</v>
      </c>
      <c r="H3187" s="174" t="s">
        <v>1666</v>
      </c>
      <c r="I3187" s="174" t="str">
        <f t="shared" si="1"/>
        <v>SUDESTE</v>
      </c>
    </row>
    <row r="3188" ht="14.25" customHeight="1">
      <c r="G3188" s="174" t="s">
        <v>4802</v>
      </c>
      <c r="H3188" s="174" t="s">
        <v>1685</v>
      </c>
      <c r="I3188" s="174" t="str">
        <f t="shared" si="1"/>
        <v>NORDESTE</v>
      </c>
    </row>
    <row r="3189" ht="14.25" customHeight="1">
      <c r="G3189" s="174" t="s">
        <v>4803</v>
      </c>
      <c r="H3189" s="174" t="s">
        <v>1725</v>
      </c>
      <c r="I3189" s="174" t="str">
        <f t="shared" si="1"/>
        <v>NORDESTE</v>
      </c>
    </row>
    <row r="3190" ht="14.25" customHeight="1">
      <c r="G3190" s="174" t="s">
        <v>4804</v>
      </c>
      <c r="H3190" s="174" t="s">
        <v>1666</v>
      </c>
      <c r="I3190" s="174" t="str">
        <f t="shared" si="1"/>
        <v>SUDESTE</v>
      </c>
    </row>
    <row r="3191" ht="14.25" customHeight="1">
      <c r="G3191" s="174" t="s">
        <v>4805</v>
      </c>
      <c r="H3191" s="174" t="s">
        <v>1706</v>
      </c>
      <c r="I3191" s="174" t="str">
        <f t="shared" si="1"/>
        <v>SUL</v>
      </c>
    </row>
    <row r="3192" ht="14.25" customHeight="1">
      <c r="G3192" s="174" t="s">
        <v>4806</v>
      </c>
      <c r="H3192" s="174" t="s">
        <v>1742</v>
      </c>
      <c r="I3192" s="174" t="str">
        <f t="shared" si="1"/>
        <v>SUL</v>
      </c>
    </row>
    <row r="3193" ht="14.25" customHeight="1">
      <c r="G3193" s="174" t="s">
        <v>4807</v>
      </c>
      <c r="H3193" s="174" t="s">
        <v>1742</v>
      </c>
      <c r="I3193" s="174" t="str">
        <f t="shared" si="1"/>
        <v>SUL</v>
      </c>
    </row>
    <row r="3194" ht="14.25" customHeight="1">
      <c r="G3194" s="174" t="s">
        <v>4808</v>
      </c>
      <c r="H3194" s="174" t="s">
        <v>1704</v>
      </c>
      <c r="I3194" s="174" t="str">
        <f t="shared" si="1"/>
        <v>NORDESTE</v>
      </c>
    </row>
    <row r="3195" ht="14.25" customHeight="1">
      <c r="G3195" s="174" t="s">
        <v>4809</v>
      </c>
      <c r="H3195" s="174" t="s">
        <v>1685</v>
      </c>
      <c r="I3195" s="174" t="str">
        <f t="shared" si="1"/>
        <v>NORDESTE</v>
      </c>
    </row>
    <row r="3196" ht="14.25" customHeight="1">
      <c r="G3196" s="174" t="s">
        <v>4810</v>
      </c>
      <c r="H3196" s="174" t="s">
        <v>1750</v>
      </c>
      <c r="I3196" s="174" t="str">
        <f t="shared" si="1"/>
        <v>SUDESTE</v>
      </c>
    </row>
    <row r="3197" ht="14.25" customHeight="1">
      <c r="G3197" s="174" t="s">
        <v>4811</v>
      </c>
      <c r="H3197" s="174" t="s">
        <v>1658</v>
      </c>
      <c r="I3197" s="174" t="str">
        <f t="shared" si="1"/>
        <v>CENTRO OESTE</v>
      </c>
    </row>
    <row r="3198" ht="14.25" customHeight="1">
      <c r="G3198" s="174" t="s">
        <v>4812</v>
      </c>
      <c r="H3198" s="174" t="s">
        <v>1733</v>
      </c>
      <c r="I3198" s="174" t="str">
        <f t="shared" si="1"/>
        <v>NORDESTE</v>
      </c>
    </row>
    <row r="3199" ht="14.25" customHeight="1">
      <c r="G3199" s="174" t="s">
        <v>4813</v>
      </c>
      <c r="H3199" s="174" t="s">
        <v>1742</v>
      </c>
      <c r="I3199" s="174" t="str">
        <f t="shared" si="1"/>
        <v>SUL</v>
      </c>
    </row>
    <row r="3200" ht="14.25" customHeight="1">
      <c r="G3200" s="174" t="s">
        <v>4814</v>
      </c>
      <c r="H3200" s="174" t="s">
        <v>1750</v>
      </c>
      <c r="I3200" s="174" t="str">
        <f t="shared" si="1"/>
        <v>SUDESTE</v>
      </c>
    </row>
    <row r="3201" ht="14.25" customHeight="1">
      <c r="G3201" s="174" t="s">
        <v>4815</v>
      </c>
      <c r="H3201" s="174" t="s">
        <v>1658</v>
      </c>
      <c r="I3201" s="174" t="str">
        <f t="shared" si="1"/>
        <v>CENTRO OESTE</v>
      </c>
    </row>
    <row r="3202" ht="14.25" customHeight="1">
      <c r="G3202" s="174" t="s">
        <v>4816</v>
      </c>
      <c r="H3202" s="174" t="s">
        <v>1687</v>
      </c>
      <c r="I3202" s="174" t="str">
        <f t="shared" si="1"/>
        <v>NORTE</v>
      </c>
    </row>
    <row r="3203" ht="14.25" customHeight="1">
      <c r="G3203" s="174" t="s">
        <v>4817</v>
      </c>
      <c r="H3203" s="174" t="s">
        <v>1739</v>
      </c>
      <c r="I3203" s="174" t="str">
        <f t="shared" si="1"/>
        <v>NORTE</v>
      </c>
    </row>
    <row r="3204" ht="14.25" customHeight="1">
      <c r="G3204" s="174" t="s">
        <v>4818</v>
      </c>
      <c r="H3204" s="174" t="s">
        <v>1690</v>
      </c>
      <c r="I3204" s="174" t="str">
        <f t="shared" si="1"/>
        <v>NORDESTE</v>
      </c>
    </row>
    <row r="3205" ht="14.25" customHeight="1">
      <c r="G3205" s="174" t="s">
        <v>4819</v>
      </c>
      <c r="H3205" s="174" t="s">
        <v>1685</v>
      </c>
      <c r="I3205" s="174" t="str">
        <f t="shared" si="1"/>
        <v>NORDESTE</v>
      </c>
    </row>
    <row r="3206" ht="14.25" customHeight="1">
      <c r="G3206" s="174" t="s">
        <v>4820</v>
      </c>
      <c r="H3206" s="174" t="s">
        <v>1742</v>
      </c>
      <c r="I3206" s="174" t="str">
        <f t="shared" si="1"/>
        <v>SUL</v>
      </c>
    </row>
    <row r="3207" ht="14.25" customHeight="1">
      <c r="G3207" s="174" t="s">
        <v>4821</v>
      </c>
      <c r="H3207" s="174" t="s">
        <v>1685</v>
      </c>
      <c r="I3207" s="174" t="str">
        <f t="shared" si="1"/>
        <v>NORDESTE</v>
      </c>
    </row>
    <row r="3208" ht="14.25" customHeight="1">
      <c r="G3208" s="174" t="s">
        <v>4822</v>
      </c>
      <c r="H3208" s="174" t="s">
        <v>1698</v>
      </c>
      <c r="I3208" s="174" t="str">
        <f t="shared" si="1"/>
        <v>SUDESTE</v>
      </c>
    </row>
    <row r="3209" ht="14.25" customHeight="1">
      <c r="G3209" s="174" t="s">
        <v>4823</v>
      </c>
      <c r="H3209" s="174" t="s">
        <v>1742</v>
      </c>
      <c r="I3209" s="174" t="str">
        <f t="shared" si="1"/>
        <v>SUL</v>
      </c>
    </row>
    <row r="3210" ht="14.25" customHeight="1">
      <c r="G3210" s="174" t="s">
        <v>4824</v>
      </c>
      <c r="H3210" s="174" t="s">
        <v>1742</v>
      </c>
      <c r="I3210" s="174" t="str">
        <f t="shared" si="1"/>
        <v>SUL</v>
      </c>
    </row>
    <row r="3211" ht="14.25" customHeight="1">
      <c r="G3211" s="174" t="s">
        <v>4825</v>
      </c>
      <c r="H3211" s="174" t="s">
        <v>1690</v>
      </c>
      <c r="I3211" s="174" t="str">
        <f t="shared" si="1"/>
        <v>NORDESTE</v>
      </c>
    </row>
    <row r="3212" ht="14.25" customHeight="1">
      <c r="G3212" s="174" t="s">
        <v>4825</v>
      </c>
      <c r="H3212" s="174" t="s">
        <v>1719</v>
      </c>
      <c r="I3212" s="174" t="str">
        <f t="shared" si="1"/>
        <v>NORDESTE</v>
      </c>
    </row>
    <row r="3213" ht="14.25" customHeight="1">
      <c r="G3213" s="174" t="s">
        <v>4826</v>
      </c>
      <c r="H3213" s="174" t="s">
        <v>1685</v>
      </c>
      <c r="I3213" s="174" t="str">
        <f t="shared" si="1"/>
        <v>NORDESTE</v>
      </c>
    </row>
    <row r="3214" ht="14.25" customHeight="1">
      <c r="G3214" s="174" t="s">
        <v>4827</v>
      </c>
      <c r="H3214" s="174" t="s">
        <v>1685</v>
      </c>
      <c r="I3214" s="174" t="str">
        <f t="shared" si="1"/>
        <v>NORDESTE</v>
      </c>
    </row>
    <row r="3215" ht="14.25" customHeight="1">
      <c r="G3215" s="174" t="s">
        <v>4827</v>
      </c>
      <c r="H3215" s="174" t="s">
        <v>1710</v>
      </c>
      <c r="I3215" s="174" t="str">
        <f t="shared" si="1"/>
        <v>CENTRO OESTE</v>
      </c>
    </row>
    <row r="3216" ht="14.25" customHeight="1">
      <c r="G3216" s="174" t="s">
        <v>4827</v>
      </c>
      <c r="H3216" s="174" t="s">
        <v>1658</v>
      </c>
      <c r="I3216" s="174" t="str">
        <f t="shared" si="1"/>
        <v>CENTRO OESTE</v>
      </c>
    </row>
    <row r="3217" ht="14.25" customHeight="1">
      <c r="G3217" s="174" t="s">
        <v>4828</v>
      </c>
      <c r="H3217" s="174" t="s">
        <v>1666</v>
      </c>
      <c r="I3217" s="174" t="str">
        <f t="shared" si="1"/>
        <v>SUDESTE</v>
      </c>
    </row>
    <row r="3218" ht="14.25" customHeight="1">
      <c r="G3218" s="174" t="s">
        <v>4829</v>
      </c>
      <c r="H3218" s="174" t="s">
        <v>1702</v>
      </c>
      <c r="I3218" s="174" t="str">
        <f t="shared" si="1"/>
        <v>SUL</v>
      </c>
    </row>
    <row r="3219" ht="14.25" customHeight="1">
      <c r="G3219" s="174" t="s">
        <v>4830</v>
      </c>
      <c r="H3219" s="174" t="s">
        <v>1685</v>
      </c>
      <c r="I3219" s="174" t="str">
        <f t="shared" si="1"/>
        <v>NORDESTE</v>
      </c>
    </row>
    <row r="3220" ht="14.25" customHeight="1">
      <c r="G3220" s="174" t="s">
        <v>4831</v>
      </c>
      <c r="H3220" s="174" t="s">
        <v>1698</v>
      </c>
      <c r="I3220" s="174" t="str">
        <f t="shared" si="1"/>
        <v>SUDESTE</v>
      </c>
    </row>
    <row r="3221" ht="14.25" customHeight="1">
      <c r="G3221" s="174" t="s">
        <v>4832</v>
      </c>
      <c r="H3221" s="174" t="s">
        <v>1685</v>
      </c>
      <c r="I3221" s="174" t="str">
        <f t="shared" si="1"/>
        <v>NORDESTE</v>
      </c>
    </row>
    <row r="3222" ht="14.25" customHeight="1">
      <c r="G3222" s="174" t="s">
        <v>4833</v>
      </c>
      <c r="H3222" s="174" t="s">
        <v>1698</v>
      </c>
      <c r="I3222" s="174" t="str">
        <f t="shared" si="1"/>
        <v>SUDESTE</v>
      </c>
    </row>
    <row r="3223" ht="14.25" customHeight="1">
      <c r="G3223" s="174" t="s">
        <v>4834</v>
      </c>
      <c r="H3223" s="174" t="s">
        <v>1666</v>
      </c>
      <c r="I3223" s="174" t="str">
        <f t="shared" si="1"/>
        <v>SUDESTE</v>
      </c>
    </row>
    <row r="3224" ht="14.25" customHeight="1">
      <c r="G3224" s="174" t="s">
        <v>4835</v>
      </c>
      <c r="H3224" s="174" t="s">
        <v>1747</v>
      </c>
      <c r="I3224" s="174" t="str">
        <f t="shared" si="1"/>
        <v>NORDESTE</v>
      </c>
    </row>
    <row r="3225" ht="14.25" customHeight="1">
      <c r="G3225" s="174" t="s">
        <v>4836</v>
      </c>
      <c r="H3225" s="174" t="s">
        <v>1664</v>
      </c>
      <c r="I3225" s="174" t="str">
        <f t="shared" si="1"/>
        <v>NORDESTE</v>
      </c>
    </row>
    <row r="3226" ht="14.25" customHeight="1">
      <c r="G3226" s="174" t="s">
        <v>4837</v>
      </c>
      <c r="H3226" s="174" t="s">
        <v>1725</v>
      </c>
      <c r="I3226" s="174" t="str">
        <f t="shared" si="1"/>
        <v>NORDESTE</v>
      </c>
    </row>
    <row r="3227" ht="14.25" customHeight="1">
      <c r="G3227" s="174" t="s">
        <v>4838</v>
      </c>
      <c r="H3227" s="174" t="s">
        <v>1721</v>
      </c>
      <c r="I3227" s="174" t="str">
        <f t="shared" si="1"/>
        <v>NORTE</v>
      </c>
    </row>
    <row r="3228" ht="14.25" customHeight="1">
      <c r="G3228" s="174" t="s">
        <v>4839</v>
      </c>
      <c r="H3228" s="174" t="s">
        <v>1685</v>
      </c>
      <c r="I3228" s="174" t="str">
        <f t="shared" si="1"/>
        <v>NORDESTE</v>
      </c>
    </row>
    <row r="3229" ht="14.25" customHeight="1">
      <c r="G3229" s="174" t="s">
        <v>4840</v>
      </c>
      <c r="H3229" s="174" t="s">
        <v>1750</v>
      </c>
      <c r="I3229" s="174" t="str">
        <f t="shared" si="1"/>
        <v>SUDESTE</v>
      </c>
    </row>
    <row r="3230" ht="14.25" customHeight="1">
      <c r="G3230" s="174" t="s">
        <v>4841</v>
      </c>
      <c r="H3230" s="174" t="s">
        <v>1685</v>
      </c>
      <c r="I3230" s="174" t="str">
        <f t="shared" si="1"/>
        <v>NORDESTE</v>
      </c>
    </row>
    <row r="3231" ht="14.25" customHeight="1">
      <c r="G3231" s="174" t="s">
        <v>4842</v>
      </c>
      <c r="H3231" s="174" t="s">
        <v>1666</v>
      </c>
      <c r="I3231" s="174" t="str">
        <f t="shared" si="1"/>
        <v>SUDESTE</v>
      </c>
    </row>
    <row r="3232" ht="14.25" customHeight="1">
      <c r="G3232" s="174" t="s">
        <v>4843</v>
      </c>
      <c r="H3232" s="174" t="s">
        <v>1658</v>
      </c>
      <c r="I3232" s="174" t="str">
        <f t="shared" si="1"/>
        <v>CENTRO OESTE</v>
      </c>
    </row>
    <row r="3233" ht="14.25" customHeight="1">
      <c r="G3233" s="174" t="s">
        <v>4844</v>
      </c>
      <c r="H3233" s="174" t="s">
        <v>1666</v>
      </c>
      <c r="I3233" s="174" t="str">
        <f t="shared" si="1"/>
        <v>SUDESTE</v>
      </c>
    </row>
    <row r="3234" ht="14.25" customHeight="1">
      <c r="G3234" s="174" t="s">
        <v>4845</v>
      </c>
      <c r="H3234" s="174" t="s">
        <v>1666</v>
      </c>
      <c r="I3234" s="174" t="str">
        <f t="shared" si="1"/>
        <v>SUDESTE</v>
      </c>
    </row>
    <row r="3235" ht="14.25" customHeight="1">
      <c r="G3235" s="174" t="s">
        <v>4846</v>
      </c>
      <c r="H3235" s="174" t="s">
        <v>1750</v>
      </c>
      <c r="I3235" s="174" t="str">
        <f t="shared" si="1"/>
        <v>SUDESTE</v>
      </c>
    </row>
    <row r="3236" ht="14.25" customHeight="1">
      <c r="G3236" s="174" t="s">
        <v>4847</v>
      </c>
      <c r="H3236" s="174" t="s">
        <v>1666</v>
      </c>
      <c r="I3236" s="174" t="str">
        <f t="shared" si="1"/>
        <v>SUDESTE</v>
      </c>
    </row>
    <row r="3237" ht="14.25" customHeight="1">
      <c r="G3237" s="174" t="s">
        <v>4848</v>
      </c>
      <c r="H3237" s="174" t="s">
        <v>1742</v>
      </c>
      <c r="I3237" s="174" t="str">
        <f t="shared" si="1"/>
        <v>SUL</v>
      </c>
    </row>
    <row r="3238" ht="14.25" customHeight="1">
      <c r="G3238" s="174" t="s">
        <v>4849</v>
      </c>
      <c r="H3238" s="174" t="s">
        <v>1666</v>
      </c>
      <c r="I3238" s="174" t="str">
        <f t="shared" si="1"/>
        <v>SUDESTE</v>
      </c>
    </row>
    <row r="3239" ht="14.25" customHeight="1">
      <c r="G3239" s="174" t="s">
        <v>4850</v>
      </c>
      <c r="H3239" s="174" t="s">
        <v>1750</v>
      </c>
      <c r="I3239" s="174" t="str">
        <f t="shared" si="1"/>
        <v>SUDESTE</v>
      </c>
    </row>
    <row r="3240" ht="14.25" customHeight="1">
      <c r="G3240" s="174" t="s">
        <v>4851</v>
      </c>
      <c r="H3240" s="174" t="s">
        <v>1733</v>
      </c>
      <c r="I3240" s="174" t="str">
        <f t="shared" si="1"/>
        <v>NORDESTE</v>
      </c>
    </row>
    <row r="3241" ht="14.25" customHeight="1">
      <c r="G3241" s="174" t="s">
        <v>4852</v>
      </c>
      <c r="H3241" s="174" t="s">
        <v>1666</v>
      </c>
      <c r="I3241" s="174" t="str">
        <f t="shared" si="1"/>
        <v>SUDESTE</v>
      </c>
    </row>
    <row r="3242" ht="14.25" customHeight="1">
      <c r="G3242" s="174" t="s">
        <v>4853</v>
      </c>
      <c r="H3242" s="174" t="s">
        <v>1666</v>
      </c>
      <c r="I3242" s="174" t="str">
        <f t="shared" si="1"/>
        <v>SUDESTE</v>
      </c>
    </row>
    <row r="3243" ht="14.25" customHeight="1">
      <c r="G3243" s="174" t="s">
        <v>4854</v>
      </c>
      <c r="H3243" s="174" t="s">
        <v>1721</v>
      </c>
      <c r="I3243" s="174" t="str">
        <f t="shared" si="1"/>
        <v>NORTE</v>
      </c>
    </row>
    <row r="3244" ht="14.25" customHeight="1">
      <c r="G3244" s="174" t="s">
        <v>4854</v>
      </c>
      <c r="H3244" s="174" t="s">
        <v>1730</v>
      </c>
      <c r="I3244" s="174" t="str">
        <f t="shared" si="1"/>
        <v>SUDESTE</v>
      </c>
    </row>
    <row r="3245" ht="14.25" customHeight="1">
      <c r="G3245" s="174" t="s">
        <v>4855</v>
      </c>
      <c r="H3245" s="174" t="s">
        <v>1750</v>
      </c>
      <c r="I3245" s="174" t="str">
        <f t="shared" si="1"/>
        <v>SUDESTE</v>
      </c>
    </row>
    <row r="3246" ht="14.25" customHeight="1">
      <c r="G3246" s="174" t="s">
        <v>4856</v>
      </c>
      <c r="H3246" s="174" t="s">
        <v>1719</v>
      </c>
      <c r="I3246" s="174" t="str">
        <f t="shared" si="1"/>
        <v>NORDESTE</v>
      </c>
    </row>
    <row r="3247" ht="14.25" customHeight="1">
      <c r="G3247" s="174" t="s">
        <v>4857</v>
      </c>
      <c r="H3247" s="174" t="s">
        <v>1706</v>
      </c>
      <c r="I3247" s="174" t="str">
        <f t="shared" si="1"/>
        <v>SUL</v>
      </c>
    </row>
    <row r="3248" ht="14.25" customHeight="1">
      <c r="G3248" s="174" t="s">
        <v>4858</v>
      </c>
      <c r="H3248" s="174" t="s">
        <v>1710</v>
      </c>
      <c r="I3248" s="174" t="str">
        <f t="shared" si="1"/>
        <v>CENTRO OESTE</v>
      </c>
    </row>
    <row r="3249" ht="14.25" customHeight="1">
      <c r="G3249" s="174" t="s">
        <v>4859</v>
      </c>
      <c r="H3249" s="174" t="s">
        <v>1721</v>
      </c>
      <c r="I3249" s="174" t="str">
        <f t="shared" si="1"/>
        <v>NORTE</v>
      </c>
    </row>
    <row r="3250" ht="14.25" customHeight="1">
      <c r="G3250" s="174" t="s">
        <v>4859</v>
      </c>
      <c r="H3250" s="174" t="s">
        <v>1685</v>
      </c>
      <c r="I3250" s="174" t="str">
        <f t="shared" si="1"/>
        <v>NORDESTE</v>
      </c>
    </row>
    <row r="3251" ht="14.25" customHeight="1">
      <c r="G3251" s="174" t="s">
        <v>4860</v>
      </c>
      <c r="H3251" s="174" t="s">
        <v>1717</v>
      </c>
      <c r="I3251" s="174" t="str">
        <f t="shared" si="1"/>
        <v>NORDESTE</v>
      </c>
    </row>
    <row r="3252" ht="14.25" customHeight="1">
      <c r="G3252" s="174" t="s">
        <v>4861</v>
      </c>
      <c r="H3252" s="174" t="s">
        <v>1725</v>
      </c>
      <c r="I3252" s="174" t="str">
        <f t="shared" si="1"/>
        <v>NORDESTE</v>
      </c>
    </row>
    <row r="3253" ht="14.25" customHeight="1">
      <c r="G3253" s="174" t="s">
        <v>4862</v>
      </c>
      <c r="H3253" s="174" t="s">
        <v>1750</v>
      </c>
      <c r="I3253" s="174" t="str">
        <f t="shared" si="1"/>
        <v>SUDESTE</v>
      </c>
    </row>
    <row r="3254" ht="14.25" customHeight="1">
      <c r="G3254" s="174" t="s">
        <v>4863</v>
      </c>
      <c r="H3254" s="174" t="s">
        <v>1666</v>
      </c>
      <c r="I3254" s="174" t="str">
        <f t="shared" si="1"/>
        <v>SUDESTE</v>
      </c>
    </row>
    <row r="3255" ht="14.25" customHeight="1">
      <c r="G3255" s="174" t="s">
        <v>4864</v>
      </c>
      <c r="H3255" s="174" t="s">
        <v>1719</v>
      </c>
      <c r="I3255" s="174" t="str">
        <f t="shared" si="1"/>
        <v>NORDESTE</v>
      </c>
    </row>
    <row r="3256" ht="14.25" customHeight="1">
      <c r="G3256" s="174" t="s">
        <v>4865</v>
      </c>
      <c r="H3256" s="174" t="s">
        <v>1725</v>
      </c>
      <c r="I3256" s="174" t="str">
        <f t="shared" si="1"/>
        <v>NORDESTE</v>
      </c>
    </row>
    <row r="3257" ht="14.25" customHeight="1">
      <c r="G3257" s="174" t="s">
        <v>4866</v>
      </c>
      <c r="H3257" s="174" t="s">
        <v>1658</v>
      </c>
      <c r="I3257" s="174" t="str">
        <f t="shared" si="1"/>
        <v>CENTRO OESTE</v>
      </c>
    </row>
    <row r="3258" ht="14.25" customHeight="1">
      <c r="G3258" s="174" t="s">
        <v>4867</v>
      </c>
      <c r="H3258" s="174" t="s">
        <v>1747</v>
      </c>
      <c r="I3258" s="174" t="str">
        <f t="shared" si="1"/>
        <v>NORDESTE</v>
      </c>
    </row>
    <row r="3259" ht="14.25" customHeight="1">
      <c r="G3259" s="174" t="s">
        <v>4868</v>
      </c>
      <c r="H3259" s="174" t="s">
        <v>1666</v>
      </c>
      <c r="I3259" s="174" t="str">
        <f t="shared" si="1"/>
        <v>SUDESTE</v>
      </c>
    </row>
    <row r="3260" ht="14.25" customHeight="1">
      <c r="G3260" s="174" t="s">
        <v>4869</v>
      </c>
      <c r="H3260" s="174" t="s">
        <v>1658</v>
      </c>
      <c r="I3260" s="174" t="str">
        <f t="shared" si="1"/>
        <v>CENTRO OESTE</v>
      </c>
    </row>
    <row r="3261" ht="14.25" customHeight="1">
      <c r="G3261" s="174" t="s">
        <v>4870</v>
      </c>
      <c r="H3261" s="174" t="s">
        <v>1750</v>
      </c>
      <c r="I3261" s="174" t="str">
        <f t="shared" si="1"/>
        <v>SUDESTE</v>
      </c>
    </row>
    <row r="3262" ht="14.25" customHeight="1">
      <c r="G3262" s="174" t="s">
        <v>4871</v>
      </c>
      <c r="H3262" s="174" t="s">
        <v>1672</v>
      </c>
      <c r="I3262" s="174" t="str">
        <f t="shared" si="1"/>
        <v>NORTE</v>
      </c>
    </row>
    <row r="3263" ht="14.25" customHeight="1">
      <c r="G3263" s="174" t="s">
        <v>4872</v>
      </c>
      <c r="H3263" s="174" t="s">
        <v>1750</v>
      </c>
      <c r="I3263" s="174" t="str">
        <f t="shared" si="1"/>
        <v>SUDESTE</v>
      </c>
    </row>
    <row r="3264" ht="14.25" customHeight="1">
      <c r="G3264" s="174" t="s">
        <v>4873</v>
      </c>
      <c r="H3264" s="174" t="s">
        <v>1742</v>
      </c>
      <c r="I3264" s="174" t="str">
        <f t="shared" si="1"/>
        <v>SUL</v>
      </c>
    </row>
    <row r="3265" ht="14.25" customHeight="1">
      <c r="G3265" s="174" t="s">
        <v>4874</v>
      </c>
      <c r="H3265" s="174" t="s">
        <v>1685</v>
      </c>
      <c r="I3265" s="174" t="str">
        <f t="shared" si="1"/>
        <v>NORDESTE</v>
      </c>
    </row>
    <row r="3266" ht="14.25" customHeight="1">
      <c r="G3266" s="174" t="s">
        <v>4875</v>
      </c>
      <c r="H3266" s="174" t="s">
        <v>1730</v>
      </c>
      <c r="I3266" s="174" t="str">
        <f t="shared" si="1"/>
        <v>SUDESTE</v>
      </c>
    </row>
    <row r="3267" ht="14.25" customHeight="1">
      <c r="G3267" s="174" t="s">
        <v>4876</v>
      </c>
      <c r="H3267" s="174" t="s">
        <v>1704</v>
      </c>
      <c r="I3267" s="174" t="str">
        <f t="shared" si="1"/>
        <v>NORDESTE</v>
      </c>
    </row>
    <row r="3268" ht="14.25" customHeight="1">
      <c r="G3268" s="174" t="s">
        <v>4877</v>
      </c>
      <c r="H3268" s="174" t="s">
        <v>1666</v>
      </c>
      <c r="I3268" s="174" t="str">
        <f t="shared" si="1"/>
        <v>SUDESTE</v>
      </c>
    </row>
    <row r="3269" ht="14.25" customHeight="1">
      <c r="G3269" s="174" t="s">
        <v>4878</v>
      </c>
      <c r="H3269" s="174" t="s">
        <v>1710</v>
      </c>
      <c r="I3269" s="174" t="str">
        <f t="shared" si="1"/>
        <v>CENTRO OESTE</v>
      </c>
    </row>
    <row r="3270" ht="14.25" customHeight="1">
      <c r="G3270" s="174" t="s">
        <v>4879</v>
      </c>
      <c r="H3270" s="174" t="s">
        <v>1750</v>
      </c>
      <c r="I3270" s="174" t="str">
        <f t="shared" si="1"/>
        <v>SUDESTE</v>
      </c>
    </row>
    <row r="3271" ht="14.25" customHeight="1">
      <c r="G3271" s="174" t="s">
        <v>4880</v>
      </c>
      <c r="H3271" s="174" t="s">
        <v>1658</v>
      </c>
      <c r="I3271" s="174" t="str">
        <f t="shared" si="1"/>
        <v>CENTRO OESTE</v>
      </c>
    </row>
    <row r="3272" ht="14.25" customHeight="1">
      <c r="G3272" s="174" t="s">
        <v>4881</v>
      </c>
      <c r="H3272" s="174" t="s">
        <v>1733</v>
      </c>
      <c r="I3272" s="174" t="str">
        <f t="shared" si="1"/>
        <v>NORDESTE</v>
      </c>
    </row>
    <row r="3273" ht="14.25" customHeight="1">
      <c r="G3273" s="174" t="s">
        <v>4882</v>
      </c>
      <c r="H3273" s="174" t="s">
        <v>1730</v>
      </c>
      <c r="I3273" s="174" t="str">
        <f t="shared" si="1"/>
        <v>SUDESTE</v>
      </c>
    </row>
    <row r="3274" ht="14.25" customHeight="1">
      <c r="G3274" s="174" t="s">
        <v>4883</v>
      </c>
      <c r="H3274" s="174" t="s">
        <v>1713</v>
      </c>
      <c r="I3274" s="174" t="str">
        <f t="shared" si="1"/>
        <v>CENTRO OESTE</v>
      </c>
    </row>
    <row r="3275" ht="14.25" customHeight="1">
      <c r="G3275" s="174" t="s">
        <v>4884</v>
      </c>
      <c r="H3275" s="174" t="s">
        <v>1742</v>
      </c>
      <c r="I3275" s="174" t="str">
        <f t="shared" si="1"/>
        <v>SUL</v>
      </c>
    </row>
    <row r="3276" ht="14.25" customHeight="1">
      <c r="G3276" s="174" t="s">
        <v>4885</v>
      </c>
      <c r="H3276" s="174" t="s">
        <v>1685</v>
      </c>
      <c r="I3276" s="174" t="str">
        <f t="shared" si="1"/>
        <v>NORDESTE</v>
      </c>
    </row>
    <row r="3277" ht="14.25" customHeight="1">
      <c r="G3277" s="174" t="s">
        <v>4886</v>
      </c>
      <c r="H3277" s="174" t="s">
        <v>1739</v>
      </c>
      <c r="I3277" s="174" t="str">
        <f t="shared" si="1"/>
        <v>NORTE</v>
      </c>
    </row>
    <row r="3278" ht="14.25" customHeight="1">
      <c r="G3278" s="174" t="s">
        <v>4887</v>
      </c>
      <c r="H3278" s="174" t="s">
        <v>1713</v>
      </c>
      <c r="I3278" s="174" t="str">
        <f t="shared" si="1"/>
        <v>CENTRO OESTE</v>
      </c>
    </row>
    <row r="3279" ht="14.25" customHeight="1">
      <c r="G3279" s="174" t="s">
        <v>4888</v>
      </c>
      <c r="H3279" s="174" t="s">
        <v>1747</v>
      </c>
      <c r="I3279" s="174" t="str">
        <f t="shared" si="1"/>
        <v>NORDESTE</v>
      </c>
    </row>
    <row r="3280" ht="14.25" customHeight="1">
      <c r="G3280" s="174" t="s">
        <v>4889</v>
      </c>
      <c r="H3280" s="174" t="s">
        <v>1747</v>
      </c>
      <c r="I3280" s="174" t="str">
        <f t="shared" si="1"/>
        <v>NORDESTE</v>
      </c>
    </row>
    <row r="3281" ht="14.25" customHeight="1">
      <c r="G3281" s="174" t="s">
        <v>4890</v>
      </c>
      <c r="H3281" s="174" t="s">
        <v>1747</v>
      </c>
      <c r="I3281" s="174" t="str">
        <f t="shared" si="1"/>
        <v>NORDESTE</v>
      </c>
    </row>
    <row r="3282" ht="14.25" customHeight="1">
      <c r="G3282" s="174" t="s">
        <v>4891</v>
      </c>
      <c r="H3282" s="174" t="s">
        <v>1702</v>
      </c>
      <c r="I3282" s="174" t="str">
        <f t="shared" si="1"/>
        <v>SUL</v>
      </c>
    </row>
    <row r="3283" ht="14.25" customHeight="1">
      <c r="G3283" s="174" t="s">
        <v>4892</v>
      </c>
      <c r="H3283" s="174" t="s">
        <v>1747</v>
      </c>
      <c r="I3283" s="174" t="str">
        <f t="shared" si="1"/>
        <v>NORDESTE</v>
      </c>
    </row>
    <row r="3284" ht="14.25" customHeight="1">
      <c r="G3284" s="174" t="s">
        <v>4893</v>
      </c>
      <c r="H3284" s="174" t="s">
        <v>1725</v>
      </c>
      <c r="I3284" s="174" t="str">
        <f t="shared" si="1"/>
        <v>NORDESTE</v>
      </c>
    </row>
    <row r="3285" ht="14.25" customHeight="1">
      <c r="G3285" s="174" t="s">
        <v>4894</v>
      </c>
      <c r="H3285" s="174" t="s">
        <v>1713</v>
      </c>
      <c r="I3285" s="174" t="str">
        <f t="shared" si="1"/>
        <v>CENTRO OESTE</v>
      </c>
    </row>
    <row r="3286" ht="14.25" customHeight="1">
      <c r="G3286" s="174" t="s">
        <v>4895</v>
      </c>
      <c r="H3286" s="174" t="s">
        <v>1747</v>
      </c>
      <c r="I3286" s="174" t="str">
        <f t="shared" si="1"/>
        <v>NORDESTE</v>
      </c>
    </row>
    <row r="3287" ht="14.25" customHeight="1">
      <c r="G3287" s="174" t="s">
        <v>4896</v>
      </c>
      <c r="H3287" s="174" t="s">
        <v>1725</v>
      </c>
      <c r="I3287" s="174" t="str">
        <f t="shared" si="1"/>
        <v>NORDESTE</v>
      </c>
    </row>
    <row r="3288" ht="14.25" customHeight="1">
      <c r="G3288" s="174" t="s">
        <v>4897</v>
      </c>
      <c r="H3288" s="174" t="s">
        <v>1750</v>
      </c>
      <c r="I3288" s="174" t="str">
        <f t="shared" si="1"/>
        <v>SUDESTE</v>
      </c>
    </row>
    <row r="3289" ht="14.25" customHeight="1">
      <c r="G3289" s="174" t="s">
        <v>4898</v>
      </c>
      <c r="H3289" s="174" t="s">
        <v>1702</v>
      </c>
      <c r="I3289" s="174" t="str">
        <f t="shared" si="1"/>
        <v>SUL</v>
      </c>
    </row>
    <row r="3290" ht="14.25" customHeight="1">
      <c r="G3290" s="174" t="s">
        <v>4899</v>
      </c>
      <c r="H3290" s="174" t="s">
        <v>1742</v>
      </c>
      <c r="I3290" s="174" t="str">
        <f t="shared" si="1"/>
        <v>SUL</v>
      </c>
    </row>
    <row r="3291" ht="14.25" customHeight="1">
      <c r="G3291" s="174" t="s">
        <v>4900</v>
      </c>
      <c r="H3291" s="174" t="s">
        <v>1710</v>
      </c>
      <c r="I3291" s="174" t="str">
        <f t="shared" si="1"/>
        <v>CENTRO OESTE</v>
      </c>
    </row>
    <row r="3292" ht="14.25" customHeight="1">
      <c r="G3292" s="174" t="s">
        <v>4901</v>
      </c>
      <c r="H3292" s="174" t="s">
        <v>1658</v>
      </c>
      <c r="I3292" s="174" t="str">
        <f t="shared" si="1"/>
        <v>CENTRO OESTE</v>
      </c>
    </row>
    <row r="3293" ht="14.25" customHeight="1">
      <c r="G3293" s="174" t="s">
        <v>4902</v>
      </c>
      <c r="H3293" s="174" t="s">
        <v>1702</v>
      </c>
      <c r="I3293" s="174" t="str">
        <f t="shared" si="1"/>
        <v>SUL</v>
      </c>
    </row>
    <row r="3294" ht="14.25" customHeight="1">
      <c r="G3294" s="174" t="s">
        <v>4903</v>
      </c>
      <c r="H3294" s="174" t="s">
        <v>1710</v>
      </c>
      <c r="I3294" s="174" t="str">
        <f t="shared" si="1"/>
        <v>CENTRO OESTE</v>
      </c>
    </row>
    <row r="3295" ht="14.25" customHeight="1">
      <c r="G3295" s="174" t="s">
        <v>4904</v>
      </c>
      <c r="H3295" s="174" t="s">
        <v>1742</v>
      </c>
      <c r="I3295" s="174" t="str">
        <f t="shared" si="1"/>
        <v>SUL</v>
      </c>
    </row>
    <row r="3296" ht="14.25" customHeight="1">
      <c r="G3296" s="174" t="s">
        <v>4905</v>
      </c>
      <c r="H3296" s="174" t="s">
        <v>1702</v>
      </c>
      <c r="I3296" s="174" t="str">
        <f t="shared" si="1"/>
        <v>SUL</v>
      </c>
    </row>
    <row r="3297" ht="14.25" customHeight="1">
      <c r="G3297" s="174" t="s">
        <v>4905</v>
      </c>
      <c r="H3297" s="174" t="s">
        <v>1658</v>
      </c>
      <c r="I3297" s="174" t="str">
        <f t="shared" si="1"/>
        <v>CENTRO OESTE</v>
      </c>
    </row>
    <row r="3298" ht="14.25" customHeight="1">
      <c r="G3298" s="174" t="s">
        <v>4906</v>
      </c>
      <c r="H3298" s="174" t="s">
        <v>1713</v>
      </c>
      <c r="I3298" s="174" t="str">
        <f t="shared" si="1"/>
        <v>CENTRO OESTE</v>
      </c>
    </row>
    <row r="3299" ht="14.25" customHeight="1">
      <c r="G3299" s="174" t="s">
        <v>4907</v>
      </c>
      <c r="H3299" s="174" t="s">
        <v>1742</v>
      </c>
      <c r="I3299" s="174" t="str">
        <f t="shared" si="1"/>
        <v>SUL</v>
      </c>
    </row>
    <row r="3300" ht="14.25" customHeight="1">
      <c r="G3300" s="174" t="s">
        <v>4908</v>
      </c>
      <c r="H3300" s="174" t="s">
        <v>1666</v>
      </c>
      <c r="I3300" s="174" t="str">
        <f t="shared" si="1"/>
        <v>SUDESTE</v>
      </c>
    </row>
    <row r="3301" ht="14.25" customHeight="1">
      <c r="G3301" s="174" t="s">
        <v>4909</v>
      </c>
      <c r="H3301" s="174" t="s">
        <v>1742</v>
      </c>
      <c r="I3301" s="174" t="str">
        <f t="shared" si="1"/>
        <v>SUL</v>
      </c>
    </row>
    <row r="3302" ht="14.25" customHeight="1">
      <c r="G3302" s="174" t="s">
        <v>4910</v>
      </c>
      <c r="H3302" s="174" t="s">
        <v>1713</v>
      </c>
      <c r="I3302" s="174" t="str">
        <f t="shared" si="1"/>
        <v>CENTRO OESTE</v>
      </c>
    </row>
    <row r="3303" ht="14.25" customHeight="1">
      <c r="G3303" s="174" t="s">
        <v>4911</v>
      </c>
      <c r="H3303" s="174" t="s">
        <v>1736</v>
      </c>
      <c r="I3303" s="174" t="str">
        <f t="shared" si="1"/>
        <v>NORTE</v>
      </c>
    </row>
    <row r="3304" ht="14.25" customHeight="1">
      <c r="G3304" s="174" t="s">
        <v>4912</v>
      </c>
      <c r="H3304" s="174" t="s">
        <v>1742</v>
      </c>
      <c r="I3304" s="174" t="str">
        <f t="shared" si="1"/>
        <v>SUL</v>
      </c>
    </row>
    <row r="3305" ht="14.25" customHeight="1">
      <c r="G3305" s="174" t="s">
        <v>4913</v>
      </c>
      <c r="H3305" s="174" t="s">
        <v>1750</v>
      </c>
      <c r="I3305" s="174" t="str">
        <f t="shared" si="1"/>
        <v>SUDESTE</v>
      </c>
    </row>
    <row r="3306" ht="14.25" customHeight="1">
      <c r="G3306" s="174" t="s">
        <v>4914</v>
      </c>
      <c r="H3306" s="174" t="s">
        <v>1685</v>
      </c>
      <c r="I3306" s="174" t="str">
        <f t="shared" si="1"/>
        <v>NORDESTE</v>
      </c>
    </row>
    <row r="3307" ht="14.25" customHeight="1">
      <c r="G3307" s="174" t="s">
        <v>4915</v>
      </c>
      <c r="H3307" s="174" t="s">
        <v>1713</v>
      </c>
      <c r="I3307" s="174" t="str">
        <f t="shared" si="1"/>
        <v>CENTRO OESTE</v>
      </c>
    </row>
    <row r="3308" ht="14.25" customHeight="1">
      <c r="G3308" s="174" t="s">
        <v>4916</v>
      </c>
      <c r="H3308" s="174" t="s">
        <v>1750</v>
      </c>
      <c r="I3308" s="174" t="str">
        <f t="shared" si="1"/>
        <v>SUDESTE</v>
      </c>
    </row>
    <row r="3309" ht="14.25" customHeight="1">
      <c r="G3309" s="174" t="s">
        <v>4917</v>
      </c>
      <c r="H3309" s="174" t="s">
        <v>1742</v>
      </c>
      <c r="I3309" s="174" t="str">
        <f t="shared" si="1"/>
        <v>SUL</v>
      </c>
    </row>
    <row r="3310" ht="14.25" customHeight="1">
      <c r="G3310" s="174" t="s">
        <v>4918</v>
      </c>
      <c r="H3310" s="174" t="s">
        <v>1702</v>
      </c>
      <c r="I3310" s="174" t="str">
        <f t="shared" si="1"/>
        <v>SUL</v>
      </c>
    </row>
    <row r="3311" ht="14.25" customHeight="1">
      <c r="G3311" s="174" t="s">
        <v>4919</v>
      </c>
      <c r="H3311" s="174" t="s">
        <v>1750</v>
      </c>
      <c r="I3311" s="174" t="str">
        <f t="shared" si="1"/>
        <v>SUDESTE</v>
      </c>
    </row>
    <row r="3312" ht="14.25" customHeight="1">
      <c r="G3312" s="174" t="s">
        <v>4920</v>
      </c>
      <c r="H3312" s="174" t="s">
        <v>1704</v>
      </c>
      <c r="I3312" s="174" t="str">
        <f t="shared" si="1"/>
        <v>NORDESTE</v>
      </c>
    </row>
    <row r="3313" ht="14.25" customHeight="1">
      <c r="G3313" s="174" t="s">
        <v>4921</v>
      </c>
      <c r="H3313" s="174" t="s">
        <v>1658</v>
      </c>
      <c r="I3313" s="174" t="str">
        <f t="shared" si="1"/>
        <v>CENTRO OESTE</v>
      </c>
    </row>
    <row r="3314" ht="14.25" customHeight="1">
      <c r="G3314" s="174" t="s">
        <v>4922</v>
      </c>
      <c r="H3314" s="174" t="s">
        <v>1733</v>
      </c>
      <c r="I3314" s="174" t="str">
        <f t="shared" si="1"/>
        <v>NORDESTE</v>
      </c>
    </row>
    <row r="3315" ht="14.25" customHeight="1">
      <c r="G3315" s="174" t="s">
        <v>4923</v>
      </c>
      <c r="H3315" s="174" t="s">
        <v>1666</v>
      </c>
      <c r="I3315" s="174" t="str">
        <f t="shared" si="1"/>
        <v>SUDESTE</v>
      </c>
    </row>
    <row r="3316" ht="14.25" customHeight="1">
      <c r="G3316" s="174" t="s">
        <v>4924</v>
      </c>
      <c r="H3316" s="174" t="s">
        <v>1706</v>
      </c>
      <c r="I3316" s="174" t="str">
        <f t="shared" si="1"/>
        <v>SUL</v>
      </c>
    </row>
    <row r="3317" ht="14.25" customHeight="1">
      <c r="G3317" s="174" t="s">
        <v>4925</v>
      </c>
      <c r="H3317" s="174" t="s">
        <v>1702</v>
      </c>
      <c r="I3317" s="174" t="str">
        <f t="shared" si="1"/>
        <v>SUL</v>
      </c>
    </row>
    <row r="3318" ht="14.25" customHeight="1">
      <c r="G3318" s="174" t="s">
        <v>4926</v>
      </c>
      <c r="H3318" s="174" t="s">
        <v>1687</v>
      </c>
      <c r="I3318" s="174" t="str">
        <f t="shared" si="1"/>
        <v>NORTE</v>
      </c>
    </row>
    <row r="3319" ht="14.25" customHeight="1">
      <c r="G3319" s="174" t="s">
        <v>4927</v>
      </c>
      <c r="H3319" s="174" t="s">
        <v>1702</v>
      </c>
      <c r="I3319" s="174" t="str">
        <f t="shared" si="1"/>
        <v>SUL</v>
      </c>
    </row>
    <row r="3320" ht="14.25" customHeight="1">
      <c r="G3320" s="174" t="s">
        <v>4928</v>
      </c>
      <c r="H3320" s="174" t="s">
        <v>1742</v>
      </c>
      <c r="I3320" s="174" t="str">
        <f t="shared" si="1"/>
        <v>SUL</v>
      </c>
    </row>
    <row r="3321" ht="14.25" customHeight="1">
      <c r="G3321" s="174" t="s">
        <v>4929</v>
      </c>
      <c r="H3321" s="174" t="s">
        <v>1750</v>
      </c>
      <c r="I3321" s="174" t="str">
        <f t="shared" si="1"/>
        <v>SUDESTE</v>
      </c>
    </row>
    <row r="3322" ht="14.25" customHeight="1">
      <c r="G3322" s="174" t="s">
        <v>4930</v>
      </c>
      <c r="H3322" s="174" t="s">
        <v>1685</v>
      </c>
      <c r="I3322" s="174" t="str">
        <f t="shared" si="1"/>
        <v>NORDESTE</v>
      </c>
    </row>
    <row r="3323" ht="14.25" customHeight="1">
      <c r="G3323" s="174" t="s">
        <v>4930</v>
      </c>
      <c r="H3323" s="174" t="s">
        <v>1702</v>
      </c>
      <c r="I3323" s="174" t="str">
        <f t="shared" si="1"/>
        <v>SUL</v>
      </c>
    </row>
    <row r="3324" ht="14.25" customHeight="1">
      <c r="G3324" s="174" t="s">
        <v>4931</v>
      </c>
      <c r="H3324" s="174" t="s">
        <v>1719</v>
      </c>
      <c r="I3324" s="174" t="str">
        <f t="shared" si="1"/>
        <v>NORDESTE</v>
      </c>
    </row>
    <row r="3325" ht="14.25" customHeight="1">
      <c r="G3325" s="174" t="s">
        <v>4932</v>
      </c>
      <c r="H3325" s="174" t="s">
        <v>1730</v>
      </c>
      <c r="I3325" s="174" t="str">
        <f t="shared" si="1"/>
        <v>SUDESTE</v>
      </c>
    </row>
    <row r="3326" ht="14.25" customHeight="1">
      <c r="G3326" s="174" t="s">
        <v>4933</v>
      </c>
      <c r="H3326" s="174" t="s">
        <v>1658</v>
      </c>
      <c r="I3326" s="174" t="str">
        <f t="shared" si="1"/>
        <v>CENTRO OESTE</v>
      </c>
    </row>
    <row r="3327" ht="14.25" customHeight="1">
      <c r="G3327" s="174" t="s">
        <v>4934</v>
      </c>
      <c r="H3327" s="174" t="s">
        <v>1750</v>
      </c>
      <c r="I3327" s="174" t="str">
        <f t="shared" si="1"/>
        <v>SUDESTE</v>
      </c>
    </row>
    <row r="3328" ht="14.25" customHeight="1">
      <c r="G3328" s="174" t="s">
        <v>4935</v>
      </c>
      <c r="H3328" s="174" t="s">
        <v>1713</v>
      </c>
      <c r="I3328" s="174" t="str">
        <f t="shared" si="1"/>
        <v>CENTRO OESTE</v>
      </c>
    </row>
    <row r="3329" ht="14.25" customHeight="1">
      <c r="G3329" s="174" t="s">
        <v>4936</v>
      </c>
      <c r="H3329" s="174" t="s">
        <v>1750</v>
      </c>
      <c r="I3329" s="174" t="str">
        <f t="shared" si="1"/>
        <v>SUDESTE</v>
      </c>
    </row>
    <row r="3330" ht="14.25" customHeight="1">
      <c r="G3330" s="174" t="s">
        <v>4937</v>
      </c>
      <c r="H3330" s="174" t="s">
        <v>1742</v>
      </c>
      <c r="I3330" s="174" t="str">
        <f t="shared" si="1"/>
        <v>SUL</v>
      </c>
    </row>
    <row r="3331" ht="14.25" customHeight="1">
      <c r="G3331" s="174" t="s">
        <v>4938</v>
      </c>
      <c r="H3331" s="174" t="s">
        <v>1685</v>
      </c>
      <c r="I3331" s="174" t="str">
        <f t="shared" si="1"/>
        <v>NORDESTE</v>
      </c>
    </row>
    <row r="3332" ht="14.25" customHeight="1">
      <c r="G3332" s="174" t="s">
        <v>4939</v>
      </c>
      <c r="H3332" s="174" t="s">
        <v>1730</v>
      </c>
      <c r="I3332" s="174" t="str">
        <f t="shared" si="1"/>
        <v>SUDESTE</v>
      </c>
    </row>
    <row r="3333" ht="14.25" customHeight="1">
      <c r="G3333" s="174" t="s">
        <v>4940</v>
      </c>
      <c r="H3333" s="174" t="s">
        <v>1658</v>
      </c>
      <c r="I3333" s="174" t="str">
        <f t="shared" si="1"/>
        <v>CENTRO OESTE</v>
      </c>
    </row>
    <row r="3334" ht="14.25" customHeight="1">
      <c r="G3334" s="174" t="s">
        <v>4941</v>
      </c>
      <c r="H3334" s="174" t="s">
        <v>1750</v>
      </c>
      <c r="I3334" s="174" t="str">
        <f t="shared" si="1"/>
        <v>SUDESTE</v>
      </c>
    </row>
    <row r="3335" ht="14.25" customHeight="1">
      <c r="G3335" s="174" t="s">
        <v>4942</v>
      </c>
      <c r="H3335" s="174" t="s">
        <v>1704</v>
      </c>
      <c r="I3335" s="174" t="str">
        <f t="shared" si="1"/>
        <v>NORDESTE</v>
      </c>
    </row>
    <row r="3336" ht="14.25" customHeight="1">
      <c r="G3336" s="174" t="s">
        <v>4943</v>
      </c>
      <c r="H3336" s="174" t="s">
        <v>1687</v>
      </c>
      <c r="I3336" s="174" t="str">
        <f t="shared" si="1"/>
        <v>NORTE</v>
      </c>
    </row>
    <row r="3337" ht="14.25" customHeight="1">
      <c r="G3337" s="174" t="s">
        <v>4944</v>
      </c>
      <c r="H3337" s="174" t="s">
        <v>1706</v>
      </c>
      <c r="I3337" s="174" t="str">
        <f t="shared" si="1"/>
        <v>SUL</v>
      </c>
    </row>
    <row r="3338" ht="14.25" customHeight="1">
      <c r="G3338" s="174" t="s">
        <v>4945</v>
      </c>
      <c r="H3338" s="174" t="s">
        <v>1685</v>
      </c>
      <c r="I3338" s="174" t="str">
        <f t="shared" si="1"/>
        <v>NORDESTE</v>
      </c>
    </row>
    <row r="3339" ht="14.25" customHeight="1">
      <c r="G3339" s="174" t="s">
        <v>4946</v>
      </c>
      <c r="H3339" s="174" t="s">
        <v>1713</v>
      </c>
      <c r="I3339" s="174" t="str">
        <f t="shared" si="1"/>
        <v>CENTRO OESTE</v>
      </c>
    </row>
    <row r="3340" ht="14.25" customHeight="1">
      <c r="G3340" s="174" t="s">
        <v>4947</v>
      </c>
      <c r="H3340" s="174" t="s">
        <v>1702</v>
      </c>
      <c r="I3340" s="174" t="str">
        <f t="shared" si="1"/>
        <v>SUL</v>
      </c>
    </row>
    <row r="3341" ht="14.25" customHeight="1">
      <c r="G3341" s="174" t="s">
        <v>4948</v>
      </c>
      <c r="H3341" s="174" t="s">
        <v>1666</v>
      </c>
      <c r="I3341" s="174" t="str">
        <f t="shared" si="1"/>
        <v>SUDESTE</v>
      </c>
    </row>
    <row r="3342" ht="14.25" customHeight="1">
      <c r="G3342" s="174" t="s">
        <v>4949</v>
      </c>
      <c r="H3342" s="174" t="s">
        <v>1702</v>
      </c>
      <c r="I3342" s="174" t="str">
        <f t="shared" si="1"/>
        <v>SUL</v>
      </c>
    </row>
    <row r="3343" ht="14.25" customHeight="1">
      <c r="G3343" s="174" t="s">
        <v>4950</v>
      </c>
      <c r="H3343" s="174" t="s">
        <v>1750</v>
      </c>
      <c r="I3343" s="174" t="str">
        <f t="shared" si="1"/>
        <v>SUDESTE</v>
      </c>
    </row>
    <row r="3344" ht="14.25" customHeight="1">
      <c r="G3344" s="174" t="s">
        <v>4951</v>
      </c>
      <c r="H3344" s="174" t="s">
        <v>1736</v>
      </c>
      <c r="I3344" s="174" t="str">
        <f t="shared" si="1"/>
        <v>NORTE</v>
      </c>
    </row>
    <row r="3345" ht="14.25" customHeight="1">
      <c r="G3345" s="174" t="s">
        <v>4952</v>
      </c>
      <c r="H3345" s="174" t="s">
        <v>1713</v>
      </c>
      <c r="I3345" s="174" t="str">
        <f t="shared" si="1"/>
        <v>CENTRO OESTE</v>
      </c>
    </row>
    <row r="3346" ht="14.25" customHeight="1">
      <c r="G3346" s="174" t="s">
        <v>4953</v>
      </c>
      <c r="H3346" s="174" t="s">
        <v>1713</v>
      </c>
      <c r="I3346" s="174" t="str">
        <f t="shared" si="1"/>
        <v>CENTRO OESTE</v>
      </c>
    </row>
    <row r="3347" ht="14.25" customHeight="1">
      <c r="G3347" s="174" t="s">
        <v>4954</v>
      </c>
      <c r="H3347" s="174" t="s">
        <v>1666</v>
      </c>
      <c r="I3347" s="174" t="str">
        <f t="shared" si="1"/>
        <v>SUDESTE</v>
      </c>
    </row>
    <row r="3348" ht="14.25" customHeight="1">
      <c r="G3348" s="174" t="s">
        <v>4955</v>
      </c>
      <c r="H3348" s="174" t="s">
        <v>1713</v>
      </c>
      <c r="I3348" s="174" t="str">
        <f t="shared" si="1"/>
        <v>CENTRO OESTE</v>
      </c>
    </row>
    <row r="3349" ht="14.25" customHeight="1">
      <c r="G3349" s="174" t="s">
        <v>4956</v>
      </c>
      <c r="H3349" s="174" t="s">
        <v>1713</v>
      </c>
      <c r="I3349" s="174" t="str">
        <f t="shared" si="1"/>
        <v>CENTRO OESTE</v>
      </c>
    </row>
    <row r="3350" ht="14.25" customHeight="1">
      <c r="G3350" s="174" t="s">
        <v>4957</v>
      </c>
      <c r="H3350" s="174" t="s">
        <v>1713</v>
      </c>
      <c r="I3350" s="174" t="str">
        <f t="shared" si="1"/>
        <v>CENTRO OESTE</v>
      </c>
    </row>
    <row r="3351" ht="14.25" customHeight="1">
      <c r="G3351" s="174" t="s">
        <v>4958</v>
      </c>
      <c r="H3351" s="174" t="s">
        <v>1750</v>
      </c>
      <c r="I3351" s="174" t="str">
        <f t="shared" si="1"/>
        <v>SUDESTE</v>
      </c>
    </row>
    <row r="3352" ht="14.25" customHeight="1">
      <c r="G3352" s="174" t="s">
        <v>4959</v>
      </c>
      <c r="H3352" s="174" t="s">
        <v>1702</v>
      </c>
      <c r="I3352" s="174" t="str">
        <f t="shared" si="1"/>
        <v>SUL</v>
      </c>
    </row>
    <row r="3353" ht="14.25" customHeight="1">
      <c r="G3353" s="174" t="s">
        <v>4959</v>
      </c>
      <c r="H3353" s="174" t="s">
        <v>1713</v>
      </c>
      <c r="I3353" s="174" t="str">
        <f t="shared" si="1"/>
        <v>CENTRO OESTE</v>
      </c>
    </row>
    <row r="3354" ht="14.25" customHeight="1">
      <c r="G3354" s="174" t="s">
        <v>4960</v>
      </c>
      <c r="H3354" s="174" t="s">
        <v>1721</v>
      </c>
      <c r="I3354" s="174" t="str">
        <f t="shared" si="1"/>
        <v>NORTE</v>
      </c>
    </row>
    <row r="3355" ht="14.25" customHeight="1">
      <c r="G3355" s="174" t="s">
        <v>4960</v>
      </c>
      <c r="H3355" s="174" t="s">
        <v>1690</v>
      </c>
      <c r="I3355" s="174" t="str">
        <f t="shared" si="1"/>
        <v>NORDESTE</v>
      </c>
    </row>
    <row r="3356" ht="14.25" customHeight="1">
      <c r="G3356" s="174" t="s">
        <v>4960</v>
      </c>
      <c r="H3356" s="174" t="s">
        <v>1719</v>
      </c>
      <c r="I3356" s="174" t="str">
        <f t="shared" si="1"/>
        <v>NORDESTE</v>
      </c>
    </row>
    <row r="3357" ht="14.25" customHeight="1">
      <c r="G3357" s="174" t="s">
        <v>4961</v>
      </c>
      <c r="H3357" s="174" t="s">
        <v>1704</v>
      </c>
      <c r="I3357" s="174" t="str">
        <f t="shared" si="1"/>
        <v>NORDESTE</v>
      </c>
    </row>
    <row r="3358" ht="14.25" customHeight="1">
      <c r="G3358" s="174" t="s">
        <v>4962</v>
      </c>
      <c r="H3358" s="174" t="s">
        <v>1672</v>
      </c>
      <c r="I3358" s="174" t="str">
        <f t="shared" si="1"/>
        <v>NORTE</v>
      </c>
    </row>
    <row r="3359" ht="14.25" customHeight="1">
      <c r="G3359" s="174" t="s">
        <v>4963</v>
      </c>
      <c r="H3359" s="174" t="s">
        <v>1742</v>
      </c>
      <c r="I3359" s="174" t="str">
        <f t="shared" si="1"/>
        <v>SUL</v>
      </c>
    </row>
    <row r="3360" ht="14.25" customHeight="1">
      <c r="G3360" s="174" t="s">
        <v>4964</v>
      </c>
      <c r="H3360" s="174" t="s">
        <v>1742</v>
      </c>
      <c r="I3360" s="174" t="str">
        <f t="shared" si="1"/>
        <v>SUL</v>
      </c>
    </row>
    <row r="3361" ht="14.25" customHeight="1">
      <c r="G3361" s="174" t="s">
        <v>4965</v>
      </c>
      <c r="H3361" s="174" t="s">
        <v>1719</v>
      </c>
      <c r="I3361" s="174" t="str">
        <f t="shared" si="1"/>
        <v>NORDESTE</v>
      </c>
    </row>
    <row r="3362" ht="14.25" customHeight="1">
      <c r="G3362" s="174" t="s">
        <v>4966</v>
      </c>
      <c r="H3362" s="174" t="s">
        <v>1742</v>
      </c>
      <c r="I3362" s="174" t="str">
        <f t="shared" si="1"/>
        <v>SUL</v>
      </c>
    </row>
    <row r="3363" ht="14.25" customHeight="1">
      <c r="G3363" s="174" t="s">
        <v>4967</v>
      </c>
      <c r="H3363" s="174" t="s">
        <v>1666</v>
      </c>
      <c r="I3363" s="174" t="str">
        <f t="shared" si="1"/>
        <v>SUDESTE</v>
      </c>
    </row>
    <row r="3364" ht="14.25" customHeight="1">
      <c r="G3364" s="174" t="s">
        <v>4968</v>
      </c>
      <c r="H3364" s="174" t="s">
        <v>1666</v>
      </c>
      <c r="I3364" s="174" t="str">
        <f t="shared" si="1"/>
        <v>SUDESTE</v>
      </c>
    </row>
    <row r="3365" ht="14.25" customHeight="1">
      <c r="G3365" s="174" t="s">
        <v>4969</v>
      </c>
      <c r="H3365" s="174" t="s">
        <v>1742</v>
      </c>
      <c r="I3365" s="174" t="str">
        <f t="shared" si="1"/>
        <v>SUL</v>
      </c>
    </row>
    <row r="3366" ht="14.25" customHeight="1">
      <c r="G3366" s="174" t="s">
        <v>4970</v>
      </c>
      <c r="H3366" s="174" t="s">
        <v>1702</v>
      </c>
      <c r="I3366" s="174" t="str">
        <f t="shared" si="1"/>
        <v>SUL</v>
      </c>
    </row>
    <row r="3367" ht="14.25" customHeight="1">
      <c r="G3367" s="174" t="s">
        <v>4971</v>
      </c>
      <c r="H3367" s="174" t="s">
        <v>1742</v>
      </c>
      <c r="I3367" s="174" t="str">
        <f t="shared" si="1"/>
        <v>SUL</v>
      </c>
    </row>
    <row r="3368" ht="14.25" customHeight="1">
      <c r="G3368" s="174" t="s">
        <v>4972</v>
      </c>
      <c r="H3368" s="174" t="s">
        <v>1685</v>
      </c>
      <c r="I3368" s="174" t="str">
        <f t="shared" si="1"/>
        <v>NORDESTE</v>
      </c>
    </row>
    <row r="3369" ht="14.25" customHeight="1">
      <c r="G3369" s="174" t="s">
        <v>4973</v>
      </c>
      <c r="H3369" s="174" t="s">
        <v>1666</v>
      </c>
      <c r="I3369" s="174" t="str">
        <f t="shared" si="1"/>
        <v>SUDESTE</v>
      </c>
    </row>
    <row r="3370" ht="14.25" customHeight="1">
      <c r="G3370" s="174" t="s">
        <v>4974</v>
      </c>
      <c r="H3370" s="174" t="s">
        <v>1658</v>
      </c>
      <c r="I3370" s="174" t="str">
        <f t="shared" si="1"/>
        <v>CENTRO OESTE</v>
      </c>
    </row>
    <row r="3371" ht="14.25" customHeight="1">
      <c r="G3371" s="174" t="s">
        <v>4975</v>
      </c>
      <c r="H3371" s="174" t="s">
        <v>1742</v>
      </c>
      <c r="I3371" s="174" t="str">
        <f t="shared" si="1"/>
        <v>SUL</v>
      </c>
    </row>
    <row r="3372" ht="14.25" customHeight="1">
      <c r="G3372" s="174" t="s">
        <v>4976</v>
      </c>
      <c r="H3372" s="174" t="s">
        <v>1721</v>
      </c>
      <c r="I3372" s="174" t="str">
        <f t="shared" si="1"/>
        <v>NORTE</v>
      </c>
    </row>
    <row r="3373" ht="14.25" customHeight="1">
      <c r="G3373" s="174" t="s">
        <v>4977</v>
      </c>
      <c r="H3373" s="174" t="s">
        <v>1690</v>
      </c>
      <c r="I3373" s="174" t="str">
        <f t="shared" si="1"/>
        <v>NORDESTE</v>
      </c>
    </row>
    <row r="3374" ht="14.25" customHeight="1">
      <c r="G3374" s="174" t="s">
        <v>4978</v>
      </c>
      <c r="H3374" s="174" t="s">
        <v>1702</v>
      </c>
      <c r="I3374" s="174" t="str">
        <f t="shared" si="1"/>
        <v>SUL</v>
      </c>
    </row>
    <row r="3375" ht="14.25" customHeight="1">
      <c r="G3375" s="174" t="s">
        <v>4979</v>
      </c>
      <c r="H3375" s="174" t="s">
        <v>1713</v>
      </c>
      <c r="I3375" s="174" t="str">
        <f t="shared" si="1"/>
        <v>CENTRO OESTE</v>
      </c>
    </row>
    <row r="3376" ht="14.25" customHeight="1">
      <c r="G3376" s="174" t="s">
        <v>4980</v>
      </c>
      <c r="H3376" s="174" t="s">
        <v>1725</v>
      </c>
      <c r="I3376" s="174" t="str">
        <f t="shared" si="1"/>
        <v>NORDESTE</v>
      </c>
    </row>
    <row r="3377" ht="14.25" customHeight="1">
      <c r="G3377" s="174" t="s">
        <v>4980</v>
      </c>
      <c r="H3377" s="174" t="s">
        <v>1742</v>
      </c>
      <c r="I3377" s="174" t="str">
        <f t="shared" si="1"/>
        <v>SUL</v>
      </c>
    </row>
    <row r="3378" ht="14.25" customHeight="1">
      <c r="G3378" s="174" t="s">
        <v>4981</v>
      </c>
      <c r="H3378" s="174" t="s">
        <v>1702</v>
      </c>
      <c r="I3378" s="174" t="str">
        <f t="shared" si="1"/>
        <v>SUL</v>
      </c>
    </row>
    <row r="3379" ht="14.25" customHeight="1">
      <c r="G3379" s="174" t="s">
        <v>4982</v>
      </c>
      <c r="H3379" s="174" t="s">
        <v>1666</v>
      </c>
      <c r="I3379" s="174" t="str">
        <f t="shared" si="1"/>
        <v>SUDESTE</v>
      </c>
    </row>
    <row r="3380" ht="14.25" customHeight="1">
      <c r="G3380" s="174" t="s">
        <v>4983</v>
      </c>
      <c r="H3380" s="174" t="s">
        <v>1685</v>
      </c>
      <c r="I3380" s="174" t="str">
        <f t="shared" si="1"/>
        <v>NORDESTE</v>
      </c>
    </row>
    <row r="3381" ht="14.25" customHeight="1">
      <c r="G3381" s="174" t="s">
        <v>4984</v>
      </c>
      <c r="H3381" s="174" t="s">
        <v>1702</v>
      </c>
      <c r="I3381" s="174" t="str">
        <f t="shared" si="1"/>
        <v>SUL</v>
      </c>
    </row>
    <row r="3382" ht="14.25" customHeight="1">
      <c r="G3382" s="174" t="s">
        <v>4985</v>
      </c>
      <c r="H3382" s="174" t="s">
        <v>1687</v>
      </c>
      <c r="I3382" s="174" t="str">
        <f t="shared" si="1"/>
        <v>NORTE</v>
      </c>
    </row>
    <row r="3383" ht="14.25" customHeight="1">
      <c r="G3383" s="174" t="s">
        <v>4986</v>
      </c>
      <c r="H3383" s="174" t="s">
        <v>1706</v>
      </c>
      <c r="I3383" s="174" t="str">
        <f t="shared" si="1"/>
        <v>SUL</v>
      </c>
    </row>
    <row r="3384" ht="14.25" customHeight="1">
      <c r="G3384" s="174" t="s">
        <v>4987</v>
      </c>
      <c r="H3384" s="174" t="s">
        <v>1713</v>
      </c>
      <c r="I3384" s="174" t="str">
        <f t="shared" si="1"/>
        <v>CENTRO OESTE</v>
      </c>
    </row>
    <row r="3385" ht="14.25" customHeight="1">
      <c r="G3385" s="174" t="s">
        <v>4988</v>
      </c>
      <c r="H3385" s="174" t="s">
        <v>1736</v>
      </c>
      <c r="I3385" s="174" t="str">
        <f t="shared" si="1"/>
        <v>NORTE</v>
      </c>
    </row>
    <row r="3386" ht="14.25" customHeight="1">
      <c r="G3386" s="174" t="s">
        <v>4988</v>
      </c>
      <c r="H3386" s="174" t="s">
        <v>1666</v>
      </c>
      <c r="I3386" s="174" t="str">
        <f t="shared" si="1"/>
        <v>SUDESTE</v>
      </c>
    </row>
    <row r="3387" ht="14.25" customHeight="1">
      <c r="G3387" s="174" t="s">
        <v>4989</v>
      </c>
      <c r="H3387" s="174" t="s">
        <v>1698</v>
      </c>
      <c r="I3387" s="174" t="str">
        <f t="shared" si="1"/>
        <v>SUDESTE</v>
      </c>
    </row>
    <row r="3388" ht="14.25" customHeight="1">
      <c r="G3388" s="174" t="s">
        <v>4990</v>
      </c>
      <c r="H3388" s="174" t="s">
        <v>1706</v>
      </c>
      <c r="I3388" s="174" t="str">
        <f t="shared" si="1"/>
        <v>SUL</v>
      </c>
    </row>
    <row r="3389" ht="14.25" customHeight="1">
      <c r="G3389" s="174" t="s">
        <v>4990</v>
      </c>
      <c r="H3389" s="174" t="s">
        <v>1658</v>
      </c>
      <c r="I3389" s="174" t="str">
        <f t="shared" si="1"/>
        <v>CENTRO OESTE</v>
      </c>
    </row>
    <row r="3390" ht="14.25" customHeight="1">
      <c r="G3390" s="174" t="s">
        <v>4991</v>
      </c>
      <c r="H3390" s="174" t="s">
        <v>1685</v>
      </c>
      <c r="I3390" s="174" t="str">
        <f t="shared" si="1"/>
        <v>NORDESTE</v>
      </c>
    </row>
    <row r="3391" ht="14.25" customHeight="1">
      <c r="G3391" s="174" t="s">
        <v>4992</v>
      </c>
      <c r="H3391" s="174" t="s">
        <v>1713</v>
      </c>
      <c r="I3391" s="174" t="str">
        <f t="shared" si="1"/>
        <v>CENTRO OESTE</v>
      </c>
    </row>
    <row r="3392" ht="14.25" customHeight="1">
      <c r="G3392" s="174" t="s">
        <v>4993</v>
      </c>
      <c r="H3392" s="174" t="s">
        <v>1750</v>
      </c>
      <c r="I3392" s="174" t="str">
        <f t="shared" si="1"/>
        <v>SUDESTE</v>
      </c>
    </row>
    <row r="3393" ht="14.25" customHeight="1">
      <c r="G3393" s="174" t="s">
        <v>4994</v>
      </c>
      <c r="H3393" s="174" t="s">
        <v>1721</v>
      </c>
      <c r="I3393" s="174" t="str">
        <f t="shared" si="1"/>
        <v>NORTE</v>
      </c>
    </row>
    <row r="3394" ht="14.25" customHeight="1">
      <c r="G3394" s="174" t="s">
        <v>4995</v>
      </c>
      <c r="H3394" s="174" t="s">
        <v>1672</v>
      </c>
      <c r="I3394" s="174" t="str">
        <f t="shared" si="1"/>
        <v>NORTE</v>
      </c>
    </row>
    <row r="3395" ht="14.25" customHeight="1">
      <c r="G3395" s="174" t="s">
        <v>4996</v>
      </c>
      <c r="H3395" s="174" t="s">
        <v>1721</v>
      </c>
      <c r="I3395" s="174" t="str">
        <f t="shared" si="1"/>
        <v>NORTE</v>
      </c>
    </row>
    <row r="3396" ht="14.25" customHeight="1">
      <c r="G3396" s="174" t="s">
        <v>4997</v>
      </c>
      <c r="H3396" s="174" t="s">
        <v>1672</v>
      </c>
      <c r="I3396" s="174" t="str">
        <f t="shared" si="1"/>
        <v>NORTE</v>
      </c>
    </row>
    <row r="3397" ht="14.25" customHeight="1">
      <c r="G3397" s="174" t="s">
        <v>4998</v>
      </c>
      <c r="H3397" s="174" t="s">
        <v>1742</v>
      </c>
      <c r="I3397" s="174" t="str">
        <f t="shared" si="1"/>
        <v>SUL</v>
      </c>
    </row>
    <row r="3398" ht="14.25" customHeight="1">
      <c r="G3398" s="174" t="s">
        <v>4999</v>
      </c>
      <c r="H3398" s="174" t="s">
        <v>1658</v>
      </c>
      <c r="I3398" s="174" t="str">
        <f t="shared" si="1"/>
        <v>CENTRO OESTE</v>
      </c>
    </row>
    <row r="3399" ht="14.25" customHeight="1">
      <c r="G3399" s="174" t="s">
        <v>5000</v>
      </c>
      <c r="H3399" s="174" t="s">
        <v>1742</v>
      </c>
      <c r="I3399" s="174" t="str">
        <f t="shared" si="1"/>
        <v>SUL</v>
      </c>
    </row>
    <row r="3400" ht="14.25" customHeight="1">
      <c r="G3400" s="174" t="s">
        <v>5001</v>
      </c>
      <c r="H3400" s="174" t="s">
        <v>1666</v>
      </c>
      <c r="I3400" s="174" t="str">
        <f t="shared" si="1"/>
        <v>SUDESTE</v>
      </c>
    </row>
    <row r="3401" ht="14.25" customHeight="1">
      <c r="G3401" s="174" t="s">
        <v>5002</v>
      </c>
      <c r="H3401" s="174" t="s">
        <v>1658</v>
      </c>
      <c r="I3401" s="174" t="str">
        <f t="shared" si="1"/>
        <v>CENTRO OESTE</v>
      </c>
    </row>
    <row r="3402" ht="14.25" customHeight="1">
      <c r="G3402" s="174" t="s">
        <v>5003</v>
      </c>
      <c r="H3402" s="174" t="s">
        <v>1742</v>
      </c>
      <c r="I3402" s="174" t="str">
        <f t="shared" si="1"/>
        <v>SUL</v>
      </c>
    </row>
    <row r="3403" ht="14.25" customHeight="1">
      <c r="G3403" s="174" t="s">
        <v>5004</v>
      </c>
      <c r="H3403" s="174" t="s">
        <v>1685</v>
      </c>
      <c r="I3403" s="174" t="str">
        <f t="shared" si="1"/>
        <v>NORDESTE</v>
      </c>
    </row>
    <row r="3404" ht="14.25" customHeight="1">
      <c r="G3404" s="174" t="s">
        <v>5004</v>
      </c>
      <c r="H3404" s="174" t="s">
        <v>1750</v>
      </c>
      <c r="I3404" s="174" t="str">
        <f t="shared" si="1"/>
        <v>SUDESTE</v>
      </c>
    </row>
    <row r="3405" ht="14.25" customHeight="1">
      <c r="G3405" s="174" t="s">
        <v>5004</v>
      </c>
      <c r="H3405" s="174" t="s">
        <v>1706</v>
      </c>
      <c r="I3405" s="174" t="str">
        <f t="shared" si="1"/>
        <v>SUL</v>
      </c>
    </row>
    <row r="3406" ht="14.25" customHeight="1">
      <c r="G3406" s="174" t="s">
        <v>5005</v>
      </c>
      <c r="H3406" s="174" t="s">
        <v>1713</v>
      </c>
      <c r="I3406" s="174" t="str">
        <f t="shared" si="1"/>
        <v>CENTRO OESTE</v>
      </c>
    </row>
    <row r="3407" ht="14.25" customHeight="1">
      <c r="G3407" s="174" t="s">
        <v>5006</v>
      </c>
      <c r="H3407" s="174" t="s">
        <v>1736</v>
      </c>
      <c r="I3407" s="174" t="str">
        <f t="shared" si="1"/>
        <v>NORTE</v>
      </c>
    </row>
    <row r="3408" ht="14.25" customHeight="1">
      <c r="G3408" s="174" t="s">
        <v>5007</v>
      </c>
      <c r="H3408" s="174" t="s">
        <v>1710</v>
      </c>
      <c r="I3408" s="174" t="str">
        <f t="shared" si="1"/>
        <v>CENTRO OESTE</v>
      </c>
    </row>
    <row r="3409" ht="14.25" customHeight="1">
      <c r="G3409" s="174" t="s">
        <v>5008</v>
      </c>
      <c r="H3409" s="174" t="s">
        <v>1702</v>
      </c>
      <c r="I3409" s="174" t="str">
        <f t="shared" si="1"/>
        <v>SUL</v>
      </c>
    </row>
    <row r="3410" ht="14.25" customHeight="1">
      <c r="G3410" s="174" t="s">
        <v>5009</v>
      </c>
      <c r="H3410" s="174" t="s">
        <v>1721</v>
      </c>
      <c r="I3410" s="174" t="str">
        <f t="shared" si="1"/>
        <v>NORTE</v>
      </c>
    </row>
    <row r="3411" ht="14.25" customHeight="1">
      <c r="G3411" s="174" t="s">
        <v>5010</v>
      </c>
      <c r="H3411" s="174" t="s">
        <v>1664</v>
      </c>
      <c r="I3411" s="174" t="str">
        <f t="shared" si="1"/>
        <v>NORDESTE</v>
      </c>
    </row>
    <row r="3412" ht="14.25" customHeight="1">
      <c r="G3412" s="174" t="s">
        <v>5011</v>
      </c>
      <c r="H3412" s="174" t="s">
        <v>1742</v>
      </c>
      <c r="I3412" s="174" t="str">
        <f t="shared" si="1"/>
        <v>SUL</v>
      </c>
    </row>
    <row r="3413" ht="14.25" customHeight="1">
      <c r="G3413" s="174" t="s">
        <v>5012</v>
      </c>
      <c r="H3413" s="174" t="s">
        <v>1713</v>
      </c>
      <c r="I3413" s="174" t="str">
        <f t="shared" si="1"/>
        <v>CENTRO OESTE</v>
      </c>
    </row>
    <row r="3414" ht="14.25" customHeight="1">
      <c r="G3414" s="174" t="s">
        <v>5013</v>
      </c>
      <c r="H3414" s="174" t="s">
        <v>1690</v>
      </c>
      <c r="I3414" s="174" t="str">
        <f t="shared" si="1"/>
        <v>NORDESTE</v>
      </c>
    </row>
    <row r="3415" ht="14.25" customHeight="1">
      <c r="G3415" s="174" t="s">
        <v>5014</v>
      </c>
      <c r="H3415" s="174" t="s">
        <v>1666</v>
      </c>
      <c r="I3415" s="174" t="str">
        <f t="shared" si="1"/>
        <v>SUDESTE</v>
      </c>
    </row>
    <row r="3416" ht="14.25" customHeight="1">
      <c r="G3416" s="174" t="s">
        <v>5015</v>
      </c>
      <c r="H3416" s="174" t="s">
        <v>1725</v>
      </c>
      <c r="I3416" s="174" t="str">
        <f t="shared" si="1"/>
        <v>NORDESTE</v>
      </c>
    </row>
    <row r="3417" ht="14.25" customHeight="1">
      <c r="G3417" s="174" t="s">
        <v>5016</v>
      </c>
      <c r="H3417" s="174" t="s">
        <v>1658</v>
      </c>
      <c r="I3417" s="174" t="str">
        <f t="shared" si="1"/>
        <v>CENTRO OESTE</v>
      </c>
    </row>
    <row r="3418" ht="14.25" customHeight="1">
      <c r="G3418" s="174" t="s">
        <v>5017</v>
      </c>
      <c r="H3418" s="174" t="s">
        <v>1687</v>
      </c>
      <c r="I3418" s="174" t="str">
        <f t="shared" si="1"/>
        <v>NORTE</v>
      </c>
    </row>
    <row r="3419" ht="14.25" customHeight="1">
      <c r="G3419" s="174" t="s">
        <v>5018</v>
      </c>
      <c r="H3419" s="174" t="s">
        <v>1687</v>
      </c>
      <c r="I3419" s="174" t="str">
        <f t="shared" si="1"/>
        <v>NORTE</v>
      </c>
    </row>
    <row r="3420" ht="14.25" customHeight="1">
      <c r="G3420" s="174" t="s">
        <v>5019</v>
      </c>
      <c r="H3420" s="174" t="s">
        <v>1725</v>
      </c>
      <c r="I3420" s="174" t="str">
        <f t="shared" si="1"/>
        <v>NORDESTE</v>
      </c>
    </row>
    <row r="3421" ht="14.25" customHeight="1">
      <c r="G3421" s="174" t="s">
        <v>5019</v>
      </c>
      <c r="H3421" s="174" t="s">
        <v>1713</v>
      </c>
      <c r="I3421" s="174" t="str">
        <f t="shared" si="1"/>
        <v>CENTRO OESTE</v>
      </c>
    </row>
    <row r="3422" ht="14.25" customHeight="1">
      <c r="G3422" s="174" t="s">
        <v>5020</v>
      </c>
      <c r="H3422" s="174" t="s">
        <v>1713</v>
      </c>
      <c r="I3422" s="174" t="str">
        <f t="shared" si="1"/>
        <v>CENTRO OESTE</v>
      </c>
    </row>
    <row r="3423" ht="14.25" customHeight="1">
      <c r="G3423" s="174" t="s">
        <v>5021</v>
      </c>
      <c r="H3423" s="174" t="s">
        <v>1742</v>
      </c>
      <c r="I3423" s="174" t="str">
        <f t="shared" si="1"/>
        <v>SUL</v>
      </c>
    </row>
    <row r="3424" ht="14.25" customHeight="1">
      <c r="G3424" s="174" t="s">
        <v>5022</v>
      </c>
      <c r="H3424" s="174" t="s">
        <v>1685</v>
      </c>
      <c r="I3424" s="174" t="str">
        <f t="shared" si="1"/>
        <v>NORDESTE</v>
      </c>
    </row>
    <row r="3425" ht="14.25" customHeight="1">
      <c r="G3425" s="174" t="s">
        <v>5023</v>
      </c>
      <c r="H3425" s="174" t="s">
        <v>1742</v>
      </c>
      <c r="I3425" s="174" t="str">
        <f t="shared" si="1"/>
        <v>SUL</v>
      </c>
    </row>
    <row r="3426" ht="14.25" customHeight="1">
      <c r="G3426" s="174" t="s">
        <v>5024</v>
      </c>
      <c r="H3426" s="174" t="s">
        <v>1666</v>
      </c>
      <c r="I3426" s="174" t="str">
        <f t="shared" si="1"/>
        <v>SUDESTE</v>
      </c>
    </row>
    <row r="3427" ht="14.25" customHeight="1">
      <c r="G3427" s="174" t="s">
        <v>5025</v>
      </c>
      <c r="H3427" s="174" t="s">
        <v>1750</v>
      </c>
      <c r="I3427" s="174" t="str">
        <f t="shared" si="1"/>
        <v>SUDESTE</v>
      </c>
    </row>
    <row r="3428" ht="14.25" customHeight="1">
      <c r="G3428" s="174" t="s">
        <v>5026</v>
      </c>
      <c r="H3428" s="174" t="s">
        <v>1687</v>
      </c>
      <c r="I3428" s="174" t="str">
        <f t="shared" si="1"/>
        <v>NORTE</v>
      </c>
    </row>
    <row r="3429" ht="14.25" customHeight="1">
      <c r="G3429" s="174" t="s">
        <v>5027</v>
      </c>
      <c r="H3429" s="174" t="s">
        <v>1690</v>
      </c>
      <c r="I3429" s="174" t="str">
        <f t="shared" si="1"/>
        <v>NORDESTE</v>
      </c>
    </row>
    <row r="3430" ht="14.25" customHeight="1">
      <c r="G3430" s="174" t="s">
        <v>5028</v>
      </c>
      <c r="H3430" s="174" t="s">
        <v>1750</v>
      </c>
      <c r="I3430" s="174" t="str">
        <f t="shared" si="1"/>
        <v>SUDESTE</v>
      </c>
    </row>
    <row r="3431" ht="14.25" customHeight="1">
      <c r="G3431" s="174" t="s">
        <v>5029</v>
      </c>
      <c r="H3431" s="174" t="s">
        <v>1725</v>
      </c>
      <c r="I3431" s="174" t="str">
        <f t="shared" si="1"/>
        <v>NORDESTE</v>
      </c>
    </row>
    <row r="3432" ht="14.25" customHeight="1">
      <c r="G3432" s="174" t="s">
        <v>5030</v>
      </c>
      <c r="H3432" s="174" t="s">
        <v>1687</v>
      </c>
      <c r="I3432" s="174" t="str">
        <f t="shared" si="1"/>
        <v>NORTE</v>
      </c>
    </row>
    <row r="3433" ht="14.25" customHeight="1">
      <c r="G3433" s="174" t="s">
        <v>5031</v>
      </c>
      <c r="H3433" s="174" t="s">
        <v>1679</v>
      </c>
      <c r="I3433" s="174" t="str">
        <f t="shared" si="1"/>
        <v>NORTE</v>
      </c>
    </row>
    <row r="3434" ht="14.25" customHeight="1">
      <c r="G3434" s="174" t="s">
        <v>5032</v>
      </c>
      <c r="H3434" s="174" t="s">
        <v>1666</v>
      </c>
      <c r="I3434" s="174" t="str">
        <f t="shared" si="1"/>
        <v>SUDESTE</v>
      </c>
    </row>
    <row r="3435" ht="14.25" customHeight="1">
      <c r="G3435" s="174" t="s">
        <v>5033</v>
      </c>
      <c r="H3435" s="174" t="s">
        <v>1750</v>
      </c>
      <c r="I3435" s="174" t="str">
        <f t="shared" si="1"/>
        <v>SUDESTE</v>
      </c>
    </row>
    <row r="3436" ht="14.25" customHeight="1">
      <c r="G3436" s="174" t="s">
        <v>5034</v>
      </c>
      <c r="H3436" s="174" t="s">
        <v>1719</v>
      </c>
      <c r="I3436" s="174" t="str">
        <f t="shared" si="1"/>
        <v>NORDESTE</v>
      </c>
    </row>
    <row r="3437" ht="14.25" customHeight="1">
      <c r="G3437" s="174" t="s">
        <v>5035</v>
      </c>
      <c r="H3437" s="174" t="s">
        <v>1704</v>
      </c>
      <c r="I3437" s="174" t="str">
        <f t="shared" si="1"/>
        <v>NORDESTE</v>
      </c>
    </row>
    <row r="3438" ht="14.25" customHeight="1">
      <c r="G3438" s="174" t="s">
        <v>5036</v>
      </c>
      <c r="H3438" s="174" t="s">
        <v>1664</v>
      </c>
      <c r="I3438" s="174" t="str">
        <f t="shared" si="1"/>
        <v>NORDESTE</v>
      </c>
    </row>
    <row r="3439" ht="14.25" customHeight="1">
      <c r="G3439" s="174" t="s">
        <v>5037</v>
      </c>
      <c r="H3439" s="174" t="s">
        <v>1664</v>
      </c>
      <c r="I3439" s="174" t="str">
        <f t="shared" si="1"/>
        <v>NORDESTE</v>
      </c>
    </row>
    <row r="3440" ht="14.25" customHeight="1">
      <c r="G3440" s="174" t="s">
        <v>5038</v>
      </c>
      <c r="H3440" s="174" t="s">
        <v>1725</v>
      </c>
      <c r="I3440" s="174" t="str">
        <f t="shared" si="1"/>
        <v>NORDESTE</v>
      </c>
    </row>
    <row r="3441" ht="14.25" customHeight="1">
      <c r="G3441" s="174" t="s">
        <v>5039</v>
      </c>
      <c r="H3441" s="174" t="s">
        <v>1664</v>
      </c>
      <c r="I3441" s="174" t="str">
        <f t="shared" si="1"/>
        <v>NORDESTE</v>
      </c>
    </row>
    <row r="3442" ht="14.25" customHeight="1">
      <c r="G3442" s="174" t="s">
        <v>5040</v>
      </c>
      <c r="H3442" s="174" t="s">
        <v>1733</v>
      </c>
      <c r="I3442" s="174" t="str">
        <f t="shared" si="1"/>
        <v>NORDESTE</v>
      </c>
    </row>
    <row r="3443" ht="14.25" customHeight="1">
      <c r="G3443" s="174" t="s">
        <v>5041</v>
      </c>
      <c r="H3443" s="174" t="s">
        <v>1666</v>
      </c>
      <c r="I3443" s="174" t="str">
        <f t="shared" si="1"/>
        <v>SUDESTE</v>
      </c>
    </row>
    <row r="3444" ht="14.25" customHeight="1">
      <c r="G3444" s="174" t="s">
        <v>5042</v>
      </c>
      <c r="H3444" s="174" t="s">
        <v>1750</v>
      </c>
      <c r="I3444" s="174" t="str">
        <f t="shared" si="1"/>
        <v>SUDESTE</v>
      </c>
    </row>
    <row r="3445" ht="14.25" customHeight="1">
      <c r="G3445" s="174" t="s">
        <v>5043</v>
      </c>
      <c r="H3445" s="174" t="s">
        <v>1666</v>
      </c>
      <c r="I3445" s="174" t="str">
        <f t="shared" si="1"/>
        <v>SUDESTE</v>
      </c>
    </row>
    <row r="3446" ht="14.25" customHeight="1">
      <c r="G3446" s="174" t="s">
        <v>5044</v>
      </c>
      <c r="H3446" s="174" t="s">
        <v>1717</v>
      </c>
      <c r="I3446" s="174" t="str">
        <f t="shared" si="1"/>
        <v>NORDESTE</v>
      </c>
    </row>
    <row r="3447" ht="14.25" customHeight="1">
      <c r="G3447" s="174" t="s">
        <v>5045</v>
      </c>
      <c r="H3447" s="174" t="s">
        <v>1704</v>
      </c>
      <c r="I3447" s="174" t="str">
        <f t="shared" si="1"/>
        <v>NORDESTE</v>
      </c>
    </row>
    <row r="3448" ht="14.25" customHeight="1">
      <c r="G3448" s="174" t="s">
        <v>5046</v>
      </c>
      <c r="H3448" s="174" t="s">
        <v>1685</v>
      </c>
      <c r="I3448" s="174" t="str">
        <f t="shared" si="1"/>
        <v>NORDESTE</v>
      </c>
    </row>
    <row r="3449" ht="14.25" customHeight="1">
      <c r="G3449" s="174" t="s">
        <v>5047</v>
      </c>
      <c r="H3449" s="174" t="s">
        <v>1719</v>
      </c>
      <c r="I3449" s="174" t="str">
        <f t="shared" si="1"/>
        <v>NORDESTE</v>
      </c>
    </row>
    <row r="3450" ht="14.25" customHeight="1">
      <c r="G3450" s="174" t="s">
        <v>5048</v>
      </c>
      <c r="H3450" s="174" t="s">
        <v>1666</v>
      </c>
      <c r="I3450" s="174" t="str">
        <f t="shared" si="1"/>
        <v>SUDESTE</v>
      </c>
    </row>
    <row r="3451" ht="14.25" customHeight="1">
      <c r="G3451" s="174" t="s">
        <v>5049</v>
      </c>
      <c r="H3451" s="174" t="s">
        <v>1721</v>
      </c>
      <c r="I3451" s="174" t="str">
        <f t="shared" si="1"/>
        <v>NORTE</v>
      </c>
    </row>
    <row r="3452" ht="14.25" customHeight="1">
      <c r="G3452" s="174" t="s">
        <v>5050</v>
      </c>
      <c r="H3452" s="174" t="s">
        <v>1685</v>
      </c>
      <c r="I3452" s="174" t="str">
        <f t="shared" si="1"/>
        <v>NORDESTE</v>
      </c>
    </row>
    <row r="3453" ht="14.25" customHeight="1">
      <c r="G3453" s="174" t="s">
        <v>5051</v>
      </c>
      <c r="H3453" s="174" t="s">
        <v>1666</v>
      </c>
      <c r="I3453" s="174" t="str">
        <f t="shared" si="1"/>
        <v>SUDESTE</v>
      </c>
    </row>
    <row r="3454" ht="14.25" customHeight="1">
      <c r="G3454" s="174" t="s">
        <v>5052</v>
      </c>
      <c r="H3454" s="174" t="s">
        <v>1664</v>
      </c>
      <c r="I3454" s="174" t="str">
        <f t="shared" si="1"/>
        <v>NORDESTE</v>
      </c>
    </row>
    <row r="3455" ht="14.25" customHeight="1">
      <c r="G3455" s="174" t="s">
        <v>5053</v>
      </c>
      <c r="H3455" s="174" t="s">
        <v>1666</v>
      </c>
      <c r="I3455" s="174" t="str">
        <f t="shared" si="1"/>
        <v>SUDESTE</v>
      </c>
    </row>
    <row r="3456" ht="14.25" customHeight="1">
      <c r="G3456" s="174" t="s">
        <v>5054</v>
      </c>
      <c r="H3456" s="174" t="s">
        <v>1750</v>
      </c>
      <c r="I3456" s="174" t="str">
        <f t="shared" si="1"/>
        <v>SUDESTE</v>
      </c>
    </row>
    <row r="3457" ht="14.25" customHeight="1">
      <c r="G3457" s="174" t="s">
        <v>5055</v>
      </c>
      <c r="H3457" s="174" t="s">
        <v>1666</v>
      </c>
      <c r="I3457" s="174" t="str">
        <f t="shared" si="1"/>
        <v>SUDESTE</v>
      </c>
    </row>
    <row r="3458" ht="14.25" customHeight="1">
      <c r="G3458" s="174" t="s">
        <v>5056</v>
      </c>
      <c r="H3458" s="174" t="s">
        <v>1750</v>
      </c>
      <c r="I3458" s="174" t="str">
        <f t="shared" si="1"/>
        <v>SUDESTE</v>
      </c>
    </row>
    <row r="3459" ht="14.25" customHeight="1">
      <c r="G3459" s="174" t="s">
        <v>5057</v>
      </c>
      <c r="H3459" s="174" t="s">
        <v>1750</v>
      </c>
      <c r="I3459" s="174" t="str">
        <f t="shared" si="1"/>
        <v>SUDESTE</v>
      </c>
    </row>
    <row r="3460" ht="14.25" customHeight="1">
      <c r="G3460" s="174" t="s">
        <v>5058</v>
      </c>
      <c r="H3460" s="174" t="s">
        <v>1687</v>
      </c>
      <c r="I3460" s="174" t="str">
        <f t="shared" si="1"/>
        <v>NORTE</v>
      </c>
    </row>
    <row r="3461" ht="14.25" customHeight="1">
      <c r="G3461" s="174" t="s">
        <v>5059</v>
      </c>
      <c r="H3461" s="174" t="s">
        <v>1666</v>
      </c>
      <c r="I3461" s="174" t="str">
        <f t="shared" si="1"/>
        <v>SUDESTE</v>
      </c>
    </row>
    <row r="3462" ht="14.25" customHeight="1">
      <c r="G3462" s="174" t="s">
        <v>5060</v>
      </c>
      <c r="H3462" s="174" t="s">
        <v>1658</v>
      </c>
      <c r="I3462" s="174" t="str">
        <f t="shared" si="1"/>
        <v>CENTRO OESTE</v>
      </c>
    </row>
    <row r="3463" ht="14.25" customHeight="1">
      <c r="G3463" s="174" t="s">
        <v>5061</v>
      </c>
      <c r="H3463" s="174" t="s">
        <v>1750</v>
      </c>
      <c r="I3463" s="174" t="str">
        <f t="shared" si="1"/>
        <v>SUDESTE</v>
      </c>
    </row>
    <row r="3464" ht="14.25" customHeight="1">
      <c r="G3464" s="174" t="s">
        <v>5062</v>
      </c>
      <c r="H3464" s="174" t="s">
        <v>1706</v>
      </c>
      <c r="I3464" s="174" t="str">
        <f t="shared" si="1"/>
        <v>SUL</v>
      </c>
    </row>
    <row r="3465" ht="14.25" customHeight="1">
      <c r="G3465" s="174" t="s">
        <v>5063</v>
      </c>
      <c r="H3465" s="174" t="s">
        <v>1717</v>
      </c>
      <c r="I3465" s="174" t="str">
        <f t="shared" si="1"/>
        <v>NORDESTE</v>
      </c>
    </row>
    <row r="3466" ht="14.25" customHeight="1">
      <c r="G3466" s="174" t="s">
        <v>5064</v>
      </c>
      <c r="H3466" s="174" t="s">
        <v>1717</v>
      </c>
      <c r="I3466" s="174" t="str">
        <f t="shared" si="1"/>
        <v>NORDESTE</v>
      </c>
    </row>
    <row r="3467" ht="14.25" customHeight="1">
      <c r="G3467" s="174" t="s">
        <v>5065</v>
      </c>
      <c r="H3467" s="174" t="s">
        <v>1690</v>
      </c>
      <c r="I3467" s="174" t="str">
        <f t="shared" si="1"/>
        <v>NORDESTE</v>
      </c>
    </row>
    <row r="3468" ht="14.25" customHeight="1">
      <c r="G3468" s="174" t="s">
        <v>5066</v>
      </c>
      <c r="H3468" s="174" t="s">
        <v>1702</v>
      </c>
      <c r="I3468" s="174" t="str">
        <f t="shared" si="1"/>
        <v>SUL</v>
      </c>
    </row>
    <row r="3469" ht="14.25" customHeight="1">
      <c r="G3469" s="174" t="s">
        <v>5067</v>
      </c>
      <c r="H3469" s="174" t="s">
        <v>1750</v>
      </c>
      <c r="I3469" s="174" t="str">
        <f t="shared" si="1"/>
        <v>SUDESTE</v>
      </c>
    </row>
    <row r="3470" ht="14.25" customHeight="1">
      <c r="G3470" s="174" t="s">
        <v>5068</v>
      </c>
      <c r="H3470" s="174" t="s">
        <v>1750</v>
      </c>
      <c r="I3470" s="174" t="str">
        <f t="shared" si="1"/>
        <v>SUDESTE</v>
      </c>
    </row>
    <row r="3471" ht="14.25" customHeight="1">
      <c r="G3471" s="174" t="s">
        <v>5069</v>
      </c>
      <c r="H3471" s="174" t="s">
        <v>1742</v>
      </c>
      <c r="I3471" s="174" t="str">
        <f t="shared" si="1"/>
        <v>SUL</v>
      </c>
    </row>
    <row r="3472" ht="14.25" customHeight="1">
      <c r="G3472" s="174" t="s">
        <v>5070</v>
      </c>
      <c r="H3472" s="174" t="s">
        <v>1750</v>
      </c>
      <c r="I3472" s="174" t="str">
        <f t="shared" si="1"/>
        <v>SUDESTE</v>
      </c>
    </row>
    <row r="3473" ht="14.25" customHeight="1">
      <c r="G3473" s="174" t="s">
        <v>5071</v>
      </c>
      <c r="H3473" s="174" t="s">
        <v>1706</v>
      </c>
      <c r="I3473" s="174" t="str">
        <f t="shared" si="1"/>
        <v>SUL</v>
      </c>
    </row>
    <row r="3474" ht="14.25" customHeight="1">
      <c r="G3474" s="174" t="s">
        <v>5072</v>
      </c>
      <c r="H3474" s="174" t="s">
        <v>1687</v>
      </c>
      <c r="I3474" s="174" t="str">
        <f t="shared" si="1"/>
        <v>NORTE</v>
      </c>
    </row>
    <row r="3475" ht="14.25" customHeight="1">
      <c r="G3475" s="174" t="s">
        <v>5073</v>
      </c>
      <c r="H3475" s="174" t="s">
        <v>1685</v>
      </c>
      <c r="I3475" s="174" t="str">
        <f t="shared" si="1"/>
        <v>NORDESTE</v>
      </c>
    </row>
    <row r="3476" ht="14.25" customHeight="1">
      <c r="G3476" s="174" t="s">
        <v>5074</v>
      </c>
      <c r="H3476" s="174" t="s">
        <v>1717</v>
      </c>
      <c r="I3476" s="174" t="str">
        <f t="shared" si="1"/>
        <v>NORDESTE</v>
      </c>
    </row>
    <row r="3477" ht="14.25" customHeight="1">
      <c r="G3477" s="174" t="s">
        <v>5075</v>
      </c>
      <c r="H3477" s="174" t="s">
        <v>1687</v>
      </c>
      <c r="I3477" s="174" t="str">
        <f t="shared" si="1"/>
        <v>NORTE</v>
      </c>
    </row>
    <row r="3478" ht="14.25" customHeight="1">
      <c r="G3478" s="174" t="s">
        <v>5076</v>
      </c>
      <c r="H3478" s="174" t="s">
        <v>1750</v>
      </c>
      <c r="I3478" s="174" t="str">
        <f t="shared" si="1"/>
        <v>SUDESTE</v>
      </c>
    </row>
    <row r="3479" ht="14.25" customHeight="1">
      <c r="G3479" s="174" t="s">
        <v>5077</v>
      </c>
      <c r="H3479" s="174" t="s">
        <v>1702</v>
      </c>
      <c r="I3479" s="174" t="str">
        <f t="shared" si="1"/>
        <v>SUL</v>
      </c>
    </row>
    <row r="3480" ht="14.25" customHeight="1">
      <c r="G3480" s="174" t="s">
        <v>5078</v>
      </c>
      <c r="H3480" s="174" t="s">
        <v>1706</v>
      </c>
      <c r="I3480" s="174" t="str">
        <f t="shared" si="1"/>
        <v>SUL</v>
      </c>
    </row>
    <row r="3481" ht="14.25" customHeight="1">
      <c r="G3481" s="174" t="s">
        <v>5079</v>
      </c>
      <c r="H3481" s="174" t="s">
        <v>1733</v>
      </c>
      <c r="I3481" s="174" t="str">
        <f t="shared" si="1"/>
        <v>NORDESTE</v>
      </c>
    </row>
    <row r="3482" ht="14.25" customHeight="1">
      <c r="G3482" s="174" t="s">
        <v>5079</v>
      </c>
      <c r="H3482" s="174" t="s">
        <v>1664</v>
      </c>
      <c r="I3482" s="174" t="str">
        <f t="shared" si="1"/>
        <v>NORDESTE</v>
      </c>
    </row>
    <row r="3483" ht="14.25" customHeight="1">
      <c r="G3483" s="174" t="s">
        <v>5079</v>
      </c>
      <c r="H3483" s="174" t="s">
        <v>1666</v>
      </c>
      <c r="I3483" s="174" t="str">
        <f t="shared" si="1"/>
        <v>SUDESTE</v>
      </c>
    </row>
    <row r="3484" ht="14.25" customHeight="1">
      <c r="G3484" s="174" t="s">
        <v>5080</v>
      </c>
      <c r="H3484" s="174" t="s">
        <v>1666</v>
      </c>
      <c r="I3484" s="174" t="str">
        <f t="shared" si="1"/>
        <v>SUDESTE</v>
      </c>
    </row>
    <row r="3485" ht="14.25" customHeight="1">
      <c r="G3485" s="174" t="s">
        <v>5081</v>
      </c>
      <c r="H3485" s="174" t="s">
        <v>1666</v>
      </c>
      <c r="I3485" s="174" t="str">
        <f t="shared" si="1"/>
        <v>SUDESTE</v>
      </c>
    </row>
    <row r="3486" ht="14.25" customHeight="1">
      <c r="G3486" s="174" t="s">
        <v>5082</v>
      </c>
      <c r="H3486" s="174" t="s">
        <v>1736</v>
      </c>
      <c r="I3486" s="174" t="str">
        <f t="shared" si="1"/>
        <v>NORTE</v>
      </c>
    </row>
    <row r="3487" ht="14.25" customHeight="1">
      <c r="G3487" s="174" t="s">
        <v>5083</v>
      </c>
      <c r="H3487" s="174" t="s">
        <v>1719</v>
      </c>
      <c r="I3487" s="174" t="str">
        <f t="shared" si="1"/>
        <v>NORDESTE</v>
      </c>
    </row>
    <row r="3488" ht="14.25" customHeight="1">
      <c r="G3488" s="174" t="s">
        <v>5084</v>
      </c>
      <c r="H3488" s="174" t="s">
        <v>1750</v>
      </c>
      <c r="I3488" s="174" t="str">
        <f t="shared" si="1"/>
        <v>SUDESTE</v>
      </c>
    </row>
    <row r="3489" ht="14.25" customHeight="1">
      <c r="G3489" s="174" t="s">
        <v>5084</v>
      </c>
      <c r="H3489" s="174" t="s">
        <v>1706</v>
      </c>
      <c r="I3489" s="174" t="str">
        <f t="shared" si="1"/>
        <v>SUL</v>
      </c>
    </row>
    <row r="3490" ht="14.25" customHeight="1">
      <c r="G3490" s="174" t="s">
        <v>5085</v>
      </c>
      <c r="H3490" s="174" t="s">
        <v>1658</v>
      </c>
      <c r="I3490" s="174" t="str">
        <f t="shared" si="1"/>
        <v>CENTRO OESTE</v>
      </c>
    </row>
    <row r="3491" ht="14.25" customHeight="1">
      <c r="G3491" s="174" t="s">
        <v>5086</v>
      </c>
      <c r="H3491" s="174" t="s">
        <v>1666</v>
      </c>
      <c r="I3491" s="174" t="str">
        <f t="shared" si="1"/>
        <v>SUDESTE</v>
      </c>
    </row>
    <row r="3492" ht="14.25" customHeight="1">
      <c r="G3492" s="174" t="s">
        <v>5087</v>
      </c>
      <c r="H3492" s="174" t="s">
        <v>1702</v>
      </c>
      <c r="I3492" s="174" t="str">
        <f t="shared" si="1"/>
        <v>SUL</v>
      </c>
    </row>
    <row r="3493" ht="14.25" customHeight="1">
      <c r="G3493" s="174" t="s">
        <v>5088</v>
      </c>
      <c r="H3493" s="174" t="s">
        <v>1750</v>
      </c>
      <c r="I3493" s="174" t="str">
        <f t="shared" si="1"/>
        <v>SUDESTE</v>
      </c>
    </row>
    <row r="3494" ht="14.25" customHeight="1">
      <c r="G3494" s="174" t="s">
        <v>5089</v>
      </c>
      <c r="H3494" s="174" t="s">
        <v>1685</v>
      </c>
      <c r="I3494" s="174" t="str">
        <f t="shared" si="1"/>
        <v>NORDESTE</v>
      </c>
    </row>
    <row r="3495" ht="14.25" customHeight="1">
      <c r="G3495" s="174" t="s">
        <v>5090</v>
      </c>
      <c r="H3495" s="174" t="s">
        <v>1658</v>
      </c>
      <c r="I3495" s="174" t="str">
        <f t="shared" si="1"/>
        <v>CENTRO OESTE</v>
      </c>
    </row>
    <row r="3496" ht="14.25" customHeight="1">
      <c r="G3496" s="174" t="s">
        <v>5091</v>
      </c>
      <c r="H3496" s="174" t="s">
        <v>1750</v>
      </c>
      <c r="I3496" s="174" t="str">
        <f t="shared" si="1"/>
        <v>SUDESTE</v>
      </c>
    </row>
    <row r="3497" ht="14.25" customHeight="1">
      <c r="G3497" s="174" t="s">
        <v>5092</v>
      </c>
      <c r="H3497" s="174" t="s">
        <v>1687</v>
      </c>
      <c r="I3497" s="174" t="str">
        <f t="shared" si="1"/>
        <v>NORTE</v>
      </c>
    </row>
    <row r="3498" ht="14.25" customHeight="1">
      <c r="G3498" s="174" t="s">
        <v>5093</v>
      </c>
      <c r="H3498" s="174" t="s">
        <v>1690</v>
      </c>
      <c r="I3498" s="174" t="str">
        <f t="shared" si="1"/>
        <v>NORDESTE</v>
      </c>
    </row>
    <row r="3499" ht="14.25" customHeight="1">
      <c r="G3499" s="174" t="s">
        <v>5094</v>
      </c>
      <c r="H3499" s="174" t="s">
        <v>1739</v>
      </c>
      <c r="I3499" s="174" t="str">
        <f t="shared" si="1"/>
        <v>NORTE</v>
      </c>
    </row>
    <row r="3500" ht="14.25" customHeight="1">
      <c r="G3500" s="174" t="s">
        <v>5095</v>
      </c>
      <c r="H3500" s="174" t="s">
        <v>1690</v>
      </c>
      <c r="I3500" s="174" t="str">
        <f t="shared" si="1"/>
        <v>NORDESTE</v>
      </c>
    </row>
    <row r="3501" ht="14.25" customHeight="1">
      <c r="G3501" s="174" t="s">
        <v>5095</v>
      </c>
      <c r="H3501" s="174" t="s">
        <v>1747</v>
      </c>
      <c r="I3501" s="174" t="str">
        <f t="shared" si="1"/>
        <v>NORDESTE</v>
      </c>
    </row>
    <row r="3502" ht="14.25" customHeight="1">
      <c r="G3502" s="174" t="s">
        <v>5096</v>
      </c>
      <c r="H3502" s="174" t="s">
        <v>1704</v>
      </c>
      <c r="I3502" s="174" t="str">
        <f t="shared" si="1"/>
        <v>NORDESTE</v>
      </c>
    </row>
    <row r="3503" ht="14.25" customHeight="1">
      <c r="G3503" s="174" t="s">
        <v>5097</v>
      </c>
      <c r="H3503" s="174" t="s">
        <v>1690</v>
      </c>
      <c r="I3503" s="174" t="str">
        <f t="shared" si="1"/>
        <v>NORDESTE</v>
      </c>
    </row>
    <row r="3504" ht="14.25" customHeight="1">
      <c r="G3504" s="174" t="s">
        <v>5098</v>
      </c>
      <c r="H3504" s="174" t="s">
        <v>1690</v>
      </c>
      <c r="I3504" s="174" t="str">
        <f t="shared" si="1"/>
        <v>NORDESTE</v>
      </c>
    </row>
    <row r="3505" ht="14.25" customHeight="1">
      <c r="G3505" s="174" t="s">
        <v>5099</v>
      </c>
      <c r="H3505" s="174" t="s">
        <v>1658</v>
      </c>
      <c r="I3505" s="174" t="str">
        <f t="shared" si="1"/>
        <v>CENTRO OESTE</v>
      </c>
    </row>
    <row r="3506" ht="14.25" customHeight="1">
      <c r="G3506" s="174" t="s">
        <v>5100</v>
      </c>
      <c r="H3506" s="174" t="s">
        <v>1666</v>
      </c>
      <c r="I3506" s="174" t="str">
        <f t="shared" si="1"/>
        <v>SUDESTE</v>
      </c>
    </row>
    <row r="3507" ht="14.25" customHeight="1">
      <c r="G3507" s="174" t="s">
        <v>5101</v>
      </c>
      <c r="H3507" s="174" t="s">
        <v>1725</v>
      </c>
      <c r="I3507" s="174" t="str">
        <f t="shared" si="1"/>
        <v>NORDESTE</v>
      </c>
    </row>
    <row r="3508" ht="14.25" customHeight="1">
      <c r="G3508" s="174" t="s">
        <v>5102</v>
      </c>
      <c r="H3508" s="174" t="s">
        <v>1666</v>
      </c>
      <c r="I3508" s="174" t="str">
        <f t="shared" si="1"/>
        <v>SUDESTE</v>
      </c>
    </row>
    <row r="3509" ht="14.25" customHeight="1">
      <c r="G3509" s="174" t="s">
        <v>5103</v>
      </c>
      <c r="H3509" s="174" t="s">
        <v>1725</v>
      </c>
      <c r="I3509" s="174" t="str">
        <f t="shared" si="1"/>
        <v>NORDESTE</v>
      </c>
    </row>
    <row r="3510" ht="14.25" customHeight="1">
      <c r="G3510" s="174" t="s">
        <v>5104</v>
      </c>
      <c r="H3510" s="174" t="s">
        <v>1666</v>
      </c>
      <c r="I3510" s="174" t="str">
        <f t="shared" si="1"/>
        <v>SUDESTE</v>
      </c>
    </row>
    <row r="3511" ht="14.25" customHeight="1">
      <c r="G3511" s="174" t="s">
        <v>5105</v>
      </c>
      <c r="H3511" s="174" t="s">
        <v>1706</v>
      </c>
      <c r="I3511" s="174" t="str">
        <f t="shared" si="1"/>
        <v>SUL</v>
      </c>
    </row>
    <row r="3512" ht="14.25" customHeight="1">
      <c r="G3512" s="174" t="s">
        <v>5106</v>
      </c>
      <c r="H3512" s="174" t="s">
        <v>1702</v>
      </c>
      <c r="I3512" s="174" t="str">
        <f t="shared" si="1"/>
        <v>SUL</v>
      </c>
    </row>
    <row r="3513" ht="14.25" customHeight="1">
      <c r="G3513" s="174" t="s">
        <v>5107</v>
      </c>
      <c r="H3513" s="174" t="s">
        <v>1742</v>
      </c>
      <c r="I3513" s="174" t="str">
        <f t="shared" si="1"/>
        <v>SUL</v>
      </c>
    </row>
    <row r="3514" ht="14.25" customHeight="1">
      <c r="G3514" s="174" t="s">
        <v>5108</v>
      </c>
      <c r="H3514" s="174" t="s">
        <v>1666</v>
      </c>
      <c r="I3514" s="174" t="str">
        <f t="shared" si="1"/>
        <v>SUDESTE</v>
      </c>
    </row>
    <row r="3515" ht="14.25" customHeight="1">
      <c r="G3515" s="174" t="s">
        <v>5109</v>
      </c>
      <c r="H3515" s="174" t="s">
        <v>1706</v>
      </c>
      <c r="I3515" s="174" t="str">
        <f t="shared" si="1"/>
        <v>SUL</v>
      </c>
    </row>
    <row r="3516" ht="14.25" customHeight="1">
      <c r="G3516" s="174" t="s">
        <v>5110</v>
      </c>
      <c r="H3516" s="174" t="s">
        <v>1666</v>
      </c>
      <c r="I3516" s="174" t="str">
        <f t="shared" si="1"/>
        <v>SUDESTE</v>
      </c>
    </row>
    <row r="3517" ht="14.25" customHeight="1">
      <c r="G3517" s="174" t="s">
        <v>5111</v>
      </c>
      <c r="H3517" s="174" t="s">
        <v>1666</v>
      </c>
      <c r="I3517" s="174" t="str">
        <f t="shared" si="1"/>
        <v>SUDESTE</v>
      </c>
    </row>
    <row r="3518" ht="14.25" customHeight="1">
      <c r="G3518" s="174" t="s">
        <v>5112</v>
      </c>
      <c r="H3518" s="174" t="s">
        <v>1725</v>
      </c>
      <c r="I3518" s="174" t="str">
        <f t="shared" si="1"/>
        <v>NORDESTE</v>
      </c>
    </row>
    <row r="3519" ht="14.25" customHeight="1">
      <c r="G3519" s="174" t="s">
        <v>5113</v>
      </c>
      <c r="H3519" s="174" t="s">
        <v>1664</v>
      </c>
      <c r="I3519" s="174" t="str">
        <f t="shared" si="1"/>
        <v>NORDESTE</v>
      </c>
    </row>
    <row r="3520" ht="14.25" customHeight="1">
      <c r="G3520" s="174" t="s">
        <v>5113</v>
      </c>
      <c r="H3520" s="174" t="s">
        <v>1750</v>
      </c>
      <c r="I3520" s="174" t="str">
        <f t="shared" si="1"/>
        <v>SUDESTE</v>
      </c>
    </row>
    <row r="3521" ht="14.25" customHeight="1">
      <c r="G3521" s="174" t="s">
        <v>5114</v>
      </c>
      <c r="H3521" s="174" t="s">
        <v>1658</v>
      </c>
      <c r="I3521" s="174" t="str">
        <f t="shared" si="1"/>
        <v>CENTRO OESTE</v>
      </c>
    </row>
    <row r="3522" ht="14.25" customHeight="1">
      <c r="G3522" s="174" t="s">
        <v>5115</v>
      </c>
      <c r="H3522" s="174" t="s">
        <v>1687</v>
      </c>
      <c r="I3522" s="174" t="str">
        <f t="shared" si="1"/>
        <v>NORTE</v>
      </c>
    </row>
    <row r="3523" ht="14.25" customHeight="1">
      <c r="G3523" s="174" t="s">
        <v>5116</v>
      </c>
      <c r="H3523" s="174" t="s">
        <v>1690</v>
      </c>
      <c r="I3523" s="174" t="str">
        <f t="shared" si="1"/>
        <v>NORDESTE</v>
      </c>
    </row>
    <row r="3524" ht="14.25" customHeight="1">
      <c r="G3524" s="174" t="s">
        <v>5117</v>
      </c>
      <c r="H3524" s="174" t="s">
        <v>1706</v>
      </c>
      <c r="I3524" s="174" t="str">
        <f t="shared" si="1"/>
        <v>SUL</v>
      </c>
    </row>
    <row r="3525" ht="14.25" customHeight="1">
      <c r="G3525" s="174" t="s">
        <v>5118</v>
      </c>
      <c r="H3525" s="174" t="s">
        <v>1666</v>
      </c>
      <c r="I3525" s="174" t="str">
        <f t="shared" si="1"/>
        <v>SUDESTE</v>
      </c>
    </row>
    <row r="3526" ht="14.25" customHeight="1">
      <c r="G3526" s="174" t="s">
        <v>5119</v>
      </c>
      <c r="H3526" s="174" t="s">
        <v>1706</v>
      </c>
      <c r="I3526" s="174" t="str">
        <f t="shared" si="1"/>
        <v>SUL</v>
      </c>
    </row>
    <row r="3527" ht="14.25" customHeight="1">
      <c r="G3527" s="174" t="s">
        <v>5120</v>
      </c>
      <c r="H3527" s="174" t="s">
        <v>1690</v>
      </c>
      <c r="I3527" s="174" t="str">
        <f t="shared" si="1"/>
        <v>NORDESTE</v>
      </c>
    </row>
    <row r="3528" ht="14.25" customHeight="1">
      <c r="G3528" s="174" t="s">
        <v>5121</v>
      </c>
      <c r="H3528" s="174" t="s">
        <v>1717</v>
      </c>
      <c r="I3528" s="174" t="str">
        <f t="shared" si="1"/>
        <v>NORDESTE</v>
      </c>
    </row>
    <row r="3529" ht="14.25" customHeight="1">
      <c r="G3529" s="174" t="s">
        <v>5122</v>
      </c>
      <c r="H3529" s="174" t="s">
        <v>1742</v>
      </c>
      <c r="I3529" s="174" t="str">
        <f t="shared" si="1"/>
        <v>SUL</v>
      </c>
    </row>
    <row r="3530" ht="14.25" customHeight="1">
      <c r="G3530" s="174" t="s">
        <v>5123</v>
      </c>
      <c r="H3530" s="174" t="s">
        <v>1750</v>
      </c>
      <c r="I3530" s="174" t="str">
        <f t="shared" si="1"/>
        <v>SUDESTE</v>
      </c>
    </row>
    <row r="3531" ht="14.25" customHeight="1">
      <c r="G3531" s="174" t="s">
        <v>5124</v>
      </c>
      <c r="H3531" s="174" t="s">
        <v>1721</v>
      </c>
      <c r="I3531" s="174" t="str">
        <f t="shared" si="1"/>
        <v>NORTE</v>
      </c>
    </row>
    <row r="3532" ht="14.25" customHeight="1">
      <c r="G3532" s="174" t="s">
        <v>5124</v>
      </c>
      <c r="H3532" s="174" t="s">
        <v>1702</v>
      </c>
      <c r="I3532" s="174" t="str">
        <f t="shared" si="1"/>
        <v>SUL</v>
      </c>
    </row>
    <row r="3533" ht="14.25" customHeight="1">
      <c r="G3533" s="174" t="s">
        <v>5125</v>
      </c>
      <c r="H3533" s="174" t="s">
        <v>1685</v>
      </c>
      <c r="I3533" s="174" t="str">
        <f t="shared" si="1"/>
        <v>NORDESTE</v>
      </c>
    </row>
    <row r="3534" ht="14.25" customHeight="1">
      <c r="G3534" s="174" t="s">
        <v>5126</v>
      </c>
      <c r="H3534" s="174" t="s">
        <v>1702</v>
      </c>
      <c r="I3534" s="174" t="str">
        <f t="shared" si="1"/>
        <v>SUL</v>
      </c>
    </row>
    <row r="3535" ht="14.25" customHeight="1">
      <c r="G3535" s="174" t="s">
        <v>5126</v>
      </c>
      <c r="H3535" s="174" t="s">
        <v>1706</v>
      </c>
      <c r="I3535" s="174" t="str">
        <f t="shared" si="1"/>
        <v>SUL</v>
      </c>
    </row>
    <row r="3536" ht="14.25" customHeight="1">
      <c r="G3536" s="174" t="s">
        <v>5127</v>
      </c>
      <c r="H3536" s="174" t="s">
        <v>1750</v>
      </c>
      <c r="I3536" s="174" t="str">
        <f t="shared" si="1"/>
        <v>SUDESTE</v>
      </c>
    </row>
    <row r="3537" ht="14.25" customHeight="1">
      <c r="G3537" s="174" t="s">
        <v>5128</v>
      </c>
      <c r="H3537" s="174" t="s">
        <v>1742</v>
      </c>
      <c r="I3537" s="174" t="str">
        <f t="shared" si="1"/>
        <v>SUL</v>
      </c>
    </row>
    <row r="3538" ht="14.25" customHeight="1">
      <c r="G3538" s="174" t="s">
        <v>5129</v>
      </c>
      <c r="H3538" s="174" t="s">
        <v>1725</v>
      </c>
      <c r="I3538" s="174" t="str">
        <f t="shared" si="1"/>
        <v>NORDESTE</v>
      </c>
    </row>
    <row r="3539" ht="14.25" customHeight="1">
      <c r="G3539" s="174" t="s">
        <v>5130</v>
      </c>
      <c r="H3539" s="174" t="s">
        <v>1664</v>
      </c>
      <c r="I3539" s="174" t="str">
        <f t="shared" si="1"/>
        <v>NORDESTE</v>
      </c>
    </row>
    <row r="3540" ht="14.25" customHeight="1">
      <c r="G3540" s="174" t="s">
        <v>5131</v>
      </c>
      <c r="H3540" s="174" t="s">
        <v>1725</v>
      </c>
      <c r="I3540" s="174" t="str">
        <f t="shared" si="1"/>
        <v>NORDESTE</v>
      </c>
    </row>
    <row r="3541" ht="14.25" customHeight="1">
      <c r="G3541" s="174" t="s">
        <v>5132</v>
      </c>
      <c r="H3541" s="174" t="s">
        <v>1704</v>
      </c>
      <c r="I3541" s="174" t="str">
        <f t="shared" si="1"/>
        <v>NORDESTE</v>
      </c>
    </row>
    <row r="3542" ht="14.25" customHeight="1">
      <c r="G3542" s="174" t="s">
        <v>5133</v>
      </c>
      <c r="H3542" s="174" t="s">
        <v>1721</v>
      </c>
      <c r="I3542" s="174" t="str">
        <f t="shared" si="1"/>
        <v>NORTE</v>
      </c>
    </row>
    <row r="3543" ht="14.25" customHeight="1">
      <c r="G3543" s="174" t="s">
        <v>5134</v>
      </c>
      <c r="H3543" s="174" t="s">
        <v>1685</v>
      </c>
      <c r="I3543" s="174" t="str">
        <f t="shared" si="1"/>
        <v>NORDESTE</v>
      </c>
    </row>
    <row r="3544" ht="14.25" customHeight="1">
      <c r="G3544" s="174" t="s">
        <v>5135</v>
      </c>
      <c r="H3544" s="174" t="s">
        <v>1658</v>
      </c>
      <c r="I3544" s="174" t="str">
        <f t="shared" si="1"/>
        <v>CENTRO OESTE</v>
      </c>
    </row>
    <row r="3545" ht="14.25" customHeight="1">
      <c r="G3545" s="174" t="s">
        <v>5136</v>
      </c>
      <c r="H3545" s="174" t="s">
        <v>1721</v>
      </c>
      <c r="I3545" s="174" t="str">
        <f t="shared" si="1"/>
        <v>NORTE</v>
      </c>
    </row>
    <row r="3546" ht="14.25" customHeight="1">
      <c r="G3546" s="174" t="s">
        <v>5137</v>
      </c>
      <c r="H3546" s="174" t="s">
        <v>1717</v>
      </c>
      <c r="I3546" s="174" t="str">
        <f t="shared" si="1"/>
        <v>NORDESTE</v>
      </c>
    </row>
    <row r="3547" ht="14.25" customHeight="1">
      <c r="G3547" s="174" t="s">
        <v>5138</v>
      </c>
      <c r="H3547" s="174" t="s">
        <v>1721</v>
      </c>
      <c r="I3547" s="174" t="str">
        <f t="shared" si="1"/>
        <v>NORTE</v>
      </c>
    </row>
    <row r="3548" ht="14.25" customHeight="1">
      <c r="G3548" s="174" t="s">
        <v>5139</v>
      </c>
      <c r="H3548" s="174" t="s">
        <v>1658</v>
      </c>
      <c r="I3548" s="174" t="str">
        <f t="shared" si="1"/>
        <v>CENTRO OESTE</v>
      </c>
    </row>
    <row r="3549" ht="14.25" customHeight="1">
      <c r="G3549" s="174" t="s">
        <v>5140</v>
      </c>
      <c r="H3549" s="174" t="s">
        <v>1658</v>
      </c>
      <c r="I3549" s="174" t="str">
        <f t="shared" si="1"/>
        <v>CENTRO OESTE</v>
      </c>
    </row>
    <row r="3550" ht="14.25" customHeight="1">
      <c r="G3550" s="174" t="s">
        <v>5141</v>
      </c>
      <c r="H3550" s="174" t="s">
        <v>1750</v>
      </c>
      <c r="I3550" s="174" t="str">
        <f t="shared" si="1"/>
        <v>SUDESTE</v>
      </c>
    </row>
    <row r="3551" ht="14.25" customHeight="1">
      <c r="G3551" s="174" t="s">
        <v>5141</v>
      </c>
      <c r="H3551" s="174" t="s">
        <v>1702</v>
      </c>
      <c r="I3551" s="174" t="str">
        <f t="shared" si="1"/>
        <v>SUL</v>
      </c>
    </row>
    <row r="3552" ht="14.25" customHeight="1">
      <c r="G3552" s="174" t="s">
        <v>5142</v>
      </c>
      <c r="H3552" s="174" t="s">
        <v>1742</v>
      </c>
      <c r="I3552" s="174" t="str">
        <f t="shared" si="1"/>
        <v>SUL</v>
      </c>
    </row>
    <row r="3553" ht="14.25" customHeight="1">
      <c r="G3553" s="174" t="s">
        <v>5143</v>
      </c>
      <c r="H3553" s="174" t="s">
        <v>1706</v>
      </c>
      <c r="I3553" s="174" t="str">
        <f t="shared" si="1"/>
        <v>SUL</v>
      </c>
    </row>
    <row r="3554" ht="14.25" customHeight="1">
      <c r="G3554" s="174" t="s">
        <v>5144</v>
      </c>
      <c r="H3554" s="174" t="s">
        <v>1666</v>
      </c>
      <c r="I3554" s="174" t="str">
        <f t="shared" si="1"/>
        <v>SUDESTE</v>
      </c>
    </row>
    <row r="3555" ht="14.25" customHeight="1">
      <c r="G3555" s="174" t="s">
        <v>5145</v>
      </c>
      <c r="H3555" s="174" t="s">
        <v>1702</v>
      </c>
      <c r="I3555" s="174" t="str">
        <f t="shared" si="1"/>
        <v>SUL</v>
      </c>
    </row>
    <row r="3556" ht="14.25" customHeight="1">
      <c r="G3556" s="174" t="s">
        <v>5146</v>
      </c>
      <c r="H3556" s="174" t="s">
        <v>1658</v>
      </c>
      <c r="I3556" s="174" t="str">
        <f t="shared" si="1"/>
        <v>CENTRO OESTE</v>
      </c>
    </row>
    <row r="3557" ht="14.25" customHeight="1">
      <c r="G3557" s="174" t="s">
        <v>5147</v>
      </c>
      <c r="H3557" s="174" t="s">
        <v>1742</v>
      </c>
      <c r="I3557" s="174" t="str">
        <f t="shared" si="1"/>
        <v>SUL</v>
      </c>
    </row>
    <row r="3558" ht="14.25" customHeight="1">
      <c r="G3558" s="174" t="s">
        <v>5148</v>
      </c>
      <c r="H3558" s="174" t="s">
        <v>1698</v>
      </c>
      <c r="I3558" s="174" t="str">
        <f t="shared" si="1"/>
        <v>SUDESTE</v>
      </c>
    </row>
    <row r="3559" ht="14.25" customHeight="1">
      <c r="G3559" s="174" t="s">
        <v>5149</v>
      </c>
      <c r="H3559" s="174" t="s">
        <v>1717</v>
      </c>
      <c r="I3559" s="174" t="str">
        <f t="shared" si="1"/>
        <v>NORDESTE</v>
      </c>
    </row>
    <row r="3560" ht="14.25" customHeight="1">
      <c r="G3560" s="174" t="s">
        <v>5150</v>
      </c>
      <c r="H3560" s="174" t="s">
        <v>1750</v>
      </c>
      <c r="I3560" s="174" t="str">
        <f t="shared" si="1"/>
        <v>SUDESTE</v>
      </c>
    </row>
    <row r="3561" ht="14.25" customHeight="1">
      <c r="G3561" s="174" t="s">
        <v>5151</v>
      </c>
      <c r="H3561" s="174" t="s">
        <v>1742</v>
      </c>
      <c r="I3561" s="174" t="str">
        <f t="shared" si="1"/>
        <v>SUL</v>
      </c>
    </row>
    <row r="3562" ht="14.25" customHeight="1">
      <c r="G3562" s="174" t="s">
        <v>5152</v>
      </c>
      <c r="H3562" s="174" t="s">
        <v>1664</v>
      </c>
      <c r="I3562" s="174" t="str">
        <f t="shared" si="1"/>
        <v>NORDESTE</v>
      </c>
    </row>
    <row r="3563" ht="14.25" customHeight="1">
      <c r="G3563" s="174" t="s">
        <v>5153</v>
      </c>
      <c r="H3563" s="174" t="s">
        <v>1666</v>
      </c>
      <c r="I3563" s="174" t="str">
        <f t="shared" si="1"/>
        <v>SUDESTE</v>
      </c>
    </row>
    <row r="3564" ht="14.25" customHeight="1">
      <c r="G3564" s="174" t="s">
        <v>5154</v>
      </c>
      <c r="H3564" s="174" t="s">
        <v>1706</v>
      </c>
      <c r="I3564" s="174" t="str">
        <f t="shared" si="1"/>
        <v>SUL</v>
      </c>
    </row>
    <row r="3565" ht="14.25" customHeight="1">
      <c r="G3565" s="174" t="s">
        <v>5155</v>
      </c>
      <c r="H3565" s="174" t="s">
        <v>1725</v>
      </c>
      <c r="I3565" s="174" t="str">
        <f t="shared" si="1"/>
        <v>NORDESTE</v>
      </c>
    </row>
    <row r="3566" ht="14.25" customHeight="1">
      <c r="G3566" s="174" t="s">
        <v>5156</v>
      </c>
      <c r="H3566" s="174" t="s">
        <v>1666</v>
      </c>
      <c r="I3566" s="174" t="str">
        <f t="shared" si="1"/>
        <v>SUDESTE</v>
      </c>
    </row>
    <row r="3567" ht="14.25" customHeight="1">
      <c r="G3567" s="174" t="s">
        <v>5157</v>
      </c>
      <c r="H3567" s="174" t="s">
        <v>1730</v>
      </c>
      <c r="I3567" s="174" t="str">
        <f t="shared" si="1"/>
        <v>SUDESTE</v>
      </c>
    </row>
    <row r="3568" ht="14.25" customHeight="1">
      <c r="G3568" s="174" t="s">
        <v>5158</v>
      </c>
      <c r="H3568" s="174" t="s">
        <v>1666</v>
      </c>
      <c r="I3568" s="174" t="str">
        <f t="shared" si="1"/>
        <v>SUDESTE</v>
      </c>
    </row>
    <row r="3569" ht="14.25" customHeight="1">
      <c r="G3569" s="174" t="s">
        <v>5159</v>
      </c>
      <c r="H3569" s="174" t="s">
        <v>1690</v>
      </c>
      <c r="I3569" s="174" t="str">
        <f t="shared" si="1"/>
        <v>NORDESTE</v>
      </c>
    </row>
    <row r="3570" ht="14.25" customHeight="1">
      <c r="G3570" s="174" t="s">
        <v>5160</v>
      </c>
      <c r="H3570" s="174" t="s">
        <v>1687</v>
      </c>
      <c r="I3570" s="174" t="str">
        <f t="shared" si="1"/>
        <v>NORTE</v>
      </c>
    </row>
    <row r="3571" ht="14.25" customHeight="1">
      <c r="G3571" s="174" t="s">
        <v>5161</v>
      </c>
      <c r="H3571" s="174" t="s">
        <v>1666</v>
      </c>
      <c r="I3571" s="174" t="str">
        <f t="shared" si="1"/>
        <v>SUDESTE</v>
      </c>
    </row>
    <row r="3572" ht="14.25" customHeight="1">
      <c r="G3572" s="174" t="s">
        <v>5162</v>
      </c>
      <c r="H3572" s="174" t="s">
        <v>1750</v>
      </c>
      <c r="I3572" s="174" t="str">
        <f t="shared" si="1"/>
        <v>SUDESTE</v>
      </c>
    </row>
    <row r="3573" ht="14.25" customHeight="1">
      <c r="G3573" s="174" t="s">
        <v>5163</v>
      </c>
      <c r="H3573" s="174" t="s">
        <v>1742</v>
      </c>
      <c r="I3573" s="174" t="str">
        <f t="shared" si="1"/>
        <v>SUL</v>
      </c>
    </row>
    <row r="3574" ht="14.25" customHeight="1">
      <c r="G3574" s="174" t="s">
        <v>5164</v>
      </c>
      <c r="H3574" s="174" t="s">
        <v>1730</v>
      </c>
      <c r="I3574" s="174" t="str">
        <f t="shared" si="1"/>
        <v>SUDESTE</v>
      </c>
    </row>
    <row r="3575" ht="14.25" customHeight="1">
      <c r="G3575" s="174" t="s">
        <v>5165</v>
      </c>
      <c r="H3575" s="174" t="s">
        <v>1704</v>
      </c>
      <c r="I3575" s="174" t="str">
        <f t="shared" si="1"/>
        <v>NORDESTE</v>
      </c>
    </row>
    <row r="3576" ht="14.25" customHeight="1">
      <c r="G3576" s="174" t="s">
        <v>5166</v>
      </c>
      <c r="H3576" s="174" t="s">
        <v>1750</v>
      </c>
      <c r="I3576" s="174" t="str">
        <f t="shared" si="1"/>
        <v>SUDESTE</v>
      </c>
    </row>
    <row r="3577" ht="14.25" customHeight="1">
      <c r="G3577" s="174" t="s">
        <v>5167</v>
      </c>
      <c r="H3577" s="174" t="s">
        <v>1690</v>
      </c>
      <c r="I3577" s="174" t="str">
        <f t="shared" si="1"/>
        <v>NORDESTE</v>
      </c>
    </row>
    <row r="3578" ht="14.25" customHeight="1">
      <c r="G3578" s="174" t="s">
        <v>5168</v>
      </c>
      <c r="H3578" s="174" t="s">
        <v>1750</v>
      </c>
      <c r="I3578" s="174" t="str">
        <f t="shared" si="1"/>
        <v>SUDESTE</v>
      </c>
    </row>
    <row r="3579" ht="14.25" customHeight="1">
      <c r="G3579" s="174" t="s">
        <v>5168</v>
      </c>
      <c r="H3579" s="174" t="s">
        <v>1706</v>
      </c>
      <c r="I3579" s="174" t="str">
        <f t="shared" si="1"/>
        <v>SUL</v>
      </c>
    </row>
    <row r="3580" ht="14.25" customHeight="1">
      <c r="G3580" s="174" t="s">
        <v>5169</v>
      </c>
      <c r="H3580" s="174" t="s">
        <v>1710</v>
      </c>
      <c r="I3580" s="174" t="str">
        <f t="shared" si="1"/>
        <v>CENTRO OESTE</v>
      </c>
    </row>
    <row r="3581" ht="14.25" customHeight="1">
      <c r="G3581" s="174" t="s">
        <v>5170</v>
      </c>
      <c r="H3581" s="174" t="s">
        <v>1702</v>
      </c>
      <c r="I3581" s="174" t="str">
        <f t="shared" si="1"/>
        <v>SUL</v>
      </c>
    </row>
    <row r="3582" ht="14.25" customHeight="1">
      <c r="G3582" s="174" t="s">
        <v>5171</v>
      </c>
      <c r="H3582" s="174" t="s">
        <v>1742</v>
      </c>
      <c r="I3582" s="174" t="str">
        <f t="shared" si="1"/>
        <v>SUL</v>
      </c>
    </row>
    <row r="3583" ht="14.25" customHeight="1">
      <c r="G3583" s="174" t="s">
        <v>5172</v>
      </c>
      <c r="H3583" s="174" t="s">
        <v>1721</v>
      </c>
      <c r="I3583" s="174" t="str">
        <f t="shared" si="1"/>
        <v>NORTE</v>
      </c>
    </row>
    <row r="3584" ht="14.25" customHeight="1">
      <c r="G3584" s="174" t="s">
        <v>5173</v>
      </c>
      <c r="H3584" s="174" t="s">
        <v>1666</v>
      </c>
      <c r="I3584" s="174" t="str">
        <f t="shared" si="1"/>
        <v>SUDESTE</v>
      </c>
    </row>
    <row r="3585" ht="14.25" customHeight="1">
      <c r="G3585" s="174" t="s">
        <v>5174</v>
      </c>
      <c r="H3585" s="174" t="s">
        <v>1690</v>
      </c>
      <c r="I3585" s="174" t="str">
        <f t="shared" si="1"/>
        <v>NORDESTE</v>
      </c>
    </row>
    <row r="3586" ht="14.25" customHeight="1">
      <c r="G3586" s="174" t="s">
        <v>5175</v>
      </c>
      <c r="H3586" s="174" t="s">
        <v>1685</v>
      </c>
      <c r="I3586" s="174" t="str">
        <f t="shared" si="1"/>
        <v>NORDESTE</v>
      </c>
    </row>
    <row r="3587" ht="14.25" customHeight="1">
      <c r="G3587" s="174" t="s">
        <v>5176</v>
      </c>
      <c r="H3587" s="174" t="s">
        <v>1690</v>
      </c>
      <c r="I3587" s="174" t="str">
        <f t="shared" si="1"/>
        <v>NORDESTE</v>
      </c>
    </row>
    <row r="3588" ht="14.25" customHeight="1">
      <c r="G3588" s="174" t="s">
        <v>5177</v>
      </c>
      <c r="H3588" s="174" t="s">
        <v>1733</v>
      </c>
      <c r="I3588" s="174" t="str">
        <f t="shared" si="1"/>
        <v>NORDESTE</v>
      </c>
    </row>
    <row r="3589" ht="14.25" customHeight="1">
      <c r="G3589" s="174" t="s">
        <v>5178</v>
      </c>
      <c r="H3589" s="174" t="s">
        <v>1721</v>
      </c>
      <c r="I3589" s="174" t="str">
        <f t="shared" si="1"/>
        <v>NORTE</v>
      </c>
    </row>
    <row r="3590" ht="14.25" customHeight="1">
      <c r="G3590" s="174" t="s">
        <v>5179</v>
      </c>
      <c r="H3590" s="174" t="s">
        <v>1702</v>
      </c>
      <c r="I3590" s="174" t="str">
        <f t="shared" si="1"/>
        <v>SUL</v>
      </c>
    </row>
    <row r="3591" ht="14.25" customHeight="1">
      <c r="G3591" s="174" t="s">
        <v>5180</v>
      </c>
      <c r="H3591" s="174" t="s">
        <v>1702</v>
      </c>
      <c r="I3591" s="174" t="str">
        <f t="shared" si="1"/>
        <v>SUL</v>
      </c>
    </row>
    <row r="3592" ht="14.25" customHeight="1">
      <c r="G3592" s="174" t="s">
        <v>5181</v>
      </c>
      <c r="H3592" s="174" t="s">
        <v>1710</v>
      </c>
      <c r="I3592" s="174" t="str">
        <f t="shared" si="1"/>
        <v>CENTRO OESTE</v>
      </c>
    </row>
    <row r="3593" ht="14.25" customHeight="1">
      <c r="G3593" s="174" t="s">
        <v>5182</v>
      </c>
      <c r="H3593" s="174" t="s">
        <v>1658</v>
      </c>
      <c r="I3593" s="174" t="str">
        <f t="shared" si="1"/>
        <v>CENTRO OESTE</v>
      </c>
    </row>
    <row r="3594" ht="14.25" customHeight="1">
      <c r="G3594" s="174" t="s">
        <v>5183</v>
      </c>
      <c r="H3594" s="174" t="s">
        <v>1713</v>
      </c>
      <c r="I3594" s="174" t="str">
        <f t="shared" si="1"/>
        <v>CENTRO OESTE</v>
      </c>
    </row>
    <row r="3595" ht="14.25" customHeight="1">
      <c r="G3595" s="174" t="s">
        <v>5184</v>
      </c>
      <c r="H3595" s="174" t="s">
        <v>1750</v>
      </c>
      <c r="I3595" s="174" t="str">
        <f t="shared" si="1"/>
        <v>SUDESTE</v>
      </c>
    </row>
    <row r="3596" ht="14.25" customHeight="1">
      <c r="G3596" s="174" t="s">
        <v>5185</v>
      </c>
      <c r="H3596" s="174" t="s">
        <v>1702</v>
      </c>
      <c r="I3596" s="174" t="str">
        <f t="shared" si="1"/>
        <v>SUL</v>
      </c>
    </row>
    <row r="3597" ht="14.25" customHeight="1">
      <c r="G3597" s="174" t="s">
        <v>5186</v>
      </c>
      <c r="H3597" s="174" t="s">
        <v>1750</v>
      </c>
      <c r="I3597" s="174" t="str">
        <f t="shared" si="1"/>
        <v>SUDESTE</v>
      </c>
    </row>
    <row r="3598" ht="14.25" customHeight="1">
      <c r="G3598" s="174" t="s">
        <v>5187</v>
      </c>
      <c r="H3598" s="174" t="s">
        <v>1717</v>
      </c>
      <c r="I3598" s="174" t="str">
        <f t="shared" si="1"/>
        <v>NORDESTE</v>
      </c>
    </row>
    <row r="3599" ht="14.25" customHeight="1">
      <c r="G3599" s="174" t="s">
        <v>5188</v>
      </c>
      <c r="H3599" s="174" t="s">
        <v>1713</v>
      </c>
      <c r="I3599" s="174" t="str">
        <f t="shared" si="1"/>
        <v>CENTRO OESTE</v>
      </c>
    </row>
    <row r="3600" ht="14.25" customHeight="1">
      <c r="G3600" s="174" t="s">
        <v>5189</v>
      </c>
      <c r="H3600" s="174" t="s">
        <v>1702</v>
      </c>
      <c r="I3600" s="174" t="str">
        <f t="shared" si="1"/>
        <v>SUL</v>
      </c>
    </row>
    <row r="3601" ht="14.25" customHeight="1">
      <c r="G3601" s="174" t="s">
        <v>5190</v>
      </c>
      <c r="H3601" s="174" t="s">
        <v>1710</v>
      </c>
      <c r="I3601" s="174" t="str">
        <f t="shared" si="1"/>
        <v>CENTRO OESTE</v>
      </c>
    </row>
    <row r="3602" ht="14.25" customHeight="1">
      <c r="G3602" s="174" t="s">
        <v>5191</v>
      </c>
      <c r="H3602" s="174" t="s">
        <v>1666</v>
      </c>
      <c r="I3602" s="174" t="str">
        <f t="shared" si="1"/>
        <v>SUDESTE</v>
      </c>
    </row>
    <row r="3603" ht="14.25" customHeight="1">
      <c r="G3603" s="174" t="s">
        <v>5192</v>
      </c>
      <c r="H3603" s="174" t="s">
        <v>1750</v>
      </c>
      <c r="I3603" s="174" t="str">
        <f t="shared" si="1"/>
        <v>SUDESTE</v>
      </c>
    </row>
    <row r="3604" ht="14.25" customHeight="1">
      <c r="G3604" s="174" t="s">
        <v>5193</v>
      </c>
      <c r="H3604" s="174" t="s">
        <v>1719</v>
      </c>
      <c r="I3604" s="174" t="str">
        <f t="shared" si="1"/>
        <v>NORDESTE</v>
      </c>
    </row>
    <row r="3605" ht="14.25" customHeight="1">
      <c r="G3605" s="174" t="s">
        <v>5194</v>
      </c>
      <c r="H3605" s="174" t="s">
        <v>1730</v>
      </c>
      <c r="I3605" s="174" t="str">
        <f t="shared" si="1"/>
        <v>SUDESTE</v>
      </c>
    </row>
    <row r="3606" ht="14.25" customHeight="1">
      <c r="G3606" s="174" t="s">
        <v>5195</v>
      </c>
      <c r="H3606" s="174" t="s">
        <v>1685</v>
      </c>
      <c r="I3606" s="174" t="str">
        <f t="shared" si="1"/>
        <v>NORDESTE</v>
      </c>
    </row>
    <row r="3607" ht="14.25" customHeight="1">
      <c r="G3607" s="174" t="s">
        <v>5196</v>
      </c>
      <c r="H3607" s="174" t="s">
        <v>1733</v>
      </c>
      <c r="I3607" s="174" t="str">
        <f t="shared" si="1"/>
        <v>NORDESTE</v>
      </c>
    </row>
    <row r="3608" ht="14.25" customHeight="1">
      <c r="G3608" s="174" t="s">
        <v>5197</v>
      </c>
      <c r="H3608" s="174" t="s">
        <v>1687</v>
      </c>
      <c r="I3608" s="174" t="str">
        <f t="shared" si="1"/>
        <v>NORTE</v>
      </c>
    </row>
    <row r="3609" ht="14.25" customHeight="1">
      <c r="G3609" s="174" t="s">
        <v>5198</v>
      </c>
      <c r="H3609" s="174" t="s">
        <v>1658</v>
      </c>
      <c r="I3609" s="174" t="str">
        <f t="shared" si="1"/>
        <v>CENTRO OESTE</v>
      </c>
    </row>
    <row r="3610" ht="14.25" customHeight="1">
      <c r="G3610" s="174" t="s">
        <v>5199</v>
      </c>
      <c r="H3610" s="174" t="s">
        <v>1733</v>
      </c>
      <c r="I3610" s="174" t="str">
        <f t="shared" si="1"/>
        <v>NORDESTE</v>
      </c>
    </row>
    <row r="3611" ht="14.25" customHeight="1">
      <c r="G3611" s="174" t="s">
        <v>5200</v>
      </c>
      <c r="H3611" s="174" t="s">
        <v>1750</v>
      </c>
      <c r="I3611" s="174" t="str">
        <f t="shared" si="1"/>
        <v>SUDESTE</v>
      </c>
    </row>
    <row r="3612" ht="14.25" customHeight="1">
      <c r="G3612" s="174" t="s">
        <v>5201</v>
      </c>
      <c r="H3612" s="174" t="s">
        <v>1742</v>
      </c>
      <c r="I3612" s="174" t="str">
        <f t="shared" si="1"/>
        <v>SUL</v>
      </c>
    </row>
    <row r="3613" ht="14.25" customHeight="1">
      <c r="G3613" s="174" t="s">
        <v>5202</v>
      </c>
      <c r="H3613" s="174" t="s">
        <v>1736</v>
      </c>
      <c r="I3613" s="174" t="str">
        <f t="shared" si="1"/>
        <v>NORTE</v>
      </c>
    </row>
    <row r="3614" ht="14.25" customHeight="1">
      <c r="G3614" s="174" t="s">
        <v>5203</v>
      </c>
      <c r="H3614" s="174" t="s">
        <v>1733</v>
      </c>
      <c r="I3614" s="174" t="str">
        <f t="shared" si="1"/>
        <v>NORDESTE</v>
      </c>
    </row>
    <row r="3615" ht="14.25" customHeight="1">
      <c r="G3615" s="174" t="s">
        <v>5204</v>
      </c>
      <c r="H3615" s="174" t="s">
        <v>1664</v>
      </c>
      <c r="I3615" s="174" t="str">
        <f t="shared" si="1"/>
        <v>NORDESTE</v>
      </c>
    </row>
    <row r="3616" ht="14.25" customHeight="1">
      <c r="G3616" s="174" t="s">
        <v>5205</v>
      </c>
      <c r="H3616" s="174" t="s">
        <v>1672</v>
      </c>
      <c r="I3616" s="174" t="str">
        <f t="shared" si="1"/>
        <v>NORTE</v>
      </c>
    </row>
    <row r="3617" ht="14.25" customHeight="1">
      <c r="G3617" s="174" t="s">
        <v>5206</v>
      </c>
      <c r="H3617" s="174" t="s">
        <v>1685</v>
      </c>
      <c r="I3617" s="174" t="str">
        <f t="shared" si="1"/>
        <v>NORDESTE</v>
      </c>
    </row>
    <row r="3618" ht="14.25" customHeight="1">
      <c r="G3618" s="174" t="s">
        <v>5207</v>
      </c>
      <c r="H3618" s="174" t="s">
        <v>1664</v>
      </c>
      <c r="I3618" s="174" t="str">
        <f t="shared" si="1"/>
        <v>NORDESTE</v>
      </c>
    </row>
    <row r="3619" ht="14.25" customHeight="1">
      <c r="G3619" s="174" t="s">
        <v>5208</v>
      </c>
      <c r="H3619" s="174" t="s">
        <v>1750</v>
      </c>
      <c r="I3619" s="174" t="str">
        <f t="shared" si="1"/>
        <v>SUDESTE</v>
      </c>
    </row>
    <row r="3620" ht="14.25" customHeight="1">
      <c r="G3620" s="174" t="s">
        <v>5209</v>
      </c>
      <c r="H3620" s="174" t="s">
        <v>1750</v>
      </c>
      <c r="I3620" s="174" t="str">
        <f t="shared" si="1"/>
        <v>SUDESTE</v>
      </c>
    </row>
    <row r="3621" ht="14.25" customHeight="1">
      <c r="G3621" s="174" t="s">
        <v>5210</v>
      </c>
      <c r="H3621" s="174" t="s">
        <v>1725</v>
      </c>
      <c r="I3621" s="174" t="str">
        <f t="shared" si="1"/>
        <v>NORDESTE</v>
      </c>
    </row>
    <row r="3622" ht="14.25" customHeight="1">
      <c r="G3622" s="174" t="s">
        <v>5211</v>
      </c>
      <c r="H3622" s="174" t="s">
        <v>1725</v>
      </c>
      <c r="I3622" s="174" t="str">
        <f t="shared" si="1"/>
        <v>NORDESTE</v>
      </c>
    </row>
    <row r="3623" ht="14.25" customHeight="1">
      <c r="G3623" s="174" t="s">
        <v>5212</v>
      </c>
      <c r="H3623" s="174" t="s">
        <v>1733</v>
      </c>
      <c r="I3623" s="174" t="str">
        <f t="shared" si="1"/>
        <v>NORDESTE</v>
      </c>
    </row>
    <row r="3624" ht="14.25" customHeight="1">
      <c r="G3624" s="174" t="s">
        <v>5212</v>
      </c>
      <c r="H3624" s="174" t="s">
        <v>1717</v>
      </c>
      <c r="I3624" s="174" t="str">
        <f t="shared" si="1"/>
        <v>NORDESTE</v>
      </c>
    </row>
    <row r="3625" ht="14.25" customHeight="1">
      <c r="G3625" s="174" t="s">
        <v>5213</v>
      </c>
      <c r="H3625" s="174" t="s">
        <v>1704</v>
      </c>
      <c r="I3625" s="174" t="str">
        <f t="shared" si="1"/>
        <v>NORDESTE</v>
      </c>
    </row>
    <row r="3626" ht="14.25" customHeight="1">
      <c r="G3626" s="174" t="s">
        <v>5214</v>
      </c>
      <c r="H3626" s="174" t="s">
        <v>1742</v>
      </c>
      <c r="I3626" s="174" t="str">
        <f t="shared" si="1"/>
        <v>SUL</v>
      </c>
    </row>
    <row r="3627" ht="14.25" customHeight="1">
      <c r="G3627" s="174" t="s">
        <v>5215</v>
      </c>
      <c r="H3627" s="174" t="s">
        <v>1733</v>
      </c>
      <c r="I3627" s="174" t="str">
        <f t="shared" si="1"/>
        <v>NORDESTE</v>
      </c>
    </row>
    <row r="3628" ht="14.25" customHeight="1">
      <c r="G3628" s="174" t="s">
        <v>5216</v>
      </c>
      <c r="H3628" s="174" t="s">
        <v>1666</v>
      </c>
      <c r="I3628" s="174" t="str">
        <f t="shared" si="1"/>
        <v>SUDESTE</v>
      </c>
    </row>
    <row r="3629" ht="14.25" customHeight="1">
      <c r="G3629" s="174" t="s">
        <v>5217</v>
      </c>
      <c r="H3629" s="174" t="s">
        <v>1742</v>
      </c>
      <c r="I3629" s="174" t="str">
        <f t="shared" si="1"/>
        <v>SUL</v>
      </c>
    </row>
    <row r="3630" ht="14.25" customHeight="1">
      <c r="G3630" s="174" t="s">
        <v>5218</v>
      </c>
      <c r="H3630" s="174" t="s">
        <v>1666</v>
      </c>
      <c r="I3630" s="174" t="str">
        <f t="shared" si="1"/>
        <v>SUDESTE</v>
      </c>
    </row>
    <row r="3631" ht="14.25" customHeight="1">
      <c r="G3631" s="174" t="s">
        <v>5219</v>
      </c>
      <c r="H3631" s="174" t="s">
        <v>1666</v>
      </c>
      <c r="I3631" s="174" t="str">
        <f t="shared" si="1"/>
        <v>SUDESTE</v>
      </c>
    </row>
    <row r="3632" ht="14.25" customHeight="1">
      <c r="G3632" s="174" t="s">
        <v>5220</v>
      </c>
      <c r="H3632" s="174" t="s">
        <v>1733</v>
      </c>
      <c r="I3632" s="174" t="str">
        <f t="shared" si="1"/>
        <v>NORDESTE</v>
      </c>
    </row>
    <row r="3633" ht="14.25" customHeight="1">
      <c r="G3633" s="174" t="s">
        <v>5220</v>
      </c>
      <c r="H3633" s="174" t="s">
        <v>1719</v>
      </c>
      <c r="I3633" s="174" t="str">
        <f t="shared" si="1"/>
        <v>NORDESTE</v>
      </c>
    </row>
    <row r="3634" ht="14.25" customHeight="1">
      <c r="G3634" s="174" t="s">
        <v>5221</v>
      </c>
      <c r="H3634" s="174" t="s">
        <v>1704</v>
      </c>
      <c r="I3634" s="174" t="str">
        <f t="shared" si="1"/>
        <v>NORDESTE</v>
      </c>
    </row>
    <row r="3635" ht="14.25" customHeight="1">
      <c r="G3635" s="174" t="s">
        <v>5222</v>
      </c>
      <c r="H3635" s="174" t="s">
        <v>1725</v>
      </c>
      <c r="I3635" s="174" t="str">
        <f t="shared" si="1"/>
        <v>NORDESTE</v>
      </c>
    </row>
    <row r="3636" ht="14.25" customHeight="1">
      <c r="G3636" s="174" t="s">
        <v>5223</v>
      </c>
      <c r="H3636" s="174" t="s">
        <v>1666</v>
      </c>
      <c r="I3636" s="174" t="str">
        <f t="shared" si="1"/>
        <v>SUDESTE</v>
      </c>
    </row>
    <row r="3637" ht="14.25" customHeight="1">
      <c r="G3637" s="174" t="s">
        <v>5224</v>
      </c>
      <c r="H3637" s="174" t="s">
        <v>1717</v>
      </c>
      <c r="I3637" s="174" t="str">
        <f t="shared" si="1"/>
        <v>NORDESTE</v>
      </c>
    </row>
    <row r="3638" ht="14.25" customHeight="1">
      <c r="G3638" s="174" t="s">
        <v>5225</v>
      </c>
      <c r="H3638" s="174" t="s">
        <v>1664</v>
      </c>
      <c r="I3638" s="174" t="str">
        <f t="shared" si="1"/>
        <v>NORDESTE</v>
      </c>
    </row>
    <row r="3639" ht="14.25" customHeight="1">
      <c r="G3639" s="174" t="s">
        <v>5226</v>
      </c>
      <c r="H3639" s="174" t="s">
        <v>1706</v>
      </c>
      <c r="I3639" s="174" t="str">
        <f t="shared" si="1"/>
        <v>SUL</v>
      </c>
    </row>
    <row r="3640" ht="14.25" customHeight="1">
      <c r="G3640" s="174" t="s">
        <v>5227</v>
      </c>
      <c r="H3640" s="174" t="s">
        <v>1742</v>
      </c>
      <c r="I3640" s="174" t="str">
        <f t="shared" si="1"/>
        <v>SUL</v>
      </c>
    </row>
    <row r="3641" ht="14.25" customHeight="1">
      <c r="G3641" s="174" t="s">
        <v>5228</v>
      </c>
      <c r="H3641" s="174" t="s">
        <v>1742</v>
      </c>
      <c r="I3641" s="174" t="str">
        <f t="shared" si="1"/>
        <v>SUL</v>
      </c>
    </row>
    <row r="3642" ht="14.25" customHeight="1">
      <c r="G3642" s="174" t="s">
        <v>5229</v>
      </c>
      <c r="H3642" s="174" t="s">
        <v>1666</v>
      </c>
      <c r="I3642" s="174" t="str">
        <f t="shared" si="1"/>
        <v>SUDESTE</v>
      </c>
    </row>
    <row r="3643" ht="14.25" customHeight="1">
      <c r="G3643" s="174" t="s">
        <v>5230</v>
      </c>
      <c r="H3643" s="174" t="s">
        <v>1706</v>
      </c>
      <c r="I3643" s="174" t="str">
        <f t="shared" si="1"/>
        <v>SUL</v>
      </c>
    </row>
    <row r="3644" ht="14.25" customHeight="1">
      <c r="G3644" s="174" t="s">
        <v>5231</v>
      </c>
      <c r="H3644" s="174" t="s">
        <v>1704</v>
      </c>
      <c r="I3644" s="174" t="str">
        <f t="shared" si="1"/>
        <v>NORDESTE</v>
      </c>
    </row>
    <row r="3645" ht="14.25" customHeight="1">
      <c r="G3645" s="174" t="s">
        <v>5232</v>
      </c>
      <c r="H3645" s="174" t="s">
        <v>1666</v>
      </c>
      <c r="I3645" s="174" t="str">
        <f t="shared" si="1"/>
        <v>SUDESTE</v>
      </c>
    </row>
    <row r="3646" ht="14.25" customHeight="1">
      <c r="G3646" s="174" t="s">
        <v>5233</v>
      </c>
      <c r="H3646" s="174" t="s">
        <v>1702</v>
      </c>
      <c r="I3646" s="174" t="str">
        <f t="shared" si="1"/>
        <v>SUL</v>
      </c>
    </row>
    <row r="3647" ht="14.25" customHeight="1">
      <c r="G3647" s="174" t="s">
        <v>5234</v>
      </c>
      <c r="H3647" s="174" t="s">
        <v>1702</v>
      </c>
      <c r="I3647" s="174" t="str">
        <f t="shared" si="1"/>
        <v>SUL</v>
      </c>
    </row>
    <row r="3648" ht="14.25" customHeight="1">
      <c r="G3648" s="174" t="s">
        <v>5235</v>
      </c>
      <c r="H3648" s="174" t="s">
        <v>1719</v>
      </c>
      <c r="I3648" s="174" t="str">
        <f t="shared" si="1"/>
        <v>NORDESTE</v>
      </c>
    </row>
    <row r="3649" ht="14.25" customHeight="1">
      <c r="G3649" s="174" t="s">
        <v>5236</v>
      </c>
      <c r="H3649" s="174" t="s">
        <v>1666</v>
      </c>
      <c r="I3649" s="174" t="str">
        <f t="shared" si="1"/>
        <v>SUDESTE</v>
      </c>
    </row>
    <row r="3650" ht="14.25" customHeight="1">
      <c r="G3650" s="174" t="s">
        <v>5237</v>
      </c>
      <c r="H3650" s="174" t="s">
        <v>1725</v>
      </c>
      <c r="I3650" s="174" t="str">
        <f t="shared" si="1"/>
        <v>NORDESTE</v>
      </c>
    </row>
    <row r="3651" ht="14.25" customHeight="1">
      <c r="G3651" s="174" t="s">
        <v>5238</v>
      </c>
      <c r="H3651" s="174" t="s">
        <v>1666</v>
      </c>
      <c r="I3651" s="174" t="str">
        <f t="shared" si="1"/>
        <v>SUDESTE</v>
      </c>
    </row>
    <row r="3652" ht="14.25" customHeight="1">
      <c r="G3652" s="174" t="s">
        <v>5239</v>
      </c>
      <c r="H3652" s="174" t="s">
        <v>1666</v>
      </c>
      <c r="I3652" s="174" t="str">
        <f t="shared" si="1"/>
        <v>SUDESTE</v>
      </c>
    </row>
    <row r="3653" ht="14.25" customHeight="1">
      <c r="G3653" s="174" t="s">
        <v>5240</v>
      </c>
      <c r="H3653" s="174" t="s">
        <v>1750</v>
      </c>
      <c r="I3653" s="174" t="str">
        <f t="shared" si="1"/>
        <v>SUDESTE</v>
      </c>
    </row>
    <row r="3654" ht="14.25" customHeight="1">
      <c r="G3654" s="174" t="s">
        <v>5241</v>
      </c>
      <c r="H3654" s="174" t="s">
        <v>1733</v>
      </c>
      <c r="I3654" s="174" t="str">
        <f t="shared" si="1"/>
        <v>NORDESTE</v>
      </c>
    </row>
    <row r="3655" ht="14.25" customHeight="1">
      <c r="G3655" s="174" t="s">
        <v>5242</v>
      </c>
      <c r="H3655" s="174" t="s">
        <v>1730</v>
      </c>
      <c r="I3655" s="174" t="str">
        <f t="shared" si="1"/>
        <v>SUDESTE</v>
      </c>
    </row>
    <row r="3656" ht="14.25" customHeight="1">
      <c r="G3656" s="174" t="s">
        <v>5243</v>
      </c>
      <c r="H3656" s="174" t="s">
        <v>1685</v>
      </c>
      <c r="I3656" s="174" t="str">
        <f t="shared" si="1"/>
        <v>NORDESTE</v>
      </c>
    </row>
    <row r="3657" ht="14.25" customHeight="1">
      <c r="G3657" s="174" t="s">
        <v>5244</v>
      </c>
      <c r="H3657" s="174" t="s">
        <v>1687</v>
      </c>
      <c r="I3657" s="174" t="str">
        <f t="shared" si="1"/>
        <v>NORTE</v>
      </c>
    </row>
    <row r="3658" ht="14.25" customHeight="1">
      <c r="G3658" s="174" t="s">
        <v>5244</v>
      </c>
      <c r="H3658" s="174" t="s">
        <v>1721</v>
      </c>
      <c r="I3658" s="174" t="str">
        <f t="shared" si="1"/>
        <v>NORTE</v>
      </c>
    </row>
    <row r="3659" ht="14.25" customHeight="1">
      <c r="G3659" s="174" t="s">
        <v>5245</v>
      </c>
      <c r="H3659" s="174" t="s">
        <v>1725</v>
      </c>
      <c r="I3659" s="174" t="str">
        <f t="shared" si="1"/>
        <v>NORDESTE</v>
      </c>
    </row>
    <row r="3660" ht="14.25" customHeight="1">
      <c r="G3660" s="174" t="s">
        <v>5246</v>
      </c>
      <c r="H3660" s="174" t="s">
        <v>1733</v>
      </c>
      <c r="I3660" s="174" t="str">
        <f t="shared" si="1"/>
        <v>NORDESTE</v>
      </c>
    </row>
    <row r="3661" ht="14.25" customHeight="1">
      <c r="G3661" s="174" t="s">
        <v>5247</v>
      </c>
      <c r="H3661" s="174" t="s">
        <v>1717</v>
      </c>
      <c r="I3661" s="174" t="str">
        <f t="shared" si="1"/>
        <v>NORDESTE</v>
      </c>
    </row>
    <row r="3662" ht="14.25" customHeight="1">
      <c r="G3662" s="174" t="s">
        <v>5248</v>
      </c>
      <c r="H3662" s="174" t="s">
        <v>1672</v>
      </c>
      <c r="I3662" s="174" t="str">
        <f t="shared" si="1"/>
        <v>NORTE</v>
      </c>
    </row>
    <row r="3663" ht="14.25" customHeight="1">
      <c r="G3663" s="174" t="s">
        <v>5249</v>
      </c>
      <c r="H3663" s="174" t="s">
        <v>1666</v>
      </c>
      <c r="I3663" s="174" t="str">
        <f t="shared" si="1"/>
        <v>SUDESTE</v>
      </c>
    </row>
    <row r="3664" ht="14.25" customHeight="1">
      <c r="G3664" s="174" t="s">
        <v>5250</v>
      </c>
      <c r="H3664" s="174" t="s">
        <v>1702</v>
      </c>
      <c r="I3664" s="174" t="str">
        <f t="shared" si="1"/>
        <v>SUL</v>
      </c>
    </row>
    <row r="3665" ht="14.25" customHeight="1">
      <c r="G3665" s="174" t="s">
        <v>5251</v>
      </c>
      <c r="H3665" s="174" t="s">
        <v>1750</v>
      </c>
      <c r="I3665" s="174" t="str">
        <f t="shared" si="1"/>
        <v>SUDESTE</v>
      </c>
    </row>
    <row r="3666" ht="14.25" customHeight="1">
      <c r="G3666" s="174" t="s">
        <v>5252</v>
      </c>
      <c r="H3666" s="174" t="s">
        <v>1750</v>
      </c>
      <c r="I3666" s="174" t="str">
        <f t="shared" si="1"/>
        <v>SUDESTE</v>
      </c>
    </row>
    <row r="3667" ht="14.25" customHeight="1">
      <c r="G3667" s="174" t="s">
        <v>5253</v>
      </c>
      <c r="H3667" s="174" t="s">
        <v>1704</v>
      </c>
      <c r="I3667" s="174" t="str">
        <f t="shared" si="1"/>
        <v>NORDESTE</v>
      </c>
    </row>
    <row r="3668" ht="14.25" customHeight="1">
      <c r="G3668" s="174" t="s">
        <v>5254</v>
      </c>
      <c r="H3668" s="174" t="s">
        <v>1719</v>
      </c>
      <c r="I3668" s="174" t="str">
        <f t="shared" si="1"/>
        <v>NORDESTE</v>
      </c>
    </row>
    <row r="3669" ht="14.25" customHeight="1">
      <c r="G3669" s="174" t="s">
        <v>5254</v>
      </c>
      <c r="H3669" s="174" t="s">
        <v>1717</v>
      </c>
      <c r="I3669" s="174" t="str">
        <f t="shared" si="1"/>
        <v>NORDESTE</v>
      </c>
    </row>
    <row r="3670" ht="14.25" customHeight="1">
      <c r="G3670" s="174" t="s">
        <v>5255</v>
      </c>
      <c r="H3670" s="174" t="s">
        <v>1725</v>
      </c>
      <c r="I3670" s="174" t="str">
        <f t="shared" si="1"/>
        <v>NORDESTE</v>
      </c>
    </row>
    <row r="3671" ht="14.25" customHeight="1">
      <c r="G3671" s="174" t="s">
        <v>5256</v>
      </c>
      <c r="H3671" s="174" t="s">
        <v>1750</v>
      </c>
      <c r="I3671" s="174" t="str">
        <f t="shared" si="1"/>
        <v>SUDESTE</v>
      </c>
    </row>
    <row r="3672" ht="14.25" customHeight="1">
      <c r="G3672" s="174" t="s">
        <v>5257</v>
      </c>
      <c r="H3672" s="174" t="s">
        <v>1666</v>
      </c>
      <c r="I3672" s="174" t="str">
        <f t="shared" si="1"/>
        <v>SUDESTE</v>
      </c>
    </row>
    <row r="3673" ht="14.25" customHeight="1">
      <c r="G3673" s="174" t="s">
        <v>5258</v>
      </c>
      <c r="H3673" s="174" t="s">
        <v>1685</v>
      </c>
      <c r="I3673" s="174" t="str">
        <f t="shared" si="1"/>
        <v>NORDESTE</v>
      </c>
    </row>
    <row r="3674" ht="14.25" customHeight="1">
      <c r="G3674" s="174" t="s">
        <v>5259</v>
      </c>
      <c r="H3674" s="174" t="s">
        <v>1742</v>
      </c>
      <c r="I3674" s="174" t="str">
        <f t="shared" si="1"/>
        <v>SUL</v>
      </c>
    </row>
    <row r="3675" ht="14.25" customHeight="1">
      <c r="G3675" s="174" t="s">
        <v>5260</v>
      </c>
      <c r="H3675" s="174" t="s">
        <v>1750</v>
      </c>
      <c r="I3675" s="174" t="str">
        <f t="shared" si="1"/>
        <v>SUDESTE</v>
      </c>
    </row>
    <row r="3676" ht="14.25" customHeight="1">
      <c r="G3676" s="174" t="s">
        <v>5261</v>
      </c>
      <c r="H3676" s="174" t="s">
        <v>1702</v>
      </c>
      <c r="I3676" s="174" t="str">
        <f t="shared" si="1"/>
        <v>SUL</v>
      </c>
    </row>
    <row r="3677" ht="14.25" customHeight="1">
      <c r="G3677" s="174" t="s">
        <v>5262</v>
      </c>
      <c r="H3677" s="174" t="s">
        <v>1664</v>
      </c>
      <c r="I3677" s="174" t="str">
        <f t="shared" si="1"/>
        <v>NORDESTE</v>
      </c>
    </row>
    <row r="3678" ht="14.25" customHeight="1">
      <c r="G3678" s="174" t="s">
        <v>5263</v>
      </c>
      <c r="H3678" s="174" t="s">
        <v>1706</v>
      </c>
      <c r="I3678" s="174" t="str">
        <f t="shared" si="1"/>
        <v>SUL</v>
      </c>
    </row>
    <row r="3679" ht="14.25" customHeight="1">
      <c r="G3679" s="174" t="s">
        <v>5264</v>
      </c>
      <c r="H3679" s="174" t="s">
        <v>1704</v>
      </c>
      <c r="I3679" s="174" t="str">
        <f t="shared" si="1"/>
        <v>NORDESTE</v>
      </c>
    </row>
    <row r="3680" ht="14.25" customHeight="1">
      <c r="G3680" s="174" t="s">
        <v>5265</v>
      </c>
      <c r="H3680" s="174" t="s">
        <v>1666</v>
      </c>
      <c r="I3680" s="174" t="str">
        <f t="shared" si="1"/>
        <v>SUDESTE</v>
      </c>
    </row>
    <row r="3681" ht="14.25" customHeight="1">
      <c r="G3681" s="174" t="s">
        <v>5266</v>
      </c>
      <c r="H3681" s="174" t="s">
        <v>1742</v>
      </c>
      <c r="I3681" s="174" t="str">
        <f t="shared" si="1"/>
        <v>SUL</v>
      </c>
    </row>
    <row r="3682" ht="14.25" customHeight="1">
      <c r="G3682" s="174" t="s">
        <v>5267</v>
      </c>
      <c r="H3682" s="174" t="s">
        <v>1725</v>
      </c>
      <c r="I3682" s="174" t="str">
        <f t="shared" si="1"/>
        <v>NORDESTE</v>
      </c>
    </row>
    <row r="3683" ht="14.25" customHeight="1">
      <c r="G3683" s="174" t="s">
        <v>5268</v>
      </c>
      <c r="H3683" s="174" t="s">
        <v>1685</v>
      </c>
      <c r="I3683" s="174" t="str">
        <f t="shared" si="1"/>
        <v>NORDESTE</v>
      </c>
    </row>
    <row r="3684" ht="14.25" customHeight="1">
      <c r="G3684" s="174" t="s">
        <v>5269</v>
      </c>
      <c r="H3684" s="174" t="s">
        <v>1702</v>
      </c>
      <c r="I3684" s="174" t="str">
        <f t="shared" si="1"/>
        <v>SUL</v>
      </c>
    </row>
    <row r="3685" ht="14.25" customHeight="1">
      <c r="G3685" s="174" t="s">
        <v>5270</v>
      </c>
      <c r="H3685" s="174" t="s">
        <v>1666</v>
      </c>
      <c r="I3685" s="174" t="str">
        <f t="shared" si="1"/>
        <v>SUDESTE</v>
      </c>
    </row>
    <row r="3686" ht="14.25" customHeight="1">
      <c r="G3686" s="174" t="s">
        <v>5271</v>
      </c>
      <c r="H3686" s="174" t="s">
        <v>1750</v>
      </c>
      <c r="I3686" s="174" t="str">
        <f t="shared" si="1"/>
        <v>SUDESTE</v>
      </c>
    </row>
    <row r="3687" ht="14.25" customHeight="1">
      <c r="G3687" s="174" t="s">
        <v>5272</v>
      </c>
      <c r="H3687" s="174" t="s">
        <v>1717</v>
      </c>
      <c r="I3687" s="174" t="str">
        <f t="shared" si="1"/>
        <v>NORDESTE</v>
      </c>
    </row>
    <row r="3688" ht="14.25" customHeight="1">
      <c r="G3688" s="174" t="s">
        <v>5273</v>
      </c>
      <c r="H3688" s="174" t="s">
        <v>1666</v>
      </c>
      <c r="I3688" s="174" t="str">
        <f t="shared" si="1"/>
        <v>SUDESTE</v>
      </c>
    </row>
    <row r="3689" ht="14.25" customHeight="1">
      <c r="G3689" s="174" t="s">
        <v>5274</v>
      </c>
      <c r="H3689" s="174" t="s">
        <v>1750</v>
      </c>
      <c r="I3689" s="174" t="str">
        <f t="shared" si="1"/>
        <v>SUDESTE</v>
      </c>
    </row>
    <row r="3690" ht="14.25" customHeight="1">
      <c r="G3690" s="174" t="s">
        <v>5275</v>
      </c>
      <c r="H3690" s="174" t="s">
        <v>1666</v>
      </c>
      <c r="I3690" s="174" t="str">
        <f t="shared" si="1"/>
        <v>SUDESTE</v>
      </c>
    </row>
    <row r="3691" ht="14.25" customHeight="1">
      <c r="G3691" s="174" t="s">
        <v>5276</v>
      </c>
      <c r="H3691" s="174" t="s">
        <v>1690</v>
      </c>
      <c r="I3691" s="174" t="str">
        <f t="shared" si="1"/>
        <v>NORDESTE</v>
      </c>
    </row>
    <row r="3692" ht="14.25" customHeight="1">
      <c r="G3692" s="174" t="s">
        <v>5276</v>
      </c>
      <c r="H3692" s="174" t="s">
        <v>1719</v>
      </c>
      <c r="I3692" s="174" t="str">
        <f t="shared" si="1"/>
        <v>NORDESTE</v>
      </c>
    </row>
    <row r="3693" ht="14.25" customHeight="1">
      <c r="G3693" s="174" t="s">
        <v>5277</v>
      </c>
      <c r="H3693" s="174" t="s">
        <v>1679</v>
      </c>
      <c r="I3693" s="174" t="str">
        <f t="shared" si="1"/>
        <v>NORTE</v>
      </c>
    </row>
    <row r="3694" ht="14.25" customHeight="1">
      <c r="G3694" s="174" t="s">
        <v>5278</v>
      </c>
      <c r="H3694" s="174" t="s">
        <v>1666</v>
      </c>
      <c r="I3694" s="174" t="str">
        <f t="shared" si="1"/>
        <v>SUDESTE</v>
      </c>
    </row>
    <row r="3695" ht="14.25" customHeight="1">
      <c r="G3695" s="174" t="s">
        <v>5279</v>
      </c>
      <c r="H3695" s="174" t="s">
        <v>1666</v>
      </c>
      <c r="I3695" s="174" t="str">
        <f t="shared" si="1"/>
        <v>SUDESTE</v>
      </c>
    </row>
    <row r="3696" ht="14.25" customHeight="1">
      <c r="G3696" s="174" t="s">
        <v>5280</v>
      </c>
      <c r="H3696" s="174" t="s">
        <v>1666</v>
      </c>
      <c r="I3696" s="174" t="str">
        <f t="shared" si="1"/>
        <v>SUDESTE</v>
      </c>
    </row>
    <row r="3697" ht="14.25" customHeight="1">
      <c r="G3697" s="174" t="s">
        <v>5281</v>
      </c>
      <c r="H3697" s="174" t="s">
        <v>1733</v>
      </c>
      <c r="I3697" s="174" t="str">
        <f t="shared" si="1"/>
        <v>NORDESTE</v>
      </c>
    </row>
    <row r="3698" ht="14.25" customHeight="1">
      <c r="G3698" s="174" t="s">
        <v>5282</v>
      </c>
      <c r="H3698" s="174" t="s">
        <v>1719</v>
      </c>
      <c r="I3698" s="174" t="str">
        <f t="shared" si="1"/>
        <v>NORDESTE</v>
      </c>
    </row>
    <row r="3699" ht="14.25" customHeight="1">
      <c r="G3699" s="174" t="s">
        <v>5283</v>
      </c>
      <c r="H3699" s="174" t="s">
        <v>1747</v>
      </c>
      <c r="I3699" s="174" t="str">
        <f t="shared" si="1"/>
        <v>NORDESTE</v>
      </c>
    </row>
    <row r="3700" ht="14.25" customHeight="1">
      <c r="G3700" s="174" t="s">
        <v>5284</v>
      </c>
      <c r="H3700" s="174" t="s">
        <v>1733</v>
      </c>
      <c r="I3700" s="174" t="str">
        <f t="shared" si="1"/>
        <v>NORDESTE</v>
      </c>
    </row>
    <row r="3701" ht="14.25" customHeight="1">
      <c r="G3701" s="174" t="s">
        <v>5284</v>
      </c>
      <c r="H3701" s="174" t="s">
        <v>1713</v>
      </c>
      <c r="I3701" s="174" t="str">
        <f t="shared" si="1"/>
        <v>CENTRO OESTE</v>
      </c>
    </row>
    <row r="3702" ht="14.25" customHeight="1">
      <c r="G3702" s="174" t="s">
        <v>5285</v>
      </c>
      <c r="H3702" s="174" t="s">
        <v>1666</v>
      </c>
      <c r="I3702" s="174" t="str">
        <f t="shared" si="1"/>
        <v>SUDESTE</v>
      </c>
    </row>
    <row r="3703" ht="14.25" customHeight="1">
      <c r="G3703" s="174" t="s">
        <v>5286</v>
      </c>
      <c r="H3703" s="174" t="s">
        <v>1750</v>
      </c>
      <c r="I3703" s="174" t="str">
        <f t="shared" si="1"/>
        <v>SUDESTE</v>
      </c>
    </row>
    <row r="3704" ht="14.25" customHeight="1">
      <c r="G3704" s="174" t="s">
        <v>5287</v>
      </c>
      <c r="H3704" s="174" t="s">
        <v>1685</v>
      </c>
      <c r="I3704" s="174" t="str">
        <f t="shared" si="1"/>
        <v>NORDESTE</v>
      </c>
    </row>
    <row r="3705" ht="14.25" customHeight="1">
      <c r="G3705" s="174" t="s">
        <v>5288</v>
      </c>
      <c r="H3705" s="174" t="s">
        <v>1742</v>
      </c>
      <c r="I3705" s="174" t="str">
        <f t="shared" si="1"/>
        <v>SUL</v>
      </c>
    </row>
    <row r="3706" ht="14.25" customHeight="1">
      <c r="G3706" s="174" t="s">
        <v>5289</v>
      </c>
      <c r="H3706" s="174" t="s">
        <v>1719</v>
      </c>
      <c r="I3706" s="174" t="str">
        <f t="shared" si="1"/>
        <v>NORDESTE</v>
      </c>
    </row>
    <row r="3707" ht="14.25" customHeight="1">
      <c r="G3707" s="174" t="s">
        <v>5290</v>
      </c>
      <c r="H3707" s="174" t="s">
        <v>1666</v>
      </c>
      <c r="I3707" s="174" t="str">
        <f t="shared" si="1"/>
        <v>SUDESTE</v>
      </c>
    </row>
    <row r="3708" ht="14.25" customHeight="1">
      <c r="G3708" s="174" t="s">
        <v>5291</v>
      </c>
      <c r="H3708" s="174" t="s">
        <v>1706</v>
      </c>
      <c r="I3708" s="174" t="str">
        <f t="shared" si="1"/>
        <v>SUL</v>
      </c>
    </row>
    <row r="3709" ht="14.25" customHeight="1">
      <c r="G3709" s="174" t="s">
        <v>5292</v>
      </c>
      <c r="H3709" s="174" t="s">
        <v>1750</v>
      </c>
      <c r="I3709" s="174" t="str">
        <f t="shared" si="1"/>
        <v>SUDESTE</v>
      </c>
    </row>
    <row r="3710" ht="14.25" customHeight="1">
      <c r="G3710" s="174" t="s">
        <v>5293</v>
      </c>
      <c r="H3710" s="174" t="s">
        <v>1750</v>
      </c>
      <c r="I3710" s="174" t="str">
        <f t="shared" si="1"/>
        <v>SUDESTE</v>
      </c>
    </row>
    <row r="3711" ht="14.25" customHeight="1">
      <c r="G3711" s="174" t="s">
        <v>5294</v>
      </c>
      <c r="H3711" s="174" t="s">
        <v>1704</v>
      </c>
      <c r="I3711" s="174" t="str">
        <f t="shared" si="1"/>
        <v>NORDESTE</v>
      </c>
    </row>
    <row r="3712" ht="14.25" customHeight="1">
      <c r="G3712" s="174" t="s">
        <v>5295</v>
      </c>
      <c r="H3712" s="174" t="s">
        <v>1747</v>
      </c>
      <c r="I3712" s="174" t="str">
        <f t="shared" si="1"/>
        <v>NORDESTE</v>
      </c>
    </row>
    <row r="3713" ht="14.25" customHeight="1">
      <c r="G3713" s="174" t="s">
        <v>5296</v>
      </c>
      <c r="H3713" s="174" t="s">
        <v>1750</v>
      </c>
      <c r="I3713" s="174" t="str">
        <f t="shared" si="1"/>
        <v>SUDESTE</v>
      </c>
    </row>
    <row r="3714" ht="14.25" customHeight="1">
      <c r="G3714" s="174" t="s">
        <v>5297</v>
      </c>
      <c r="H3714" s="174" t="s">
        <v>1666</v>
      </c>
      <c r="I3714" s="174" t="str">
        <f t="shared" si="1"/>
        <v>SUDESTE</v>
      </c>
    </row>
    <row r="3715" ht="14.25" customHeight="1">
      <c r="G3715" s="174" t="s">
        <v>5298</v>
      </c>
      <c r="H3715" s="174" t="s">
        <v>1721</v>
      </c>
      <c r="I3715" s="174" t="str">
        <f t="shared" si="1"/>
        <v>NORTE</v>
      </c>
    </row>
    <row r="3716" ht="14.25" customHeight="1">
      <c r="G3716" s="174" t="s">
        <v>5299</v>
      </c>
      <c r="H3716" s="174" t="s">
        <v>1685</v>
      </c>
      <c r="I3716" s="174" t="str">
        <f t="shared" si="1"/>
        <v>NORDESTE</v>
      </c>
    </row>
    <row r="3717" ht="14.25" customHeight="1">
      <c r="G3717" s="174" t="s">
        <v>5300</v>
      </c>
      <c r="H3717" s="174" t="s">
        <v>1733</v>
      </c>
      <c r="I3717" s="174" t="str">
        <f t="shared" si="1"/>
        <v>NORDESTE</v>
      </c>
    </row>
    <row r="3718" ht="14.25" customHeight="1">
      <c r="G3718" s="174" t="s">
        <v>5301</v>
      </c>
      <c r="H3718" s="174" t="s">
        <v>1698</v>
      </c>
      <c r="I3718" s="174" t="str">
        <f t="shared" si="1"/>
        <v>SUDESTE</v>
      </c>
    </row>
    <row r="3719" ht="14.25" customHeight="1">
      <c r="G3719" s="174" t="s">
        <v>5302</v>
      </c>
      <c r="H3719" s="174" t="s">
        <v>1750</v>
      </c>
      <c r="I3719" s="174" t="str">
        <f t="shared" si="1"/>
        <v>SUDESTE</v>
      </c>
    </row>
    <row r="3720" ht="14.25" customHeight="1">
      <c r="G3720" s="174" t="s">
        <v>5303</v>
      </c>
      <c r="H3720" s="174" t="s">
        <v>1704</v>
      </c>
      <c r="I3720" s="174" t="str">
        <f t="shared" si="1"/>
        <v>NORDESTE</v>
      </c>
    </row>
    <row r="3721" ht="14.25" customHeight="1">
      <c r="G3721" s="174" t="s">
        <v>5304</v>
      </c>
      <c r="H3721" s="174" t="s">
        <v>1710</v>
      </c>
      <c r="I3721" s="174" t="str">
        <f t="shared" si="1"/>
        <v>CENTRO OESTE</v>
      </c>
    </row>
    <row r="3722" ht="14.25" customHeight="1">
      <c r="G3722" s="174" t="s">
        <v>5305</v>
      </c>
      <c r="H3722" s="174" t="s">
        <v>1725</v>
      </c>
      <c r="I3722" s="174" t="str">
        <f t="shared" si="1"/>
        <v>NORDESTE</v>
      </c>
    </row>
    <row r="3723" ht="14.25" customHeight="1">
      <c r="G3723" s="174" t="s">
        <v>5306</v>
      </c>
      <c r="H3723" s="174" t="s">
        <v>1725</v>
      </c>
      <c r="I3723" s="174" t="str">
        <f t="shared" si="1"/>
        <v>NORDESTE</v>
      </c>
    </row>
    <row r="3724" ht="14.25" customHeight="1">
      <c r="G3724" s="174" t="s">
        <v>5307</v>
      </c>
      <c r="H3724" s="174" t="s">
        <v>1666</v>
      </c>
      <c r="I3724" s="174" t="str">
        <f t="shared" si="1"/>
        <v>SUDESTE</v>
      </c>
    </row>
    <row r="3725" ht="14.25" customHeight="1">
      <c r="G3725" s="174" t="s">
        <v>5308</v>
      </c>
      <c r="H3725" s="174" t="s">
        <v>1742</v>
      </c>
      <c r="I3725" s="174" t="str">
        <f t="shared" si="1"/>
        <v>SUL</v>
      </c>
    </row>
    <row r="3726" ht="14.25" customHeight="1">
      <c r="G3726" s="174" t="s">
        <v>5309</v>
      </c>
      <c r="H3726" s="174" t="s">
        <v>1719</v>
      </c>
      <c r="I3726" s="174" t="str">
        <f t="shared" si="1"/>
        <v>NORDESTE</v>
      </c>
    </row>
    <row r="3727" ht="14.25" customHeight="1">
      <c r="G3727" s="174" t="s">
        <v>5310</v>
      </c>
      <c r="H3727" s="174" t="s">
        <v>1666</v>
      </c>
      <c r="I3727" s="174" t="str">
        <f t="shared" si="1"/>
        <v>SUDESTE</v>
      </c>
    </row>
    <row r="3728" ht="14.25" customHeight="1">
      <c r="G3728" s="174" t="s">
        <v>5311</v>
      </c>
      <c r="H3728" s="174" t="s">
        <v>1733</v>
      </c>
      <c r="I3728" s="174" t="str">
        <f t="shared" si="1"/>
        <v>NORDESTE</v>
      </c>
    </row>
    <row r="3729" ht="14.25" customHeight="1">
      <c r="G3729" s="174" t="s">
        <v>5312</v>
      </c>
      <c r="H3729" s="174" t="s">
        <v>1721</v>
      </c>
      <c r="I3729" s="174" t="str">
        <f t="shared" si="1"/>
        <v>NORTE</v>
      </c>
    </row>
    <row r="3730" ht="14.25" customHeight="1">
      <c r="G3730" s="174" t="s">
        <v>5313</v>
      </c>
      <c r="H3730" s="174" t="s">
        <v>1687</v>
      </c>
      <c r="I3730" s="174" t="str">
        <f t="shared" si="1"/>
        <v>NORTE</v>
      </c>
    </row>
    <row r="3731" ht="14.25" customHeight="1">
      <c r="G3731" s="174" t="s">
        <v>5314</v>
      </c>
      <c r="H3731" s="174" t="s">
        <v>1713</v>
      </c>
      <c r="I3731" s="174" t="str">
        <f t="shared" si="1"/>
        <v>CENTRO OESTE</v>
      </c>
    </row>
    <row r="3732" ht="14.25" customHeight="1">
      <c r="G3732" s="174" t="s">
        <v>5315</v>
      </c>
      <c r="H3732" s="174" t="s">
        <v>1742</v>
      </c>
      <c r="I3732" s="174" t="str">
        <f t="shared" si="1"/>
        <v>SUL</v>
      </c>
    </row>
    <row r="3733" ht="14.25" customHeight="1">
      <c r="G3733" s="174" t="s">
        <v>5316</v>
      </c>
      <c r="H3733" s="174" t="s">
        <v>1742</v>
      </c>
      <c r="I3733" s="174" t="str">
        <f t="shared" si="1"/>
        <v>SUL</v>
      </c>
    </row>
    <row r="3734" ht="14.25" customHeight="1">
      <c r="G3734" s="174" t="s">
        <v>5317</v>
      </c>
      <c r="H3734" s="174" t="s">
        <v>1690</v>
      </c>
      <c r="I3734" s="174" t="str">
        <f t="shared" si="1"/>
        <v>NORDESTE</v>
      </c>
    </row>
    <row r="3735" ht="14.25" customHeight="1">
      <c r="G3735" s="174" t="s">
        <v>5318</v>
      </c>
      <c r="H3735" s="174" t="s">
        <v>1704</v>
      </c>
      <c r="I3735" s="174" t="str">
        <f t="shared" si="1"/>
        <v>NORDESTE</v>
      </c>
    </row>
    <row r="3736" ht="14.25" customHeight="1">
      <c r="G3736" s="174" t="s">
        <v>5319</v>
      </c>
      <c r="H3736" s="174" t="s">
        <v>1750</v>
      </c>
      <c r="I3736" s="174" t="str">
        <f t="shared" si="1"/>
        <v>SUDESTE</v>
      </c>
    </row>
    <row r="3737" ht="14.25" customHeight="1">
      <c r="G3737" s="174" t="s">
        <v>5320</v>
      </c>
      <c r="H3737" s="174" t="s">
        <v>1733</v>
      </c>
      <c r="I3737" s="174" t="str">
        <f t="shared" si="1"/>
        <v>NORDESTE</v>
      </c>
    </row>
    <row r="3738" ht="14.25" customHeight="1">
      <c r="G3738" s="174" t="s">
        <v>5321</v>
      </c>
      <c r="H3738" s="174" t="s">
        <v>1664</v>
      </c>
      <c r="I3738" s="174" t="str">
        <f t="shared" si="1"/>
        <v>NORDESTE</v>
      </c>
    </row>
    <row r="3739" ht="14.25" customHeight="1">
      <c r="G3739" s="174" t="s">
        <v>5322</v>
      </c>
      <c r="H3739" s="174" t="s">
        <v>1706</v>
      </c>
      <c r="I3739" s="174" t="str">
        <f t="shared" si="1"/>
        <v>SUL</v>
      </c>
    </row>
    <row r="3740" ht="14.25" customHeight="1">
      <c r="G3740" s="174" t="s">
        <v>5323</v>
      </c>
      <c r="H3740" s="174" t="s">
        <v>1690</v>
      </c>
      <c r="I3740" s="174" t="str">
        <f t="shared" si="1"/>
        <v>NORDESTE</v>
      </c>
    </row>
    <row r="3741" ht="14.25" customHeight="1">
      <c r="G3741" s="174" t="s">
        <v>5324</v>
      </c>
      <c r="H3741" s="174" t="s">
        <v>1666</v>
      </c>
      <c r="I3741" s="174" t="str">
        <f t="shared" si="1"/>
        <v>SUDESTE</v>
      </c>
    </row>
    <row r="3742" ht="14.25" customHeight="1">
      <c r="G3742" s="174" t="s">
        <v>5325</v>
      </c>
      <c r="H3742" s="174" t="s">
        <v>1666</v>
      </c>
      <c r="I3742" s="174" t="str">
        <f t="shared" si="1"/>
        <v>SUDESTE</v>
      </c>
    </row>
    <row r="3743" ht="14.25" customHeight="1">
      <c r="G3743" s="174" t="s">
        <v>5326</v>
      </c>
      <c r="H3743" s="174" t="s">
        <v>1721</v>
      </c>
      <c r="I3743" s="174" t="str">
        <f t="shared" si="1"/>
        <v>NORTE</v>
      </c>
    </row>
    <row r="3744" ht="14.25" customHeight="1">
      <c r="G3744" s="174" t="s">
        <v>5327</v>
      </c>
      <c r="H3744" s="174" t="s">
        <v>1666</v>
      </c>
      <c r="I3744" s="174" t="str">
        <f t="shared" si="1"/>
        <v>SUDESTE</v>
      </c>
    </row>
    <row r="3745" ht="14.25" customHeight="1">
      <c r="G3745" s="174" t="s">
        <v>5328</v>
      </c>
      <c r="H3745" s="174" t="s">
        <v>1666</v>
      </c>
      <c r="I3745" s="174" t="str">
        <f t="shared" si="1"/>
        <v>SUDESTE</v>
      </c>
    </row>
    <row r="3746" ht="14.25" customHeight="1">
      <c r="G3746" s="174" t="s">
        <v>5329</v>
      </c>
      <c r="H3746" s="174" t="s">
        <v>1666</v>
      </c>
      <c r="I3746" s="174" t="str">
        <f t="shared" si="1"/>
        <v>SUDESTE</v>
      </c>
    </row>
    <row r="3747" ht="14.25" customHeight="1">
      <c r="G3747" s="174" t="s">
        <v>5330</v>
      </c>
      <c r="H3747" s="174" t="s">
        <v>1750</v>
      </c>
      <c r="I3747" s="174" t="str">
        <f t="shared" si="1"/>
        <v>SUDESTE</v>
      </c>
    </row>
    <row r="3748" ht="14.25" customHeight="1">
      <c r="G3748" s="174" t="s">
        <v>5331</v>
      </c>
      <c r="H3748" s="174" t="s">
        <v>1750</v>
      </c>
      <c r="I3748" s="174" t="str">
        <f t="shared" si="1"/>
        <v>SUDESTE</v>
      </c>
    </row>
    <row r="3749" ht="14.25" customHeight="1">
      <c r="G3749" s="174" t="s">
        <v>5332</v>
      </c>
      <c r="H3749" s="174" t="s">
        <v>1690</v>
      </c>
      <c r="I3749" s="174" t="str">
        <f t="shared" si="1"/>
        <v>NORDESTE</v>
      </c>
    </row>
    <row r="3750" ht="14.25" customHeight="1">
      <c r="G3750" s="174" t="s">
        <v>5333</v>
      </c>
      <c r="H3750" s="174" t="s">
        <v>1704</v>
      </c>
      <c r="I3750" s="174" t="str">
        <f t="shared" si="1"/>
        <v>NORDESTE</v>
      </c>
    </row>
    <row r="3751" ht="14.25" customHeight="1">
      <c r="G3751" s="174" t="s">
        <v>5334</v>
      </c>
      <c r="H3751" s="174" t="s">
        <v>1666</v>
      </c>
      <c r="I3751" s="174" t="str">
        <f t="shared" si="1"/>
        <v>SUDESTE</v>
      </c>
    </row>
    <row r="3752" ht="14.25" customHeight="1">
      <c r="G3752" s="174" t="s">
        <v>5335</v>
      </c>
      <c r="H3752" s="174" t="s">
        <v>1706</v>
      </c>
      <c r="I3752" s="174" t="str">
        <f t="shared" si="1"/>
        <v>SUL</v>
      </c>
    </row>
    <row r="3753" ht="14.25" customHeight="1">
      <c r="G3753" s="174" t="s">
        <v>5336</v>
      </c>
      <c r="H3753" s="174" t="s">
        <v>1704</v>
      </c>
      <c r="I3753" s="174" t="str">
        <f t="shared" si="1"/>
        <v>NORDESTE</v>
      </c>
    </row>
    <row r="3754" ht="14.25" customHeight="1">
      <c r="G3754" s="174" t="s">
        <v>5337</v>
      </c>
      <c r="H3754" s="174" t="s">
        <v>1702</v>
      </c>
      <c r="I3754" s="174" t="str">
        <f t="shared" si="1"/>
        <v>SUL</v>
      </c>
    </row>
    <row r="3755" ht="14.25" customHeight="1">
      <c r="G3755" s="174" t="s">
        <v>5338</v>
      </c>
      <c r="H3755" s="174" t="s">
        <v>1702</v>
      </c>
      <c r="I3755" s="174" t="str">
        <f t="shared" si="1"/>
        <v>SUL</v>
      </c>
    </row>
    <row r="3756" ht="14.25" customHeight="1">
      <c r="G3756" s="174" t="s">
        <v>5339</v>
      </c>
      <c r="H3756" s="174" t="s">
        <v>1702</v>
      </c>
      <c r="I3756" s="174" t="str">
        <f t="shared" si="1"/>
        <v>SUL</v>
      </c>
    </row>
    <row r="3757" ht="14.25" customHeight="1">
      <c r="G3757" s="174" t="s">
        <v>5340</v>
      </c>
      <c r="H3757" s="174" t="s">
        <v>1658</v>
      </c>
      <c r="I3757" s="174" t="str">
        <f t="shared" si="1"/>
        <v>CENTRO OESTE</v>
      </c>
    </row>
    <row r="3758" ht="14.25" customHeight="1">
      <c r="G3758" s="174" t="s">
        <v>5341</v>
      </c>
      <c r="H3758" s="174" t="s">
        <v>1750</v>
      </c>
      <c r="I3758" s="174" t="str">
        <f t="shared" si="1"/>
        <v>SUDESTE</v>
      </c>
    </row>
    <row r="3759" ht="14.25" customHeight="1">
      <c r="G3759" s="174" t="s">
        <v>5342</v>
      </c>
      <c r="H3759" s="174" t="s">
        <v>1666</v>
      </c>
      <c r="I3759" s="174" t="str">
        <f t="shared" si="1"/>
        <v>SUDESTE</v>
      </c>
    </row>
    <row r="3760" ht="14.25" customHeight="1">
      <c r="G3760" s="174" t="s">
        <v>5343</v>
      </c>
      <c r="H3760" s="174" t="s">
        <v>1706</v>
      </c>
      <c r="I3760" s="174" t="str">
        <f t="shared" si="1"/>
        <v>SUL</v>
      </c>
    </row>
    <row r="3761" ht="14.25" customHeight="1">
      <c r="G3761" s="174" t="s">
        <v>5344</v>
      </c>
      <c r="H3761" s="174" t="s">
        <v>1717</v>
      </c>
      <c r="I3761" s="174" t="str">
        <f t="shared" si="1"/>
        <v>NORDESTE</v>
      </c>
    </row>
    <row r="3762" ht="14.25" customHeight="1">
      <c r="G3762" s="174" t="s">
        <v>5345</v>
      </c>
      <c r="H3762" s="174" t="s">
        <v>1717</v>
      </c>
      <c r="I3762" s="174" t="str">
        <f t="shared" si="1"/>
        <v>NORDESTE</v>
      </c>
    </row>
    <row r="3763" ht="14.25" customHeight="1">
      <c r="G3763" s="174" t="s">
        <v>5345</v>
      </c>
      <c r="H3763" s="174" t="s">
        <v>1706</v>
      </c>
      <c r="I3763" s="174" t="str">
        <f t="shared" si="1"/>
        <v>SUL</v>
      </c>
    </row>
    <row r="3764" ht="14.25" customHeight="1">
      <c r="G3764" s="174" t="s">
        <v>5346</v>
      </c>
      <c r="H3764" s="174" t="s">
        <v>1717</v>
      </c>
      <c r="I3764" s="174" t="str">
        <f t="shared" si="1"/>
        <v>NORDESTE</v>
      </c>
    </row>
    <row r="3765" ht="14.25" customHeight="1">
      <c r="G3765" s="174" t="s">
        <v>5347</v>
      </c>
      <c r="H3765" s="174" t="s">
        <v>1658</v>
      </c>
      <c r="I3765" s="174" t="str">
        <f t="shared" si="1"/>
        <v>CENTRO OESTE</v>
      </c>
    </row>
    <row r="3766" ht="14.25" customHeight="1">
      <c r="G3766" s="174" t="s">
        <v>5348</v>
      </c>
      <c r="H3766" s="174" t="s">
        <v>1730</v>
      </c>
      <c r="I3766" s="174" t="str">
        <f t="shared" si="1"/>
        <v>SUDESTE</v>
      </c>
    </row>
    <row r="3767" ht="14.25" customHeight="1">
      <c r="G3767" s="174" t="s">
        <v>5349</v>
      </c>
      <c r="H3767" s="174" t="s">
        <v>1664</v>
      </c>
      <c r="I3767" s="174" t="str">
        <f t="shared" si="1"/>
        <v>NORDESTE</v>
      </c>
    </row>
    <row r="3768" ht="14.25" customHeight="1">
      <c r="G3768" s="174" t="s">
        <v>5350</v>
      </c>
      <c r="H3768" s="174" t="s">
        <v>1750</v>
      </c>
      <c r="I3768" s="174" t="str">
        <f t="shared" si="1"/>
        <v>SUDESTE</v>
      </c>
    </row>
    <row r="3769" ht="14.25" customHeight="1">
      <c r="G3769" s="174" t="s">
        <v>5351</v>
      </c>
      <c r="H3769" s="174" t="s">
        <v>1719</v>
      </c>
      <c r="I3769" s="174" t="str">
        <f t="shared" si="1"/>
        <v>NORDESTE</v>
      </c>
    </row>
    <row r="3770" ht="14.25" customHeight="1">
      <c r="G3770" s="174" t="s">
        <v>5352</v>
      </c>
      <c r="H3770" s="174" t="s">
        <v>1685</v>
      </c>
      <c r="I3770" s="174" t="str">
        <f t="shared" si="1"/>
        <v>NORDESTE</v>
      </c>
    </row>
    <row r="3771" ht="14.25" customHeight="1">
      <c r="G3771" s="174" t="s">
        <v>5353</v>
      </c>
      <c r="H3771" s="174" t="s">
        <v>1666</v>
      </c>
      <c r="I3771" s="174" t="str">
        <f t="shared" si="1"/>
        <v>SUDESTE</v>
      </c>
    </row>
    <row r="3772" ht="14.25" customHeight="1">
      <c r="G3772" s="174" t="s">
        <v>5354</v>
      </c>
      <c r="H3772" s="174" t="s">
        <v>1742</v>
      </c>
      <c r="I3772" s="174" t="str">
        <f t="shared" si="1"/>
        <v>SUL</v>
      </c>
    </row>
    <row r="3773" ht="14.25" customHeight="1">
      <c r="G3773" s="174" t="s">
        <v>5355</v>
      </c>
      <c r="H3773" s="174" t="s">
        <v>1687</v>
      </c>
      <c r="I3773" s="174" t="str">
        <f t="shared" si="1"/>
        <v>NORTE</v>
      </c>
    </row>
    <row r="3774" ht="14.25" customHeight="1">
      <c r="G3774" s="174" t="s">
        <v>5356</v>
      </c>
      <c r="H3774" s="174" t="s">
        <v>1706</v>
      </c>
      <c r="I3774" s="174" t="str">
        <f t="shared" si="1"/>
        <v>SUL</v>
      </c>
    </row>
    <row r="3775" ht="14.25" customHeight="1">
      <c r="G3775" s="174" t="s">
        <v>5357</v>
      </c>
      <c r="H3775" s="174" t="s">
        <v>1725</v>
      </c>
      <c r="I3775" s="174" t="str">
        <f t="shared" si="1"/>
        <v>NORDESTE</v>
      </c>
    </row>
    <row r="3776" ht="14.25" customHeight="1">
      <c r="G3776" s="174" t="s">
        <v>5358</v>
      </c>
      <c r="H3776" s="174" t="s">
        <v>1719</v>
      </c>
      <c r="I3776" s="174" t="str">
        <f t="shared" si="1"/>
        <v>NORDESTE</v>
      </c>
    </row>
    <row r="3777" ht="14.25" customHeight="1">
      <c r="G3777" s="174" t="s">
        <v>5359</v>
      </c>
      <c r="H3777" s="174" t="s">
        <v>1750</v>
      </c>
      <c r="I3777" s="174" t="str">
        <f t="shared" si="1"/>
        <v>SUDESTE</v>
      </c>
    </row>
    <row r="3778" ht="14.25" customHeight="1">
      <c r="G3778" s="174" t="s">
        <v>5360</v>
      </c>
      <c r="H3778" s="174" t="s">
        <v>1666</v>
      </c>
      <c r="I3778" s="174" t="str">
        <f t="shared" si="1"/>
        <v>SUDESTE</v>
      </c>
    </row>
    <row r="3779" ht="14.25" customHeight="1">
      <c r="G3779" s="174" t="s">
        <v>5361</v>
      </c>
      <c r="H3779" s="174" t="s">
        <v>1666</v>
      </c>
      <c r="I3779" s="174" t="str">
        <f t="shared" si="1"/>
        <v>SUDESTE</v>
      </c>
    </row>
    <row r="3780" ht="14.25" customHeight="1">
      <c r="G3780" s="174" t="s">
        <v>5362</v>
      </c>
      <c r="H3780" s="174" t="s">
        <v>1666</v>
      </c>
      <c r="I3780" s="174" t="str">
        <f t="shared" si="1"/>
        <v>SUDESTE</v>
      </c>
    </row>
    <row r="3781" ht="14.25" customHeight="1">
      <c r="G3781" s="174" t="s">
        <v>5363</v>
      </c>
      <c r="H3781" s="174" t="s">
        <v>1666</v>
      </c>
      <c r="I3781" s="174" t="str">
        <f t="shared" si="1"/>
        <v>SUDESTE</v>
      </c>
    </row>
    <row r="3782" ht="14.25" customHeight="1">
      <c r="G3782" s="174" t="s">
        <v>5364</v>
      </c>
      <c r="H3782" s="174" t="s">
        <v>1702</v>
      </c>
      <c r="I3782" s="174" t="str">
        <f t="shared" si="1"/>
        <v>SUL</v>
      </c>
    </row>
    <row r="3783" ht="14.25" customHeight="1">
      <c r="G3783" s="174" t="s">
        <v>5365</v>
      </c>
      <c r="H3783" s="174" t="s">
        <v>1685</v>
      </c>
      <c r="I3783" s="174" t="str">
        <f t="shared" si="1"/>
        <v>NORDESTE</v>
      </c>
    </row>
    <row r="3784" ht="14.25" customHeight="1">
      <c r="G3784" s="174" t="s">
        <v>5366</v>
      </c>
      <c r="H3784" s="174" t="s">
        <v>1719</v>
      </c>
      <c r="I3784" s="174" t="str">
        <f t="shared" si="1"/>
        <v>NORDESTE</v>
      </c>
    </row>
    <row r="3785" ht="14.25" customHeight="1">
      <c r="G3785" s="174" t="s">
        <v>5366</v>
      </c>
      <c r="H3785" s="174" t="s">
        <v>1664</v>
      </c>
      <c r="I3785" s="174" t="str">
        <f t="shared" si="1"/>
        <v>NORDESTE</v>
      </c>
    </row>
    <row r="3786" ht="14.25" customHeight="1">
      <c r="G3786" s="174" t="s">
        <v>5367</v>
      </c>
      <c r="H3786" s="174" t="s">
        <v>1658</v>
      </c>
      <c r="I3786" s="174" t="str">
        <f t="shared" si="1"/>
        <v>CENTRO OESTE</v>
      </c>
    </row>
    <row r="3787" ht="14.25" customHeight="1">
      <c r="G3787" s="174" t="s">
        <v>5368</v>
      </c>
      <c r="H3787" s="174" t="s">
        <v>1750</v>
      </c>
      <c r="I3787" s="174" t="str">
        <f t="shared" si="1"/>
        <v>SUDESTE</v>
      </c>
    </row>
    <row r="3788" ht="14.25" customHeight="1">
      <c r="G3788" s="174" t="s">
        <v>5369</v>
      </c>
      <c r="H3788" s="174" t="s">
        <v>1733</v>
      </c>
      <c r="I3788" s="174" t="str">
        <f t="shared" si="1"/>
        <v>NORDESTE</v>
      </c>
    </row>
    <row r="3789" ht="14.25" customHeight="1">
      <c r="G3789" s="174" t="s">
        <v>5369</v>
      </c>
      <c r="H3789" s="174" t="s">
        <v>1719</v>
      </c>
      <c r="I3789" s="174" t="str">
        <f t="shared" si="1"/>
        <v>NORDESTE</v>
      </c>
    </row>
    <row r="3790" ht="14.25" customHeight="1">
      <c r="G3790" s="174" t="s">
        <v>5370</v>
      </c>
      <c r="H3790" s="174" t="s">
        <v>1719</v>
      </c>
      <c r="I3790" s="174" t="str">
        <f t="shared" si="1"/>
        <v>NORDESTE</v>
      </c>
    </row>
    <row r="3791" ht="14.25" customHeight="1">
      <c r="G3791" s="174" t="s">
        <v>5371</v>
      </c>
      <c r="H3791" s="174" t="s">
        <v>1666</v>
      </c>
      <c r="I3791" s="174" t="str">
        <f t="shared" si="1"/>
        <v>SUDESTE</v>
      </c>
    </row>
    <row r="3792" ht="14.25" customHeight="1">
      <c r="G3792" s="174" t="s">
        <v>5372</v>
      </c>
      <c r="H3792" s="174" t="s">
        <v>1736</v>
      </c>
      <c r="I3792" s="174" t="str">
        <f t="shared" si="1"/>
        <v>NORTE</v>
      </c>
    </row>
    <row r="3793" ht="14.25" customHeight="1">
      <c r="G3793" s="174" t="s">
        <v>5373</v>
      </c>
      <c r="H3793" s="174" t="s">
        <v>1725</v>
      </c>
      <c r="I3793" s="174" t="str">
        <f t="shared" si="1"/>
        <v>NORDESTE</v>
      </c>
    </row>
    <row r="3794" ht="14.25" customHeight="1">
      <c r="G3794" s="174" t="s">
        <v>5374</v>
      </c>
      <c r="H3794" s="174" t="s">
        <v>1736</v>
      </c>
      <c r="I3794" s="174" t="str">
        <f t="shared" si="1"/>
        <v>NORTE</v>
      </c>
    </row>
    <row r="3795" ht="14.25" customHeight="1">
      <c r="G3795" s="174" t="s">
        <v>5375</v>
      </c>
      <c r="H3795" s="174" t="s">
        <v>1685</v>
      </c>
      <c r="I3795" s="174" t="str">
        <f t="shared" si="1"/>
        <v>NORDESTE</v>
      </c>
    </row>
    <row r="3796" ht="14.25" customHeight="1">
      <c r="G3796" s="174" t="s">
        <v>5376</v>
      </c>
      <c r="H3796" s="174" t="s">
        <v>1750</v>
      </c>
      <c r="I3796" s="174" t="str">
        <f t="shared" si="1"/>
        <v>SUDESTE</v>
      </c>
    </row>
    <row r="3797" ht="14.25" customHeight="1">
      <c r="G3797" s="174" t="s">
        <v>5377</v>
      </c>
      <c r="H3797" s="174" t="s">
        <v>1704</v>
      </c>
      <c r="I3797" s="174" t="str">
        <f t="shared" si="1"/>
        <v>NORDESTE</v>
      </c>
    </row>
    <row r="3798" ht="14.25" customHeight="1">
      <c r="G3798" s="174" t="s">
        <v>5378</v>
      </c>
      <c r="H3798" s="174" t="s">
        <v>1664</v>
      </c>
      <c r="I3798" s="174" t="str">
        <f t="shared" si="1"/>
        <v>NORDESTE</v>
      </c>
    </row>
    <row r="3799" ht="14.25" customHeight="1">
      <c r="G3799" s="174" t="s">
        <v>5379</v>
      </c>
      <c r="H3799" s="174" t="s">
        <v>1685</v>
      </c>
      <c r="I3799" s="174" t="str">
        <f t="shared" si="1"/>
        <v>NORDESTE</v>
      </c>
    </row>
    <row r="3800" ht="14.25" customHeight="1">
      <c r="G3800" s="174" t="s">
        <v>5380</v>
      </c>
      <c r="H3800" s="174" t="s">
        <v>1750</v>
      </c>
      <c r="I3800" s="174" t="str">
        <f t="shared" si="1"/>
        <v>SUDESTE</v>
      </c>
    </row>
    <row r="3801" ht="14.25" customHeight="1">
      <c r="G3801" s="174" t="s">
        <v>5381</v>
      </c>
      <c r="H3801" s="174" t="s">
        <v>1721</v>
      </c>
      <c r="I3801" s="174" t="str">
        <f t="shared" si="1"/>
        <v>NORTE</v>
      </c>
    </row>
    <row r="3802" ht="14.25" customHeight="1">
      <c r="G3802" s="174" t="s">
        <v>5382</v>
      </c>
      <c r="H3802" s="174" t="s">
        <v>1690</v>
      </c>
      <c r="I3802" s="174" t="str">
        <f t="shared" si="1"/>
        <v>NORDESTE</v>
      </c>
    </row>
    <row r="3803" ht="14.25" customHeight="1">
      <c r="G3803" s="174" t="s">
        <v>5383</v>
      </c>
      <c r="H3803" s="174" t="s">
        <v>1666</v>
      </c>
      <c r="I3803" s="174" t="str">
        <f t="shared" si="1"/>
        <v>SUDESTE</v>
      </c>
    </row>
    <row r="3804" ht="14.25" customHeight="1">
      <c r="G3804" s="174" t="s">
        <v>5384</v>
      </c>
      <c r="H3804" s="174" t="s">
        <v>1702</v>
      </c>
      <c r="I3804" s="174" t="str">
        <f t="shared" si="1"/>
        <v>SUL</v>
      </c>
    </row>
    <row r="3805" ht="14.25" customHeight="1">
      <c r="G3805" s="174" t="s">
        <v>5385</v>
      </c>
      <c r="H3805" s="174" t="s">
        <v>1742</v>
      </c>
      <c r="I3805" s="174" t="str">
        <f t="shared" si="1"/>
        <v>SUL</v>
      </c>
    </row>
    <row r="3806" ht="14.25" customHeight="1">
      <c r="G3806" s="174" t="s">
        <v>5386</v>
      </c>
      <c r="H3806" s="174" t="s">
        <v>1742</v>
      </c>
      <c r="I3806" s="174" t="str">
        <f t="shared" si="1"/>
        <v>SUL</v>
      </c>
    </row>
    <row r="3807" ht="14.25" customHeight="1">
      <c r="G3807" s="174" t="s">
        <v>5387</v>
      </c>
      <c r="H3807" s="174" t="s">
        <v>1702</v>
      </c>
      <c r="I3807" s="174" t="str">
        <f t="shared" si="1"/>
        <v>SUL</v>
      </c>
    </row>
    <row r="3808" ht="14.25" customHeight="1">
      <c r="G3808" s="174" t="s">
        <v>5388</v>
      </c>
      <c r="H3808" s="174" t="s">
        <v>1742</v>
      </c>
      <c r="I3808" s="174" t="str">
        <f t="shared" si="1"/>
        <v>SUL</v>
      </c>
    </row>
    <row r="3809" ht="14.25" customHeight="1">
      <c r="G3809" s="174" t="s">
        <v>5389</v>
      </c>
      <c r="H3809" s="174" t="s">
        <v>1702</v>
      </c>
      <c r="I3809" s="174" t="str">
        <f t="shared" si="1"/>
        <v>SUL</v>
      </c>
    </row>
    <row r="3810" ht="14.25" customHeight="1">
      <c r="G3810" s="174" t="s">
        <v>5390</v>
      </c>
      <c r="H3810" s="174" t="s">
        <v>1750</v>
      </c>
      <c r="I3810" s="174" t="str">
        <f t="shared" si="1"/>
        <v>SUDESTE</v>
      </c>
    </row>
    <row r="3811" ht="14.25" customHeight="1">
      <c r="G3811" s="174" t="s">
        <v>5390</v>
      </c>
      <c r="H3811" s="174" t="s">
        <v>1706</v>
      </c>
      <c r="I3811" s="174" t="str">
        <f t="shared" si="1"/>
        <v>SUL</v>
      </c>
    </row>
    <row r="3812" ht="14.25" customHeight="1">
      <c r="G3812" s="174" t="s">
        <v>5391</v>
      </c>
      <c r="H3812" s="174" t="s">
        <v>1747</v>
      </c>
      <c r="I3812" s="174" t="str">
        <f t="shared" si="1"/>
        <v>NORDESTE</v>
      </c>
    </row>
    <row r="3813" ht="14.25" customHeight="1">
      <c r="G3813" s="174" t="s">
        <v>5391</v>
      </c>
      <c r="H3813" s="174" t="s">
        <v>1702</v>
      </c>
      <c r="I3813" s="174" t="str">
        <f t="shared" si="1"/>
        <v>SUL</v>
      </c>
    </row>
    <row r="3814" ht="14.25" customHeight="1">
      <c r="G3814" s="174" t="s">
        <v>5392</v>
      </c>
      <c r="H3814" s="174" t="s">
        <v>1730</v>
      </c>
      <c r="I3814" s="174" t="str">
        <f t="shared" si="1"/>
        <v>SUDESTE</v>
      </c>
    </row>
    <row r="3815" ht="14.25" customHeight="1">
      <c r="G3815" s="174" t="s">
        <v>5393</v>
      </c>
      <c r="H3815" s="174" t="s">
        <v>1742</v>
      </c>
      <c r="I3815" s="174" t="str">
        <f t="shared" si="1"/>
        <v>SUL</v>
      </c>
    </row>
    <row r="3816" ht="14.25" customHeight="1">
      <c r="G3816" s="174" t="s">
        <v>5394</v>
      </c>
      <c r="H3816" s="174" t="s">
        <v>1704</v>
      </c>
      <c r="I3816" s="174" t="str">
        <f t="shared" si="1"/>
        <v>NORDESTE</v>
      </c>
    </row>
    <row r="3817" ht="14.25" customHeight="1">
      <c r="G3817" s="174" t="s">
        <v>5395</v>
      </c>
      <c r="H3817" s="174" t="s">
        <v>1742</v>
      </c>
      <c r="I3817" s="174" t="str">
        <f t="shared" si="1"/>
        <v>SUL</v>
      </c>
    </row>
    <row r="3818" ht="14.25" customHeight="1">
      <c r="G3818" s="174" t="s">
        <v>5396</v>
      </c>
      <c r="H3818" s="174" t="s">
        <v>1706</v>
      </c>
      <c r="I3818" s="174" t="str">
        <f t="shared" si="1"/>
        <v>SUL</v>
      </c>
    </row>
    <row r="3819" ht="14.25" customHeight="1">
      <c r="G3819" s="174" t="s">
        <v>5397</v>
      </c>
      <c r="H3819" s="174" t="s">
        <v>1698</v>
      </c>
      <c r="I3819" s="174" t="str">
        <f t="shared" si="1"/>
        <v>SUDESTE</v>
      </c>
    </row>
    <row r="3820" ht="14.25" customHeight="1">
      <c r="G3820" s="174" t="s">
        <v>5398</v>
      </c>
      <c r="H3820" s="174" t="s">
        <v>1685</v>
      </c>
      <c r="I3820" s="174" t="str">
        <f t="shared" si="1"/>
        <v>NORDESTE</v>
      </c>
    </row>
    <row r="3821" ht="14.25" customHeight="1">
      <c r="G3821" s="174" t="s">
        <v>5399</v>
      </c>
      <c r="H3821" s="174" t="s">
        <v>1742</v>
      </c>
      <c r="I3821" s="174" t="str">
        <f t="shared" si="1"/>
        <v>SUL</v>
      </c>
    </row>
    <row r="3822" ht="14.25" customHeight="1">
      <c r="G3822" s="174" t="s">
        <v>5400</v>
      </c>
      <c r="H3822" s="174" t="s">
        <v>1666</v>
      </c>
      <c r="I3822" s="174" t="str">
        <f t="shared" si="1"/>
        <v>SUDESTE</v>
      </c>
    </row>
    <row r="3823" ht="14.25" customHeight="1">
      <c r="G3823" s="174" t="s">
        <v>5401</v>
      </c>
      <c r="H3823" s="174" t="s">
        <v>1725</v>
      </c>
      <c r="I3823" s="174" t="str">
        <f t="shared" si="1"/>
        <v>NORDESTE</v>
      </c>
    </row>
    <row r="3824" ht="14.25" customHeight="1">
      <c r="G3824" s="174" t="s">
        <v>5402</v>
      </c>
      <c r="H3824" s="174" t="s">
        <v>1704</v>
      </c>
      <c r="I3824" s="174" t="str">
        <f t="shared" si="1"/>
        <v>NORDESTE</v>
      </c>
    </row>
    <row r="3825" ht="14.25" customHeight="1">
      <c r="G3825" s="174" t="s">
        <v>5403</v>
      </c>
      <c r="H3825" s="174" t="s">
        <v>1750</v>
      </c>
      <c r="I3825" s="174" t="str">
        <f t="shared" si="1"/>
        <v>SUDESTE</v>
      </c>
    </row>
    <row r="3826" ht="14.25" customHeight="1">
      <c r="G3826" s="174" t="s">
        <v>5404</v>
      </c>
      <c r="H3826" s="174" t="s">
        <v>1690</v>
      </c>
      <c r="I3826" s="174" t="str">
        <f t="shared" si="1"/>
        <v>NORDESTE</v>
      </c>
    </row>
    <row r="3827" ht="14.25" customHeight="1">
      <c r="G3827" s="174" t="s">
        <v>5405</v>
      </c>
      <c r="H3827" s="174" t="s">
        <v>1750</v>
      </c>
      <c r="I3827" s="174" t="str">
        <f t="shared" si="1"/>
        <v>SUDESTE</v>
      </c>
    </row>
    <row r="3828" ht="14.25" customHeight="1">
      <c r="G3828" s="174" t="s">
        <v>5406</v>
      </c>
      <c r="H3828" s="174" t="s">
        <v>1750</v>
      </c>
      <c r="I3828" s="174" t="str">
        <f t="shared" si="1"/>
        <v>SUDESTE</v>
      </c>
    </row>
    <row r="3829" ht="14.25" customHeight="1">
      <c r="G3829" s="174" t="s">
        <v>5407</v>
      </c>
      <c r="H3829" s="174" t="s">
        <v>1658</v>
      </c>
      <c r="I3829" s="174" t="str">
        <f t="shared" si="1"/>
        <v>CENTRO OESTE</v>
      </c>
    </row>
    <row r="3830" ht="14.25" customHeight="1">
      <c r="G3830" s="174" t="s">
        <v>5408</v>
      </c>
      <c r="H3830" s="174" t="s">
        <v>1666</v>
      </c>
      <c r="I3830" s="174" t="str">
        <f t="shared" si="1"/>
        <v>SUDESTE</v>
      </c>
    </row>
    <row r="3831" ht="14.25" customHeight="1">
      <c r="G3831" s="174" t="s">
        <v>5409</v>
      </c>
      <c r="H3831" s="174" t="s">
        <v>1750</v>
      </c>
      <c r="I3831" s="174" t="str">
        <f t="shared" si="1"/>
        <v>SUDESTE</v>
      </c>
    </row>
    <row r="3832" ht="14.25" customHeight="1">
      <c r="G3832" s="174" t="s">
        <v>5410</v>
      </c>
      <c r="H3832" s="174" t="s">
        <v>1725</v>
      </c>
      <c r="I3832" s="174" t="str">
        <f t="shared" si="1"/>
        <v>NORDESTE</v>
      </c>
    </row>
    <row r="3833" ht="14.25" customHeight="1">
      <c r="G3833" s="174" t="s">
        <v>5411</v>
      </c>
      <c r="H3833" s="174" t="s">
        <v>1730</v>
      </c>
      <c r="I3833" s="174" t="str">
        <f t="shared" si="1"/>
        <v>SUDESTE</v>
      </c>
    </row>
    <row r="3834" ht="14.25" customHeight="1">
      <c r="G3834" s="174" t="s">
        <v>5412</v>
      </c>
      <c r="H3834" s="174" t="s">
        <v>1685</v>
      </c>
      <c r="I3834" s="174" t="str">
        <f t="shared" si="1"/>
        <v>NORDESTE</v>
      </c>
    </row>
    <row r="3835" ht="14.25" customHeight="1">
      <c r="G3835" s="174" t="s">
        <v>5413</v>
      </c>
      <c r="H3835" s="174" t="s">
        <v>1702</v>
      </c>
      <c r="I3835" s="174" t="str">
        <f t="shared" si="1"/>
        <v>SUL</v>
      </c>
    </row>
    <row r="3836" ht="14.25" customHeight="1">
      <c r="G3836" s="174" t="s">
        <v>5414</v>
      </c>
      <c r="H3836" s="174" t="s">
        <v>1750</v>
      </c>
      <c r="I3836" s="174" t="str">
        <f t="shared" si="1"/>
        <v>SUDESTE</v>
      </c>
    </row>
    <row r="3837" ht="14.25" customHeight="1">
      <c r="G3837" s="174" t="s">
        <v>5415</v>
      </c>
      <c r="H3837" s="174" t="s">
        <v>1666</v>
      </c>
      <c r="I3837" s="174" t="str">
        <f t="shared" si="1"/>
        <v>SUDESTE</v>
      </c>
    </row>
    <row r="3838" ht="14.25" customHeight="1">
      <c r="G3838" s="174" t="s">
        <v>5416</v>
      </c>
      <c r="H3838" s="174" t="s">
        <v>1750</v>
      </c>
      <c r="I3838" s="174" t="str">
        <f t="shared" si="1"/>
        <v>SUDESTE</v>
      </c>
    </row>
    <row r="3839" ht="14.25" customHeight="1">
      <c r="G3839" s="174" t="s">
        <v>5417</v>
      </c>
      <c r="H3839" s="174" t="s">
        <v>1747</v>
      </c>
      <c r="I3839" s="174" t="str">
        <f t="shared" si="1"/>
        <v>NORDESTE</v>
      </c>
    </row>
    <row r="3840" ht="14.25" customHeight="1">
      <c r="G3840" s="174" t="s">
        <v>5418</v>
      </c>
      <c r="H3840" s="174" t="s">
        <v>1666</v>
      </c>
      <c r="I3840" s="174" t="str">
        <f t="shared" si="1"/>
        <v>SUDESTE</v>
      </c>
    </row>
    <row r="3841" ht="14.25" customHeight="1">
      <c r="G3841" s="174" t="s">
        <v>5419</v>
      </c>
      <c r="H3841" s="174" t="s">
        <v>1750</v>
      </c>
      <c r="I3841" s="174" t="str">
        <f t="shared" si="1"/>
        <v>SUDESTE</v>
      </c>
    </row>
    <row r="3842" ht="14.25" customHeight="1">
      <c r="G3842" s="174" t="s">
        <v>5420</v>
      </c>
      <c r="H3842" s="174" t="s">
        <v>1666</v>
      </c>
      <c r="I3842" s="174" t="str">
        <f t="shared" si="1"/>
        <v>SUDESTE</v>
      </c>
    </row>
    <row r="3843" ht="14.25" customHeight="1">
      <c r="G3843" s="174" t="s">
        <v>5421</v>
      </c>
      <c r="H3843" s="174" t="s">
        <v>1666</v>
      </c>
      <c r="I3843" s="174" t="str">
        <f t="shared" si="1"/>
        <v>SUDESTE</v>
      </c>
    </row>
    <row r="3844" ht="14.25" customHeight="1">
      <c r="G3844" s="174" t="s">
        <v>5422</v>
      </c>
      <c r="H3844" s="174" t="s">
        <v>1664</v>
      </c>
      <c r="I3844" s="174" t="str">
        <f t="shared" si="1"/>
        <v>NORDESTE</v>
      </c>
    </row>
    <row r="3845" ht="14.25" customHeight="1">
      <c r="G3845" s="174" t="s">
        <v>5422</v>
      </c>
      <c r="H3845" s="174" t="s">
        <v>1658</v>
      </c>
      <c r="I3845" s="174" t="str">
        <f t="shared" si="1"/>
        <v>CENTRO OESTE</v>
      </c>
    </row>
    <row r="3846" ht="14.25" customHeight="1">
      <c r="G3846" s="174" t="s">
        <v>5423</v>
      </c>
      <c r="H3846" s="174" t="s">
        <v>1704</v>
      </c>
      <c r="I3846" s="174" t="str">
        <f t="shared" si="1"/>
        <v>NORDESTE</v>
      </c>
    </row>
    <row r="3847" ht="14.25" customHeight="1">
      <c r="G3847" s="174" t="s">
        <v>5424</v>
      </c>
      <c r="H3847" s="174" t="s">
        <v>1666</v>
      </c>
      <c r="I3847" s="174" t="str">
        <f t="shared" si="1"/>
        <v>SUDESTE</v>
      </c>
    </row>
    <row r="3848" ht="14.25" customHeight="1">
      <c r="G3848" s="174" t="s">
        <v>5425</v>
      </c>
      <c r="H3848" s="174" t="s">
        <v>1742</v>
      </c>
      <c r="I3848" s="174" t="str">
        <f t="shared" si="1"/>
        <v>SUL</v>
      </c>
    </row>
    <row r="3849" ht="14.25" customHeight="1">
      <c r="G3849" s="174" t="s">
        <v>5426</v>
      </c>
      <c r="H3849" s="174" t="s">
        <v>1666</v>
      </c>
      <c r="I3849" s="174" t="str">
        <f t="shared" si="1"/>
        <v>SUDESTE</v>
      </c>
    </row>
    <row r="3850" ht="14.25" customHeight="1">
      <c r="G3850" s="174" t="s">
        <v>5427</v>
      </c>
      <c r="H3850" s="174" t="s">
        <v>1750</v>
      </c>
      <c r="I3850" s="174" t="str">
        <f t="shared" si="1"/>
        <v>SUDESTE</v>
      </c>
    </row>
    <row r="3851" ht="14.25" customHeight="1">
      <c r="G3851" s="174" t="s">
        <v>5428</v>
      </c>
      <c r="H3851" s="174" t="s">
        <v>1750</v>
      </c>
      <c r="I3851" s="174" t="str">
        <f t="shared" si="1"/>
        <v>SUDESTE</v>
      </c>
    </row>
    <row r="3852" ht="14.25" customHeight="1">
      <c r="G3852" s="174" t="s">
        <v>5429</v>
      </c>
      <c r="H3852" s="174" t="s">
        <v>1702</v>
      </c>
      <c r="I3852" s="174" t="str">
        <f t="shared" si="1"/>
        <v>SUL</v>
      </c>
    </row>
    <row r="3853" ht="14.25" customHeight="1">
      <c r="G3853" s="174" t="s">
        <v>5430</v>
      </c>
      <c r="H3853" s="174" t="s">
        <v>1721</v>
      </c>
      <c r="I3853" s="174" t="str">
        <f t="shared" si="1"/>
        <v>NORTE</v>
      </c>
    </row>
    <row r="3854" ht="14.25" customHeight="1">
      <c r="G3854" s="174" t="s">
        <v>5431</v>
      </c>
      <c r="H3854" s="174" t="s">
        <v>1750</v>
      </c>
      <c r="I3854" s="174" t="str">
        <f t="shared" si="1"/>
        <v>SUDESTE</v>
      </c>
    </row>
    <row r="3855" ht="14.25" customHeight="1">
      <c r="G3855" s="174" t="s">
        <v>5432</v>
      </c>
      <c r="H3855" s="174" t="s">
        <v>1742</v>
      </c>
      <c r="I3855" s="174" t="str">
        <f t="shared" si="1"/>
        <v>SUL</v>
      </c>
    </row>
    <row r="3856" ht="14.25" customHeight="1">
      <c r="G3856" s="174" t="s">
        <v>5433</v>
      </c>
      <c r="H3856" s="174" t="s">
        <v>1750</v>
      </c>
      <c r="I3856" s="174" t="str">
        <f t="shared" si="1"/>
        <v>SUDESTE</v>
      </c>
    </row>
    <row r="3857" ht="14.25" customHeight="1">
      <c r="G3857" s="174" t="s">
        <v>5434</v>
      </c>
      <c r="H3857" s="174" t="s">
        <v>1706</v>
      </c>
      <c r="I3857" s="174" t="str">
        <f t="shared" si="1"/>
        <v>SUL</v>
      </c>
    </row>
    <row r="3858" ht="14.25" customHeight="1">
      <c r="G3858" s="174" t="s">
        <v>5435</v>
      </c>
      <c r="H3858" s="174" t="s">
        <v>1666</v>
      </c>
      <c r="I3858" s="174" t="str">
        <f t="shared" si="1"/>
        <v>SUDESTE</v>
      </c>
    </row>
    <row r="3859" ht="14.25" customHeight="1">
      <c r="G3859" s="174" t="s">
        <v>5436</v>
      </c>
      <c r="H3859" s="174" t="s">
        <v>1658</v>
      </c>
      <c r="I3859" s="174" t="str">
        <f t="shared" si="1"/>
        <v>CENTRO OESTE</v>
      </c>
    </row>
    <row r="3860" ht="14.25" customHeight="1">
      <c r="G3860" s="174" t="s">
        <v>5437</v>
      </c>
      <c r="H3860" s="174" t="s">
        <v>1658</v>
      </c>
      <c r="I3860" s="174" t="str">
        <f t="shared" si="1"/>
        <v>CENTRO OESTE</v>
      </c>
    </row>
    <row r="3861" ht="14.25" customHeight="1">
      <c r="G3861" s="174" t="s">
        <v>5438</v>
      </c>
      <c r="H3861" s="174" t="s">
        <v>1690</v>
      </c>
      <c r="I3861" s="174" t="str">
        <f t="shared" si="1"/>
        <v>NORDESTE</v>
      </c>
    </row>
    <row r="3862" ht="14.25" customHeight="1">
      <c r="G3862" s="174" t="s">
        <v>5439</v>
      </c>
      <c r="H3862" s="174" t="s">
        <v>1685</v>
      </c>
      <c r="I3862" s="174" t="str">
        <f t="shared" si="1"/>
        <v>NORDESTE</v>
      </c>
    </row>
    <row r="3863" ht="14.25" customHeight="1">
      <c r="G3863" s="174" t="s">
        <v>5440</v>
      </c>
      <c r="H3863" s="174" t="s">
        <v>1725</v>
      </c>
      <c r="I3863" s="174" t="str">
        <f t="shared" si="1"/>
        <v>NORDESTE</v>
      </c>
    </row>
    <row r="3864" ht="14.25" customHeight="1">
      <c r="G3864" s="174" t="s">
        <v>5441</v>
      </c>
      <c r="H3864" s="174" t="s">
        <v>1685</v>
      </c>
      <c r="I3864" s="174" t="str">
        <f t="shared" si="1"/>
        <v>NORDESTE</v>
      </c>
    </row>
    <row r="3865" ht="14.25" customHeight="1">
      <c r="G3865" s="174" t="s">
        <v>5442</v>
      </c>
      <c r="H3865" s="174" t="s">
        <v>1719</v>
      </c>
      <c r="I3865" s="174" t="str">
        <f t="shared" si="1"/>
        <v>NORDESTE</v>
      </c>
    </row>
    <row r="3866" ht="14.25" customHeight="1">
      <c r="G3866" s="174" t="s">
        <v>5443</v>
      </c>
      <c r="H3866" s="174" t="s">
        <v>1702</v>
      </c>
      <c r="I3866" s="174" t="str">
        <f t="shared" si="1"/>
        <v>SUL</v>
      </c>
    </row>
    <row r="3867" ht="14.25" customHeight="1">
      <c r="G3867" s="174" t="s">
        <v>5444</v>
      </c>
      <c r="H3867" s="174" t="s">
        <v>1750</v>
      </c>
      <c r="I3867" s="174" t="str">
        <f t="shared" si="1"/>
        <v>SUDESTE</v>
      </c>
    </row>
    <row r="3868" ht="14.25" customHeight="1">
      <c r="G3868" s="174" t="s">
        <v>5444</v>
      </c>
      <c r="H3868" s="174" t="s">
        <v>1702</v>
      </c>
      <c r="I3868" s="174" t="str">
        <f t="shared" si="1"/>
        <v>SUL</v>
      </c>
    </row>
    <row r="3869" ht="14.25" customHeight="1">
      <c r="G3869" s="174" t="s">
        <v>5445</v>
      </c>
      <c r="H3869" s="174" t="s">
        <v>1666</v>
      </c>
      <c r="I3869" s="174" t="str">
        <f t="shared" si="1"/>
        <v>SUDESTE</v>
      </c>
    </row>
    <row r="3870" ht="14.25" customHeight="1">
      <c r="G3870" s="174" t="s">
        <v>5446</v>
      </c>
      <c r="H3870" s="174" t="s">
        <v>1719</v>
      </c>
      <c r="I3870" s="174" t="str">
        <f t="shared" si="1"/>
        <v>NORDESTE</v>
      </c>
    </row>
    <row r="3871" ht="14.25" customHeight="1">
      <c r="G3871" s="174" t="s">
        <v>5447</v>
      </c>
      <c r="H3871" s="174" t="s">
        <v>1721</v>
      </c>
      <c r="I3871" s="174" t="str">
        <f t="shared" si="1"/>
        <v>NORTE</v>
      </c>
    </row>
    <row r="3872" ht="14.25" customHeight="1">
      <c r="G3872" s="174" t="s">
        <v>5448</v>
      </c>
      <c r="H3872" s="174" t="s">
        <v>1698</v>
      </c>
      <c r="I3872" s="174" t="str">
        <f t="shared" si="1"/>
        <v>SUDESTE</v>
      </c>
    </row>
    <row r="3873" ht="14.25" customHeight="1">
      <c r="G3873" s="174" t="s">
        <v>5449</v>
      </c>
      <c r="H3873" s="174" t="s">
        <v>1666</v>
      </c>
      <c r="I3873" s="174" t="str">
        <f t="shared" si="1"/>
        <v>SUDESTE</v>
      </c>
    </row>
    <row r="3874" ht="14.25" customHeight="1">
      <c r="G3874" s="174" t="s">
        <v>5450</v>
      </c>
      <c r="H3874" s="174" t="s">
        <v>1687</v>
      </c>
      <c r="I3874" s="174" t="str">
        <f t="shared" si="1"/>
        <v>NORTE</v>
      </c>
    </row>
    <row r="3875" ht="14.25" customHeight="1">
      <c r="G3875" s="174" t="s">
        <v>5451</v>
      </c>
      <c r="H3875" s="174" t="s">
        <v>1656</v>
      </c>
      <c r="I3875" s="174" t="str">
        <f t="shared" si="1"/>
        <v>NORTE</v>
      </c>
    </row>
    <row r="3876" ht="14.25" customHeight="1">
      <c r="G3876" s="174" t="s">
        <v>5452</v>
      </c>
      <c r="H3876" s="174" t="s">
        <v>1658</v>
      </c>
      <c r="I3876" s="174" t="str">
        <f t="shared" si="1"/>
        <v>CENTRO OESTE</v>
      </c>
    </row>
    <row r="3877" ht="14.25" customHeight="1">
      <c r="G3877" s="174" t="s">
        <v>5453</v>
      </c>
      <c r="H3877" s="174" t="s">
        <v>1702</v>
      </c>
      <c r="I3877" s="174" t="str">
        <f t="shared" si="1"/>
        <v>SUL</v>
      </c>
    </row>
    <row r="3878" ht="14.25" customHeight="1">
      <c r="G3878" s="174" t="s">
        <v>5454</v>
      </c>
      <c r="H3878" s="174" t="s">
        <v>1685</v>
      </c>
      <c r="I3878" s="174" t="str">
        <f t="shared" si="1"/>
        <v>NORDESTE</v>
      </c>
    </row>
    <row r="3879" ht="14.25" customHeight="1">
      <c r="G3879" s="174" t="s">
        <v>5455</v>
      </c>
      <c r="H3879" s="174" t="s">
        <v>1685</v>
      </c>
      <c r="I3879" s="174" t="str">
        <f t="shared" si="1"/>
        <v>NORDESTE</v>
      </c>
    </row>
    <row r="3880" ht="14.25" customHeight="1">
      <c r="G3880" s="174" t="s">
        <v>5455</v>
      </c>
      <c r="H3880" s="174" t="s">
        <v>1750</v>
      </c>
      <c r="I3880" s="174" t="str">
        <f t="shared" si="1"/>
        <v>SUDESTE</v>
      </c>
    </row>
    <row r="3881" ht="14.25" customHeight="1">
      <c r="G3881" s="174" t="s">
        <v>5455</v>
      </c>
      <c r="H3881" s="174" t="s">
        <v>1702</v>
      </c>
      <c r="I3881" s="174" t="str">
        <f t="shared" si="1"/>
        <v>SUL</v>
      </c>
    </row>
    <row r="3882" ht="14.25" customHeight="1">
      <c r="G3882" s="174" t="s">
        <v>5455</v>
      </c>
      <c r="H3882" s="174" t="s">
        <v>1742</v>
      </c>
      <c r="I3882" s="174" t="str">
        <f t="shared" si="1"/>
        <v>SUL</v>
      </c>
    </row>
    <row r="3883" ht="14.25" customHeight="1">
      <c r="G3883" s="174" t="s">
        <v>5456</v>
      </c>
      <c r="H3883" s="174" t="s">
        <v>1706</v>
      </c>
      <c r="I3883" s="174" t="str">
        <f t="shared" si="1"/>
        <v>SUL</v>
      </c>
    </row>
    <row r="3884" ht="14.25" customHeight="1">
      <c r="G3884" s="174" t="s">
        <v>5457</v>
      </c>
      <c r="H3884" s="174" t="s">
        <v>1713</v>
      </c>
      <c r="I3884" s="174" t="str">
        <f t="shared" si="1"/>
        <v>CENTRO OESTE</v>
      </c>
    </row>
    <row r="3885" ht="14.25" customHeight="1">
      <c r="G3885" s="174" t="s">
        <v>5458</v>
      </c>
      <c r="H3885" s="174" t="s">
        <v>1666</v>
      </c>
      <c r="I3885" s="174" t="str">
        <f t="shared" si="1"/>
        <v>SUDESTE</v>
      </c>
    </row>
    <row r="3886" ht="14.25" customHeight="1">
      <c r="G3886" s="174" t="s">
        <v>5459</v>
      </c>
      <c r="H3886" s="174" t="s">
        <v>1750</v>
      </c>
      <c r="I3886" s="174" t="str">
        <f t="shared" si="1"/>
        <v>SUDESTE</v>
      </c>
    </row>
    <row r="3887" ht="14.25" customHeight="1">
      <c r="G3887" s="174" t="s">
        <v>5460</v>
      </c>
      <c r="H3887" s="174" t="s">
        <v>1750</v>
      </c>
      <c r="I3887" s="174" t="str">
        <f t="shared" si="1"/>
        <v>SUDESTE</v>
      </c>
    </row>
    <row r="3888" ht="14.25" customHeight="1">
      <c r="G3888" s="174" t="s">
        <v>5461</v>
      </c>
      <c r="H3888" s="174" t="s">
        <v>1717</v>
      </c>
      <c r="I3888" s="174" t="str">
        <f t="shared" si="1"/>
        <v>NORDESTE</v>
      </c>
    </row>
    <row r="3889" ht="14.25" customHeight="1">
      <c r="G3889" s="174" t="s">
        <v>5462</v>
      </c>
      <c r="H3889" s="174" t="s">
        <v>1704</v>
      </c>
      <c r="I3889" s="174" t="str">
        <f t="shared" si="1"/>
        <v>NORDESTE</v>
      </c>
    </row>
    <row r="3890" ht="14.25" customHeight="1">
      <c r="G3890" s="174" t="s">
        <v>5463</v>
      </c>
      <c r="H3890" s="174" t="s">
        <v>1719</v>
      </c>
      <c r="I3890" s="174" t="str">
        <f t="shared" si="1"/>
        <v>NORDESTE</v>
      </c>
    </row>
    <row r="3891" ht="14.25" customHeight="1">
      <c r="G3891" s="174" t="s">
        <v>5464</v>
      </c>
      <c r="H3891" s="174" t="s">
        <v>1733</v>
      </c>
      <c r="I3891" s="174" t="str">
        <f t="shared" si="1"/>
        <v>NORDESTE</v>
      </c>
    </row>
    <row r="3892" ht="14.25" customHeight="1">
      <c r="G3892" s="174" t="s">
        <v>5465</v>
      </c>
      <c r="H3892" s="174" t="s">
        <v>1719</v>
      </c>
      <c r="I3892" s="174" t="str">
        <f t="shared" si="1"/>
        <v>NORDESTE</v>
      </c>
    </row>
    <row r="3893" ht="14.25" customHeight="1">
      <c r="G3893" s="174" t="s">
        <v>5466</v>
      </c>
      <c r="H3893" s="174" t="s">
        <v>1742</v>
      </c>
      <c r="I3893" s="174" t="str">
        <f t="shared" si="1"/>
        <v>SUL</v>
      </c>
    </row>
    <row r="3894" ht="14.25" customHeight="1">
      <c r="G3894" s="174" t="s">
        <v>5467</v>
      </c>
      <c r="H3894" s="174" t="s">
        <v>1664</v>
      </c>
      <c r="I3894" s="174" t="str">
        <f t="shared" si="1"/>
        <v>NORDESTE</v>
      </c>
    </row>
    <row r="3895" ht="14.25" customHeight="1">
      <c r="G3895" s="174" t="s">
        <v>5468</v>
      </c>
      <c r="H3895" s="174" t="s">
        <v>1719</v>
      </c>
      <c r="I3895" s="174" t="str">
        <f t="shared" si="1"/>
        <v>NORDESTE</v>
      </c>
    </row>
    <row r="3896" ht="14.25" customHeight="1">
      <c r="G3896" s="174" t="s">
        <v>5469</v>
      </c>
      <c r="H3896" s="174" t="s">
        <v>1666</v>
      </c>
      <c r="I3896" s="174" t="str">
        <f t="shared" si="1"/>
        <v>SUDESTE</v>
      </c>
    </row>
    <row r="3897" ht="14.25" customHeight="1">
      <c r="G3897" s="174" t="s">
        <v>5470</v>
      </c>
      <c r="H3897" s="174" t="s">
        <v>1747</v>
      </c>
      <c r="I3897" s="174" t="str">
        <f t="shared" si="1"/>
        <v>NORDESTE</v>
      </c>
    </row>
    <row r="3898" ht="14.25" customHeight="1">
      <c r="G3898" s="174" t="s">
        <v>5471</v>
      </c>
      <c r="H3898" s="174" t="s">
        <v>1747</v>
      </c>
      <c r="I3898" s="174" t="str">
        <f t="shared" si="1"/>
        <v>NORDESTE</v>
      </c>
    </row>
    <row r="3899" ht="14.25" customHeight="1">
      <c r="G3899" s="174" t="s">
        <v>5472</v>
      </c>
      <c r="H3899" s="174" t="s">
        <v>1685</v>
      </c>
      <c r="I3899" s="174" t="str">
        <f t="shared" si="1"/>
        <v>NORDESTE</v>
      </c>
    </row>
    <row r="3900" ht="14.25" customHeight="1">
      <c r="G3900" s="174" t="s">
        <v>5473</v>
      </c>
      <c r="H3900" s="174" t="s">
        <v>1713</v>
      </c>
      <c r="I3900" s="174" t="str">
        <f t="shared" si="1"/>
        <v>CENTRO OESTE</v>
      </c>
    </row>
    <row r="3901" ht="14.25" customHeight="1">
      <c r="G3901" s="174" t="s">
        <v>5474</v>
      </c>
      <c r="H3901" s="174" t="s">
        <v>1666</v>
      </c>
      <c r="I3901" s="174" t="str">
        <f t="shared" si="1"/>
        <v>SUDESTE</v>
      </c>
    </row>
    <row r="3902" ht="14.25" customHeight="1">
      <c r="G3902" s="174" t="s">
        <v>5475</v>
      </c>
      <c r="H3902" s="174" t="s">
        <v>1666</v>
      </c>
      <c r="I3902" s="174" t="str">
        <f t="shared" si="1"/>
        <v>SUDESTE</v>
      </c>
    </row>
    <row r="3903" ht="14.25" customHeight="1">
      <c r="G3903" s="174" t="s">
        <v>5476</v>
      </c>
      <c r="H3903" s="174" t="s">
        <v>1685</v>
      </c>
      <c r="I3903" s="174" t="str">
        <f t="shared" si="1"/>
        <v>NORDESTE</v>
      </c>
    </row>
    <row r="3904" ht="14.25" customHeight="1">
      <c r="G3904" s="174" t="s">
        <v>5477</v>
      </c>
      <c r="H3904" s="174" t="s">
        <v>1750</v>
      </c>
      <c r="I3904" s="174" t="str">
        <f t="shared" si="1"/>
        <v>SUDESTE</v>
      </c>
    </row>
    <row r="3905" ht="14.25" customHeight="1">
      <c r="G3905" s="174" t="s">
        <v>5478</v>
      </c>
      <c r="H3905" s="174" t="s">
        <v>1719</v>
      </c>
      <c r="I3905" s="174" t="str">
        <f t="shared" si="1"/>
        <v>NORDESTE</v>
      </c>
    </row>
    <row r="3906" ht="14.25" customHeight="1">
      <c r="G3906" s="174" t="s">
        <v>5479</v>
      </c>
      <c r="H3906" s="174" t="s">
        <v>1717</v>
      </c>
      <c r="I3906" s="174" t="str">
        <f t="shared" si="1"/>
        <v>NORDESTE</v>
      </c>
    </row>
    <row r="3907" ht="14.25" customHeight="1">
      <c r="G3907" s="174" t="s">
        <v>5480</v>
      </c>
      <c r="H3907" s="174" t="s">
        <v>1706</v>
      </c>
      <c r="I3907" s="174" t="str">
        <f t="shared" si="1"/>
        <v>SUL</v>
      </c>
    </row>
    <row r="3908" ht="14.25" customHeight="1">
      <c r="G3908" s="174" t="s">
        <v>5481</v>
      </c>
      <c r="H3908" s="174" t="s">
        <v>1750</v>
      </c>
      <c r="I3908" s="174" t="str">
        <f t="shared" si="1"/>
        <v>SUDESTE</v>
      </c>
    </row>
    <row r="3909" ht="14.25" customHeight="1">
      <c r="G3909" s="174" t="s">
        <v>5482</v>
      </c>
      <c r="H3909" s="174" t="s">
        <v>1666</v>
      </c>
      <c r="I3909" s="174" t="str">
        <f t="shared" si="1"/>
        <v>SUDESTE</v>
      </c>
    </row>
    <row r="3910" ht="14.25" customHeight="1">
      <c r="G3910" s="174" t="s">
        <v>5483</v>
      </c>
      <c r="H3910" s="174" t="s">
        <v>1750</v>
      </c>
      <c r="I3910" s="174" t="str">
        <f t="shared" si="1"/>
        <v>SUDESTE</v>
      </c>
    </row>
    <row r="3911" ht="14.25" customHeight="1">
      <c r="G3911" s="174" t="s">
        <v>5484</v>
      </c>
      <c r="H3911" s="174" t="s">
        <v>1687</v>
      </c>
      <c r="I3911" s="174" t="str">
        <f t="shared" si="1"/>
        <v>NORTE</v>
      </c>
    </row>
    <row r="3912" ht="14.25" customHeight="1">
      <c r="G3912" s="174" t="s">
        <v>5485</v>
      </c>
      <c r="H3912" s="174" t="s">
        <v>1702</v>
      </c>
      <c r="I3912" s="174" t="str">
        <f t="shared" si="1"/>
        <v>SUL</v>
      </c>
    </row>
    <row r="3913" ht="14.25" customHeight="1">
      <c r="G3913" s="174" t="s">
        <v>5486</v>
      </c>
      <c r="H3913" s="174" t="s">
        <v>1710</v>
      </c>
      <c r="I3913" s="174" t="str">
        <f t="shared" si="1"/>
        <v>CENTRO OESTE</v>
      </c>
    </row>
    <row r="3914" ht="14.25" customHeight="1">
      <c r="G3914" s="174" t="s">
        <v>5487</v>
      </c>
      <c r="H3914" s="174" t="s">
        <v>1750</v>
      </c>
      <c r="I3914" s="174" t="str">
        <f t="shared" si="1"/>
        <v>SUDESTE</v>
      </c>
    </row>
    <row r="3915" ht="14.25" customHeight="1">
      <c r="G3915" s="174" t="s">
        <v>5488</v>
      </c>
      <c r="H3915" s="174" t="s">
        <v>1713</v>
      </c>
      <c r="I3915" s="174" t="str">
        <f t="shared" si="1"/>
        <v>CENTRO OESTE</v>
      </c>
    </row>
    <row r="3916" ht="14.25" customHeight="1">
      <c r="G3916" s="174" t="s">
        <v>5489</v>
      </c>
      <c r="H3916" s="174" t="s">
        <v>1702</v>
      </c>
      <c r="I3916" s="174" t="str">
        <f t="shared" si="1"/>
        <v>SUL</v>
      </c>
    </row>
    <row r="3917" ht="14.25" customHeight="1">
      <c r="G3917" s="174" t="s">
        <v>5490</v>
      </c>
      <c r="H3917" s="174" t="s">
        <v>1658</v>
      </c>
      <c r="I3917" s="174" t="str">
        <f t="shared" si="1"/>
        <v>CENTRO OESTE</v>
      </c>
    </row>
    <row r="3918" ht="14.25" customHeight="1">
      <c r="G3918" s="174" t="s">
        <v>5491</v>
      </c>
      <c r="H3918" s="174" t="s">
        <v>1750</v>
      </c>
      <c r="I3918" s="174" t="str">
        <f t="shared" si="1"/>
        <v>SUDESTE</v>
      </c>
    </row>
    <row r="3919" ht="14.25" customHeight="1">
      <c r="G3919" s="174" t="s">
        <v>5492</v>
      </c>
      <c r="H3919" s="174" t="s">
        <v>1742</v>
      </c>
      <c r="I3919" s="174" t="str">
        <f t="shared" si="1"/>
        <v>SUL</v>
      </c>
    </row>
    <row r="3920" ht="14.25" customHeight="1">
      <c r="G3920" s="174" t="s">
        <v>5493</v>
      </c>
      <c r="H3920" s="174" t="s">
        <v>1706</v>
      </c>
      <c r="I3920" s="174" t="str">
        <f t="shared" si="1"/>
        <v>SUL</v>
      </c>
    </row>
    <row r="3921" ht="14.25" customHeight="1">
      <c r="G3921" s="174" t="s">
        <v>5494</v>
      </c>
      <c r="H3921" s="174" t="s">
        <v>1721</v>
      </c>
      <c r="I3921" s="174" t="str">
        <f t="shared" si="1"/>
        <v>NORTE</v>
      </c>
    </row>
    <row r="3922" ht="14.25" customHeight="1">
      <c r="G3922" s="174" t="s">
        <v>5495</v>
      </c>
      <c r="H3922" s="174" t="s">
        <v>1706</v>
      </c>
      <c r="I3922" s="174" t="str">
        <f t="shared" si="1"/>
        <v>SUL</v>
      </c>
    </row>
    <row r="3923" ht="14.25" customHeight="1">
      <c r="G3923" s="174" t="s">
        <v>5496</v>
      </c>
      <c r="H3923" s="174" t="s">
        <v>1721</v>
      </c>
      <c r="I3923" s="174" t="str">
        <f t="shared" si="1"/>
        <v>NORTE</v>
      </c>
    </row>
    <row r="3924" ht="14.25" customHeight="1">
      <c r="G3924" s="174" t="s">
        <v>5497</v>
      </c>
      <c r="H3924" s="174" t="s">
        <v>1713</v>
      </c>
      <c r="I3924" s="174" t="str">
        <f t="shared" si="1"/>
        <v>CENTRO OESTE</v>
      </c>
    </row>
    <row r="3925" ht="14.25" customHeight="1">
      <c r="G3925" s="174" t="s">
        <v>5498</v>
      </c>
      <c r="H3925" s="174" t="s">
        <v>1666</v>
      </c>
      <c r="I3925" s="174" t="str">
        <f t="shared" si="1"/>
        <v>SUDESTE</v>
      </c>
    </row>
    <row r="3926" ht="14.25" customHeight="1">
      <c r="G3926" s="174" t="s">
        <v>5499</v>
      </c>
      <c r="H3926" s="174" t="s">
        <v>1742</v>
      </c>
      <c r="I3926" s="174" t="str">
        <f t="shared" si="1"/>
        <v>SUL</v>
      </c>
    </row>
    <row r="3927" ht="14.25" customHeight="1">
      <c r="G3927" s="174" t="s">
        <v>5500</v>
      </c>
      <c r="H3927" s="174" t="s">
        <v>1706</v>
      </c>
      <c r="I3927" s="174" t="str">
        <f t="shared" si="1"/>
        <v>SUL</v>
      </c>
    </row>
    <row r="3928" ht="14.25" customHeight="1">
      <c r="G3928" s="174" t="s">
        <v>5501</v>
      </c>
      <c r="H3928" s="174" t="s">
        <v>1713</v>
      </c>
      <c r="I3928" s="174" t="str">
        <f t="shared" si="1"/>
        <v>CENTRO OESTE</v>
      </c>
    </row>
    <row r="3929" ht="14.25" customHeight="1">
      <c r="G3929" s="174" t="s">
        <v>5502</v>
      </c>
      <c r="H3929" s="174" t="s">
        <v>1750</v>
      </c>
      <c r="I3929" s="174" t="str">
        <f t="shared" si="1"/>
        <v>SUDESTE</v>
      </c>
    </row>
    <row r="3930" ht="14.25" customHeight="1">
      <c r="G3930" s="174" t="s">
        <v>5503</v>
      </c>
      <c r="H3930" s="174" t="s">
        <v>1698</v>
      </c>
      <c r="I3930" s="174" t="str">
        <f t="shared" si="1"/>
        <v>SUDESTE</v>
      </c>
    </row>
    <row r="3931" ht="14.25" customHeight="1">
      <c r="G3931" s="174" t="s">
        <v>5504</v>
      </c>
      <c r="H3931" s="174" t="s">
        <v>1666</v>
      </c>
      <c r="I3931" s="174" t="str">
        <f t="shared" si="1"/>
        <v>SUDESTE</v>
      </c>
    </row>
    <row r="3932" ht="14.25" customHeight="1">
      <c r="G3932" s="174" t="s">
        <v>5505</v>
      </c>
      <c r="H3932" s="174" t="s">
        <v>1666</v>
      </c>
      <c r="I3932" s="174" t="str">
        <f t="shared" si="1"/>
        <v>SUDESTE</v>
      </c>
    </row>
    <row r="3933" ht="14.25" customHeight="1">
      <c r="G3933" s="174" t="s">
        <v>5506</v>
      </c>
      <c r="H3933" s="174" t="s">
        <v>1685</v>
      </c>
      <c r="I3933" s="174" t="str">
        <f t="shared" si="1"/>
        <v>NORDESTE</v>
      </c>
    </row>
    <row r="3934" ht="14.25" customHeight="1">
      <c r="G3934" s="174" t="s">
        <v>5507</v>
      </c>
      <c r="H3934" s="174" t="s">
        <v>1750</v>
      </c>
      <c r="I3934" s="174" t="str">
        <f t="shared" si="1"/>
        <v>SUDESTE</v>
      </c>
    </row>
    <row r="3935" ht="14.25" customHeight="1">
      <c r="G3935" s="174" t="s">
        <v>5508</v>
      </c>
      <c r="H3935" s="174" t="s">
        <v>1690</v>
      </c>
      <c r="I3935" s="174" t="str">
        <f t="shared" si="1"/>
        <v>NORDESTE</v>
      </c>
    </row>
    <row r="3936" ht="14.25" customHeight="1">
      <c r="G3936" s="174" t="s">
        <v>5509</v>
      </c>
      <c r="H3936" s="174" t="s">
        <v>1750</v>
      </c>
      <c r="I3936" s="174" t="str">
        <f t="shared" si="1"/>
        <v>SUDESTE</v>
      </c>
    </row>
    <row r="3937" ht="14.25" customHeight="1">
      <c r="G3937" s="174" t="s">
        <v>5510</v>
      </c>
      <c r="H3937" s="174" t="s">
        <v>1658</v>
      </c>
      <c r="I3937" s="174" t="str">
        <f t="shared" si="1"/>
        <v>CENTRO OESTE</v>
      </c>
    </row>
    <row r="3938" ht="14.25" customHeight="1">
      <c r="G3938" s="174" t="s">
        <v>5511</v>
      </c>
      <c r="H3938" s="174" t="s">
        <v>1730</v>
      </c>
      <c r="I3938" s="174" t="str">
        <f t="shared" si="1"/>
        <v>SUDESTE</v>
      </c>
    </row>
    <row r="3939" ht="14.25" customHeight="1">
      <c r="G3939" s="174" t="s">
        <v>5512</v>
      </c>
      <c r="H3939" s="174" t="s">
        <v>1702</v>
      </c>
      <c r="I3939" s="174" t="str">
        <f t="shared" si="1"/>
        <v>SUL</v>
      </c>
    </row>
    <row r="3940" ht="14.25" customHeight="1">
      <c r="G3940" s="174" t="s">
        <v>5513</v>
      </c>
      <c r="H3940" s="174" t="s">
        <v>1733</v>
      </c>
      <c r="I3940" s="174" t="str">
        <f t="shared" si="1"/>
        <v>NORDESTE</v>
      </c>
    </row>
    <row r="3941" ht="14.25" customHeight="1">
      <c r="G3941" s="174" t="s">
        <v>5514</v>
      </c>
      <c r="H3941" s="174" t="s">
        <v>1742</v>
      </c>
      <c r="I3941" s="174" t="str">
        <f t="shared" si="1"/>
        <v>SUL</v>
      </c>
    </row>
    <row r="3942" ht="14.25" customHeight="1">
      <c r="G3942" s="174" t="s">
        <v>5515</v>
      </c>
      <c r="H3942" s="174" t="s">
        <v>1658</v>
      </c>
      <c r="I3942" s="174" t="str">
        <f t="shared" si="1"/>
        <v>CENTRO OESTE</v>
      </c>
    </row>
    <row r="3943" ht="14.25" customHeight="1">
      <c r="G3943" s="174" t="s">
        <v>5516</v>
      </c>
      <c r="H3943" s="174" t="s">
        <v>1690</v>
      </c>
      <c r="I3943" s="174" t="str">
        <f t="shared" si="1"/>
        <v>NORDESTE</v>
      </c>
    </row>
    <row r="3944" ht="14.25" customHeight="1">
      <c r="G3944" s="174" t="s">
        <v>5517</v>
      </c>
      <c r="H3944" s="174" t="s">
        <v>1666</v>
      </c>
      <c r="I3944" s="174" t="str">
        <f t="shared" si="1"/>
        <v>SUDESTE</v>
      </c>
    </row>
    <row r="3945" ht="14.25" customHeight="1">
      <c r="G3945" s="174" t="s">
        <v>5518</v>
      </c>
      <c r="H3945" s="174" t="s">
        <v>1687</v>
      </c>
      <c r="I3945" s="174" t="str">
        <f t="shared" si="1"/>
        <v>NORTE</v>
      </c>
    </row>
    <row r="3946" ht="14.25" customHeight="1">
      <c r="G3946" s="174" t="s">
        <v>5519</v>
      </c>
      <c r="H3946" s="174" t="s">
        <v>1658</v>
      </c>
      <c r="I3946" s="174" t="str">
        <f t="shared" si="1"/>
        <v>CENTRO OESTE</v>
      </c>
    </row>
    <row r="3947" ht="14.25" customHeight="1">
      <c r="G3947" s="174" t="s">
        <v>5520</v>
      </c>
      <c r="H3947" s="174" t="s">
        <v>1725</v>
      </c>
      <c r="I3947" s="174" t="str">
        <f t="shared" si="1"/>
        <v>NORDESTE</v>
      </c>
    </row>
    <row r="3948" ht="14.25" customHeight="1">
      <c r="G3948" s="174" t="s">
        <v>5521</v>
      </c>
      <c r="H3948" s="174" t="s">
        <v>1656</v>
      </c>
      <c r="I3948" s="174" t="str">
        <f t="shared" si="1"/>
        <v>NORTE</v>
      </c>
    </row>
    <row r="3949" ht="14.25" customHeight="1">
      <c r="G3949" s="174" t="s">
        <v>5522</v>
      </c>
      <c r="H3949" s="174" t="s">
        <v>1742</v>
      </c>
      <c r="I3949" s="174" t="str">
        <f t="shared" si="1"/>
        <v>SUL</v>
      </c>
    </row>
    <row r="3950" ht="14.25" customHeight="1">
      <c r="G3950" s="174" t="s">
        <v>5523</v>
      </c>
      <c r="H3950" s="174" t="s">
        <v>1713</v>
      </c>
      <c r="I3950" s="174" t="str">
        <f t="shared" si="1"/>
        <v>CENTRO OESTE</v>
      </c>
    </row>
    <row r="3951" ht="14.25" customHeight="1">
      <c r="G3951" s="174" t="s">
        <v>5524</v>
      </c>
      <c r="H3951" s="174" t="s">
        <v>1725</v>
      </c>
      <c r="I3951" s="174" t="str">
        <f t="shared" si="1"/>
        <v>NORDESTE</v>
      </c>
    </row>
    <row r="3952" ht="14.25" customHeight="1">
      <c r="G3952" s="174" t="s">
        <v>5525</v>
      </c>
      <c r="H3952" s="174" t="s">
        <v>1721</v>
      </c>
      <c r="I3952" s="174" t="str">
        <f t="shared" si="1"/>
        <v>NORTE</v>
      </c>
    </row>
    <row r="3953" ht="14.25" customHeight="1">
      <c r="G3953" s="174" t="s">
        <v>5526</v>
      </c>
      <c r="H3953" s="174" t="s">
        <v>1702</v>
      </c>
      <c r="I3953" s="174" t="str">
        <f t="shared" si="1"/>
        <v>SUL</v>
      </c>
    </row>
    <row r="3954" ht="14.25" customHeight="1">
      <c r="G3954" s="174" t="s">
        <v>5527</v>
      </c>
      <c r="H3954" s="174" t="s">
        <v>1702</v>
      </c>
      <c r="I3954" s="174" t="str">
        <f t="shared" si="1"/>
        <v>SUL</v>
      </c>
    </row>
    <row r="3955" ht="14.25" customHeight="1">
      <c r="G3955" s="174" t="s">
        <v>5528</v>
      </c>
      <c r="H3955" s="174" t="s">
        <v>1706</v>
      </c>
      <c r="I3955" s="174" t="str">
        <f t="shared" si="1"/>
        <v>SUL</v>
      </c>
    </row>
    <row r="3956" ht="14.25" customHeight="1">
      <c r="G3956" s="174" t="s">
        <v>5529</v>
      </c>
      <c r="H3956" s="174" t="s">
        <v>1664</v>
      </c>
      <c r="I3956" s="174" t="str">
        <f t="shared" si="1"/>
        <v>NORDESTE</v>
      </c>
    </row>
    <row r="3957" ht="14.25" customHeight="1">
      <c r="G3957" s="174" t="s">
        <v>5530</v>
      </c>
      <c r="H3957" s="174" t="s">
        <v>1747</v>
      </c>
      <c r="I3957" s="174" t="str">
        <f t="shared" si="1"/>
        <v>NORDESTE</v>
      </c>
    </row>
    <row r="3958" ht="14.25" customHeight="1">
      <c r="G3958" s="174" t="s">
        <v>5531</v>
      </c>
      <c r="H3958" s="174" t="s">
        <v>1687</v>
      </c>
      <c r="I3958" s="174" t="str">
        <f t="shared" si="1"/>
        <v>NORTE</v>
      </c>
    </row>
    <row r="3959" ht="14.25" customHeight="1">
      <c r="G3959" s="174" t="s">
        <v>5532</v>
      </c>
      <c r="H3959" s="174" t="s">
        <v>1664</v>
      </c>
      <c r="I3959" s="174" t="str">
        <f t="shared" si="1"/>
        <v>NORDESTE</v>
      </c>
    </row>
    <row r="3960" ht="14.25" customHeight="1">
      <c r="G3960" s="174" t="s">
        <v>5533</v>
      </c>
      <c r="H3960" s="174" t="s">
        <v>1733</v>
      </c>
      <c r="I3960" s="174" t="str">
        <f t="shared" si="1"/>
        <v>NORDESTE</v>
      </c>
    </row>
    <row r="3961" ht="14.25" customHeight="1">
      <c r="G3961" s="174" t="s">
        <v>5534</v>
      </c>
      <c r="H3961" s="174" t="s">
        <v>1713</v>
      </c>
      <c r="I3961" s="174" t="str">
        <f t="shared" si="1"/>
        <v>CENTRO OESTE</v>
      </c>
    </row>
    <row r="3962" ht="14.25" customHeight="1">
      <c r="G3962" s="174" t="s">
        <v>5535</v>
      </c>
      <c r="H3962" s="174" t="s">
        <v>1713</v>
      </c>
      <c r="I3962" s="174" t="str">
        <f t="shared" si="1"/>
        <v>CENTRO OESTE</v>
      </c>
    </row>
    <row r="3963" ht="14.25" customHeight="1">
      <c r="G3963" s="174" t="s">
        <v>5536</v>
      </c>
      <c r="H3963" s="174" t="s">
        <v>1713</v>
      </c>
      <c r="I3963" s="174" t="str">
        <f t="shared" si="1"/>
        <v>CENTRO OESTE</v>
      </c>
    </row>
    <row r="3964" ht="14.25" customHeight="1">
      <c r="G3964" s="174" t="s">
        <v>5537</v>
      </c>
      <c r="H3964" s="174" t="s">
        <v>1750</v>
      </c>
      <c r="I3964" s="174" t="str">
        <f t="shared" si="1"/>
        <v>SUDESTE</v>
      </c>
    </row>
    <row r="3965" ht="14.25" customHeight="1">
      <c r="G3965" s="174" t="s">
        <v>5538</v>
      </c>
      <c r="H3965" s="174" t="s">
        <v>1750</v>
      </c>
      <c r="I3965" s="174" t="str">
        <f t="shared" si="1"/>
        <v>SUDESTE</v>
      </c>
    </row>
    <row r="3966" ht="14.25" customHeight="1">
      <c r="G3966" s="174" t="s">
        <v>5539</v>
      </c>
      <c r="H3966" s="174" t="s">
        <v>1666</v>
      </c>
      <c r="I3966" s="174" t="str">
        <f t="shared" si="1"/>
        <v>SUDESTE</v>
      </c>
    </row>
    <row r="3967" ht="14.25" customHeight="1">
      <c r="G3967" s="174" t="s">
        <v>5540</v>
      </c>
      <c r="H3967" s="174" t="s">
        <v>1704</v>
      </c>
      <c r="I3967" s="174" t="str">
        <f t="shared" si="1"/>
        <v>NORDESTE</v>
      </c>
    </row>
    <row r="3968" ht="14.25" customHeight="1">
      <c r="G3968" s="174" t="s">
        <v>5541</v>
      </c>
      <c r="H3968" s="174" t="s">
        <v>1679</v>
      </c>
      <c r="I3968" s="174" t="str">
        <f t="shared" si="1"/>
        <v>NORTE</v>
      </c>
    </row>
    <row r="3969" ht="14.25" customHeight="1">
      <c r="G3969" s="174" t="s">
        <v>5542</v>
      </c>
      <c r="H3969" s="174" t="s">
        <v>1742</v>
      </c>
      <c r="I3969" s="174" t="str">
        <f t="shared" si="1"/>
        <v>SUL</v>
      </c>
    </row>
    <row r="3970" ht="14.25" customHeight="1">
      <c r="G3970" s="174" t="s">
        <v>5543</v>
      </c>
      <c r="H3970" s="174" t="s">
        <v>1742</v>
      </c>
      <c r="I3970" s="174" t="str">
        <f t="shared" si="1"/>
        <v>SUL</v>
      </c>
    </row>
    <row r="3971" ht="14.25" customHeight="1">
      <c r="G3971" s="174" t="s">
        <v>5544</v>
      </c>
      <c r="H3971" s="174" t="s">
        <v>1710</v>
      </c>
      <c r="I3971" s="174" t="str">
        <f t="shared" si="1"/>
        <v>CENTRO OESTE</v>
      </c>
    </row>
    <row r="3972" ht="14.25" customHeight="1">
      <c r="G3972" s="174" t="s">
        <v>5545</v>
      </c>
      <c r="H3972" s="174" t="s">
        <v>1721</v>
      </c>
      <c r="I3972" s="174" t="str">
        <f t="shared" si="1"/>
        <v>NORTE</v>
      </c>
    </row>
    <row r="3973" ht="14.25" customHeight="1">
      <c r="G3973" s="174" t="s">
        <v>5546</v>
      </c>
      <c r="H3973" s="174" t="s">
        <v>1730</v>
      </c>
      <c r="I3973" s="174" t="str">
        <f t="shared" si="1"/>
        <v>SUDESTE</v>
      </c>
    </row>
    <row r="3974" ht="14.25" customHeight="1">
      <c r="G3974" s="174" t="s">
        <v>5547</v>
      </c>
      <c r="H3974" s="174" t="s">
        <v>1664</v>
      </c>
      <c r="I3974" s="174" t="str">
        <f t="shared" si="1"/>
        <v>NORDESTE</v>
      </c>
    </row>
    <row r="3975" ht="14.25" customHeight="1">
      <c r="G3975" s="174" t="s">
        <v>5548</v>
      </c>
      <c r="H3975" s="174" t="s">
        <v>1702</v>
      </c>
      <c r="I3975" s="174" t="str">
        <f t="shared" si="1"/>
        <v>SUL</v>
      </c>
    </row>
    <row r="3976" ht="14.25" customHeight="1">
      <c r="G3976" s="174" t="s">
        <v>5549</v>
      </c>
      <c r="H3976" s="174" t="s">
        <v>1704</v>
      </c>
      <c r="I3976" s="174" t="str">
        <f t="shared" si="1"/>
        <v>NORDESTE</v>
      </c>
    </row>
    <row r="3977" ht="14.25" customHeight="1">
      <c r="G3977" s="174" t="s">
        <v>5550</v>
      </c>
      <c r="H3977" s="174" t="s">
        <v>1685</v>
      </c>
      <c r="I3977" s="174" t="str">
        <f t="shared" si="1"/>
        <v>NORDESTE</v>
      </c>
    </row>
    <row r="3978" ht="14.25" customHeight="1">
      <c r="G3978" s="174" t="s">
        <v>5551</v>
      </c>
      <c r="H3978" s="174" t="s">
        <v>1706</v>
      </c>
      <c r="I3978" s="174" t="str">
        <f t="shared" si="1"/>
        <v>SUL</v>
      </c>
    </row>
    <row r="3979" ht="14.25" customHeight="1">
      <c r="G3979" s="174" t="s">
        <v>5552</v>
      </c>
      <c r="H3979" s="174" t="s">
        <v>1736</v>
      </c>
      <c r="I3979" s="174" t="str">
        <f t="shared" si="1"/>
        <v>NORTE</v>
      </c>
    </row>
    <row r="3980" ht="14.25" customHeight="1">
      <c r="G3980" s="174" t="s">
        <v>5553</v>
      </c>
      <c r="H3980" s="174" t="s">
        <v>1742</v>
      </c>
      <c r="I3980" s="174" t="str">
        <f t="shared" si="1"/>
        <v>SUL</v>
      </c>
    </row>
    <row r="3981" ht="14.25" customHeight="1">
      <c r="G3981" s="174" t="s">
        <v>5554</v>
      </c>
      <c r="H3981" s="174" t="s">
        <v>1702</v>
      </c>
      <c r="I3981" s="174" t="str">
        <f t="shared" si="1"/>
        <v>SUL</v>
      </c>
    </row>
    <row r="3982" ht="14.25" customHeight="1">
      <c r="G3982" s="174" t="s">
        <v>5555</v>
      </c>
      <c r="H3982" s="174" t="s">
        <v>1656</v>
      </c>
      <c r="I3982" s="174" t="str">
        <f t="shared" si="1"/>
        <v>NORTE</v>
      </c>
    </row>
    <row r="3983" ht="14.25" customHeight="1">
      <c r="G3983" s="174" t="s">
        <v>5556</v>
      </c>
      <c r="H3983" s="174" t="s">
        <v>1742</v>
      </c>
      <c r="I3983" s="174" t="str">
        <f t="shared" si="1"/>
        <v>SUL</v>
      </c>
    </row>
    <row r="3984" ht="14.25" customHeight="1">
      <c r="G3984" s="174" t="s">
        <v>5557</v>
      </c>
      <c r="H3984" s="174" t="s">
        <v>1658</v>
      </c>
      <c r="I3984" s="174" t="str">
        <f t="shared" si="1"/>
        <v>CENTRO OESTE</v>
      </c>
    </row>
    <row r="3985" ht="14.25" customHeight="1">
      <c r="G3985" s="174" t="s">
        <v>5558</v>
      </c>
      <c r="H3985" s="174" t="s">
        <v>1666</v>
      </c>
      <c r="I3985" s="174" t="str">
        <f t="shared" si="1"/>
        <v>SUDESTE</v>
      </c>
    </row>
    <row r="3986" ht="14.25" customHeight="1">
      <c r="G3986" s="174" t="s">
        <v>5559</v>
      </c>
      <c r="H3986" s="174" t="s">
        <v>1690</v>
      </c>
      <c r="I3986" s="174" t="str">
        <f t="shared" si="1"/>
        <v>NORDESTE</v>
      </c>
    </row>
    <row r="3987" ht="14.25" customHeight="1">
      <c r="G3987" s="174" t="s">
        <v>5560</v>
      </c>
      <c r="H3987" s="174" t="s">
        <v>1750</v>
      </c>
      <c r="I3987" s="174" t="str">
        <f t="shared" si="1"/>
        <v>SUDESTE</v>
      </c>
    </row>
    <row r="3988" ht="14.25" customHeight="1">
      <c r="G3988" s="174" t="s">
        <v>5561</v>
      </c>
      <c r="H3988" s="174" t="s">
        <v>1685</v>
      </c>
      <c r="I3988" s="174" t="str">
        <f t="shared" si="1"/>
        <v>NORDESTE</v>
      </c>
    </row>
    <row r="3989" ht="14.25" customHeight="1">
      <c r="G3989" s="174" t="s">
        <v>5562</v>
      </c>
      <c r="H3989" s="174" t="s">
        <v>1750</v>
      </c>
      <c r="I3989" s="174" t="str">
        <f t="shared" si="1"/>
        <v>SUDESTE</v>
      </c>
    </row>
    <row r="3990" ht="14.25" customHeight="1">
      <c r="G3990" s="174" t="s">
        <v>5563</v>
      </c>
      <c r="H3990" s="174" t="s">
        <v>1690</v>
      </c>
      <c r="I3990" s="174" t="str">
        <f t="shared" si="1"/>
        <v>NORDESTE</v>
      </c>
    </row>
    <row r="3991" ht="14.25" customHeight="1">
      <c r="G3991" s="174" t="s">
        <v>5564</v>
      </c>
      <c r="H3991" s="174" t="s">
        <v>1666</v>
      </c>
      <c r="I3991" s="174" t="str">
        <f t="shared" si="1"/>
        <v>SUDESTE</v>
      </c>
    </row>
    <row r="3992" ht="14.25" customHeight="1">
      <c r="G3992" s="174" t="s">
        <v>5565</v>
      </c>
      <c r="H3992" s="174" t="s">
        <v>1666</v>
      </c>
      <c r="I3992" s="174" t="str">
        <f t="shared" si="1"/>
        <v>SUDESTE</v>
      </c>
    </row>
    <row r="3993" ht="14.25" customHeight="1">
      <c r="G3993" s="174" t="s">
        <v>5566</v>
      </c>
      <c r="H3993" s="174" t="s">
        <v>1742</v>
      </c>
      <c r="I3993" s="174" t="str">
        <f t="shared" si="1"/>
        <v>SUL</v>
      </c>
    </row>
    <row r="3994" ht="14.25" customHeight="1">
      <c r="G3994" s="174" t="s">
        <v>5567</v>
      </c>
      <c r="H3994" s="174" t="s">
        <v>1706</v>
      </c>
      <c r="I3994" s="174" t="str">
        <f t="shared" si="1"/>
        <v>SUL</v>
      </c>
    </row>
    <row r="3995" ht="14.25" customHeight="1">
      <c r="G3995" s="174" t="s">
        <v>5568</v>
      </c>
      <c r="H3995" s="174" t="s">
        <v>1713</v>
      </c>
      <c r="I3995" s="174" t="str">
        <f t="shared" si="1"/>
        <v>CENTRO OESTE</v>
      </c>
    </row>
    <row r="3996" ht="14.25" customHeight="1">
      <c r="G3996" s="174" t="s">
        <v>5569</v>
      </c>
      <c r="H3996" s="174" t="s">
        <v>1750</v>
      </c>
      <c r="I3996" s="174" t="str">
        <f t="shared" si="1"/>
        <v>SUDESTE</v>
      </c>
    </row>
    <row r="3997" ht="14.25" customHeight="1">
      <c r="G3997" s="174" t="s">
        <v>5570</v>
      </c>
      <c r="H3997" s="174" t="s">
        <v>1679</v>
      </c>
      <c r="I3997" s="174" t="str">
        <f t="shared" si="1"/>
        <v>NORTE</v>
      </c>
    </row>
    <row r="3998" ht="14.25" customHeight="1">
      <c r="G3998" s="174" t="s">
        <v>5571</v>
      </c>
      <c r="H3998" s="174" t="s">
        <v>1685</v>
      </c>
      <c r="I3998" s="174" t="str">
        <f t="shared" si="1"/>
        <v>NORDESTE</v>
      </c>
    </row>
    <row r="3999" ht="14.25" customHeight="1">
      <c r="G3999" s="174" t="s">
        <v>5572</v>
      </c>
      <c r="H3999" s="174" t="s">
        <v>1702</v>
      </c>
      <c r="I3999" s="174" t="str">
        <f t="shared" si="1"/>
        <v>SUL</v>
      </c>
    </row>
    <row r="4000" ht="14.25" customHeight="1">
      <c r="G4000" s="174" t="s">
        <v>5573</v>
      </c>
      <c r="H4000" s="174" t="s">
        <v>1750</v>
      </c>
      <c r="I4000" s="174" t="str">
        <f t="shared" si="1"/>
        <v>SUDESTE</v>
      </c>
    </row>
    <row r="4001" ht="14.25" customHeight="1">
      <c r="G4001" s="174" t="s">
        <v>5574</v>
      </c>
      <c r="H4001" s="174" t="s">
        <v>1666</v>
      </c>
      <c r="I4001" s="174" t="str">
        <f t="shared" si="1"/>
        <v>SUDESTE</v>
      </c>
    </row>
    <row r="4002" ht="14.25" customHeight="1">
      <c r="G4002" s="174" t="s">
        <v>5575</v>
      </c>
      <c r="H4002" s="174" t="s">
        <v>1750</v>
      </c>
      <c r="I4002" s="174" t="str">
        <f t="shared" si="1"/>
        <v>SUDESTE</v>
      </c>
    </row>
    <row r="4003" ht="14.25" customHeight="1">
      <c r="G4003" s="174" t="s">
        <v>5575</v>
      </c>
      <c r="H4003" s="174" t="s">
        <v>1706</v>
      </c>
      <c r="I4003" s="174" t="str">
        <f t="shared" si="1"/>
        <v>SUL</v>
      </c>
    </row>
    <row r="4004" ht="14.25" customHeight="1">
      <c r="G4004" s="174" t="s">
        <v>5576</v>
      </c>
      <c r="H4004" s="174" t="s">
        <v>1721</v>
      </c>
      <c r="I4004" s="174" t="str">
        <f t="shared" si="1"/>
        <v>NORTE</v>
      </c>
    </row>
    <row r="4005" ht="14.25" customHeight="1">
      <c r="G4005" s="174" t="s">
        <v>5577</v>
      </c>
      <c r="H4005" s="174" t="s">
        <v>1687</v>
      </c>
      <c r="I4005" s="174" t="str">
        <f t="shared" si="1"/>
        <v>NORTE</v>
      </c>
    </row>
    <row r="4006" ht="14.25" customHeight="1">
      <c r="G4006" s="174" t="s">
        <v>5578</v>
      </c>
      <c r="H4006" s="174" t="s">
        <v>1702</v>
      </c>
      <c r="I4006" s="174" t="str">
        <f t="shared" si="1"/>
        <v>SUL</v>
      </c>
    </row>
    <row r="4007" ht="14.25" customHeight="1">
      <c r="G4007" s="174" t="s">
        <v>5579</v>
      </c>
      <c r="H4007" s="174" t="s">
        <v>1719</v>
      </c>
      <c r="I4007" s="174" t="str">
        <f t="shared" si="1"/>
        <v>NORDESTE</v>
      </c>
    </row>
    <row r="4008" ht="14.25" customHeight="1">
      <c r="G4008" s="174" t="s">
        <v>5579</v>
      </c>
      <c r="H4008" s="174" t="s">
        <v>1666</v>
      </c>
      <c r="I4008" s="174" t="str">
        <f t="shared" si="1"/>
        <v>SUDESTE</v>
      </c>
    </row>
    <row r="4009" ht="14.25" customHeight="1">
      <c r="G4009" s="174" t="s">
        <v>5580</v>
      </c>
      <c r="H4009" s="174" t="s">
        <v>1725</v>
      </c>
      <c r="I4009" s="174" t="str">
        <f t="shared" si="1"/>
        <v>NORDESTE</v>
      </c>
    </row>
    <row r="4010" ht="14.25" customHeight="1">
      <c r="G4010" s="174" t="s">
        <v>5581</v>
      </c>
      <c r="H4010" s="174" t="s">
        <v>1750</v>
      </c>
      <c r="I4010" s="174" t="str">
        <f t="shared" si="1"/>
        <v>SUDESTE</v>
      </c>
    </row>
    <row r="4011" ht="14.25" customHeight="1">
      <c r="G4011" s="174" t="s">
        <v>5582</v>
      </c>
      <c r="H4011" s="174" t="s">
        <v>1666</v>
      </c>
      <c r="I4011" s="174" t="str">
        <f t="shared" si="1"/>
        <v>SUDESTE</v>
      </c>
    </row>
    <row r="4012" ht="14.25" customHeight="1">
      <c r="G4012" s="174" t="s">
        <v>5583</v>
      </c>
      <c r="H4012" s="174" t="s">
        <v>1666</v>
      </c>
      <c r="I4012" s="174" t="str">
        <f t="shared" si="1"/>
        <v>SUDESTE</v>
      </c>
    </row>
    <row r="4013" ht="14.25" customHeight="1">
      <c r="G4013" s="174" t="s">
        <v>5584</v>
      </c>
      <c r="H4013" s="174" t="s">
        <v>1750</v>
      </c>
      <c r="I4013" s="174" t="str">
        <f t="shared" si="1"/>
        <v>SUDESTE</v>
      </c>
    </row>
    <row r="4014" ht="14.25" customHeight="1">
      <c r="G4014" s="174" t="s">
        <v>5585</v>
      </c>
      <c r="H4014" s="174" t="s">
        <v>1666</v>
      </c>
      <c r="I4014" s="174" t="str">
        <f t="shared" si="1"/>
        <v>SUDESTE</v>
      </c>
    </row>
    <row r="4015" ht="14.25" customHeight="1">
      <c r="G4015" s="174" t="s">
        <v>5585</v>
      </c>
      <c r="H4015" s="174" t="s">
        <v>1750</v>
      </c>
      <c r="I4015" s="174" t="str">
        <f t="shared" si="1"/>
        <v>SUDESTE</v>
      </c>
    </row>
    <row r="4016" ht="14.25" customHeight="1">
      <c r="G4016" s="174" t="s">
        <v>5586</v>
      </c>
      <c r="H4016" s="174" t="s">
        <v>1702</v>
      </c>
      <c r="I4016" s="174" t="str">
        <f t="shared" si="1"/>
        <v>SUL</v>
      </c>
    </row>
    <row r="4017" ht="14.25" customHeight="1">
      <c r="G4017" s="174" t="s">
        <v>5586</v>
      </c>
      <c r="H4017" s="174" t="s">
        <v>1706</v>
      </c>
      <c r="I4017" s="174" t="str">
        <f t="shared" si="1"/>
        <v>SUL</v>
      </c>
    </row>
    <row r="4018" ht="14.25" customHeight="1">
      <c r="G4018" s="174" t="s">
        <v>5587</v>
      </c>
      <c r="H4018" s="174" t="s">
        <v>1704</v>
      </c>
      <c r="I4018" s="174" t="str">
        <f t="shared" si="1"/>
        <v>NORDESTE</v>
      </c>
    </row>
    <row r="4019" ht="14.25" customHeight="1">
      <c r="G4019" s="174" t="s">
        <v>5587</v>
      </c>
      <c r="H4019" s="174" t="s">
        <v>1685</v>
      </c>
      <c r="I4019" s="174" t="str">
        <f t="shared" si="1"/>
        <v>NORDESTE</v>
      </c>
    </row>
    <row r="4020" ht="14.25" customHeight="1">
      <c r="G4020" s="174" t="s">
        <v>5588</v>
      </c>
      <c r="H4020" s="174" t="s">
        <v>1750</v>
      </c>
      <c r="I4020" s="174" t="str">
        <f t="shared" si="1"/>
        <v>SUDESTE</v>
      </c>
    </row>
    <row r="4021" ht="14.25" customHeight="1">
      <c r="G4021" s="174" t="s">
        <v>5589</v>
      </c>
      <c r="H4021" s="174" t="s">
        <v>1672</v>
      </c>
      <c r="I4021" s="174" t="str">
        <f t="shared" si="1"/>
        <v>NORTE</v>
      </c>
    </row>
    <row r="4022" ht="14.25" customHeight="1">
      <c r="G4022" s="174" t="s">
        <v>5590</v>
      </c>
      <c r="H4022" s="174" t="s">
        <v>1706</v>
      </c>
      <c r="I4022" s="174" t="str">
        <f t="shared" si="1"/>
        <v>SUL</v>
      </c>
    </row>
    <row r="4023" ht="14.25" customHeight="1">
      <c r="G4023" s="174" t="s">
        <v>5591</v>
      </c>
      <c r="H4023" s="174" t="s">
        <v>1685</v>
      </c>
      <c r="I4023" s="174" t="str">
        <f t="shared" si="1"/>
        <v>NORDESTE</v>
      </c>
    </row>
    <row r="4024" ht="14.25" customHeight="1">
      <c r="G4024" s="174" t="s">
        <v>5592</v>
      </c>
      <c r="H4024" s="174" t="s">
        <v>1704</v>
      </c>
      <c r="I4024" s="174" t="str">
        <f t="shared" si="1"/>
        <v>NORDESTE</v>
      </c>
    </row>
    <row r="4025" ht="14.25" customHeight="1">
      <c r="G4025" s="174" t="s">
        <v>5592</v>
      </c>
      <c r="H4025" s="174" t="s">
        <v>1733</v>
      </c>
      <c r="I4025" s="174" t="str">
        <f t="shared" si="1"/>
        <v>NORDESTE</v>
      </c>
    </row>
    <row r="4026" ht="14.25" customHeight="1">
      <c r="G4026" s="174" t="s">
        <v>5592</v>
      </c>
      <c r="H4026" s="174" t="s">
        <v>1666</v>
      </c>
      <c r="I4026" s="174" t="str">
        <f t="shared" si="1"/>
        <v>SUDESTE</v>
      </c>
    </row>
    <row r="4027" ht="14.25" customHeight="1">
      <c r="G4027" s="174" t="s">
        <v>5593</v>
      </c>
      <c r="H4027" s="174" t="s">
        <v>1721</v>
      </c>
      <c r="I4027" s="174" t="str">
        <f t="shared" si="1"/>
        <v>NORTE</v>
      </c>
    </row>
    <row r="4028" ht="14.25" customHeight="1">
      <c r="G4028" s="174" t="s">
        <v>5593</v>
      </c>
      <c r="H4028" s="174" t="s">
        <v>1698</v>
      </c>
      <c r="I4028" s="174" t="str">
        <f t="shared" si="1"/>
        <v>SUDESTE</v>
      </c>
    </row>
    <row r="4029" ht="14.25" customHeight="1">
      <c r="G4029" s="174" t="s">
        <v>5594</v>
      </c>
      <c r="H4029" s="174" t="s">
        <v>1666</v>
      </c>
      <c r="I4029" s="174" t="str">
        <f t="shared" si="1"/>
        <v>SUDESTE</v>
      </c>
    </row>
    <row r="4030" ht="14.25" customHeight="1">
      <c r="G4030" s="174" t="s">
        <v>5595</v>
      </c>
      <c r="H4030" s="174" t="s">
        <v>1742</v>
      </c>
      <c r="I4030" s="174" t="str">
        <f t="shared" si="1"/>
        <v>SUL</v>
      </c>
    </row>
    <row r="4031" ht="14.25" customHeight="1">
      <c r="G4031" s="174" t="s">
        <v>5596</v>
      </c>
      <c r="H4031" s="174" t="s">
        <v>1736</v>
      </c>
      <c r="I4031" s="174" t="str">
        <f t="shared" si="1"/>
        <v>NORTE</v>
      </c>
    </row>
    <row r="4032" ht="14.25" customHeight="1">
      <c r="G4032" s="174" t="s">
        <v>5596</v>
      </c>
      <c r="H4032" s="174" t="s">
        <v>1704</v>
      </c>
      <c r="I4032" s="174" t="str">
        <f t="shared" si="1"/>
        <v>NORDESTE</v>
      </c>
    </row>
    <row r="4033" ht="14.25" customHeight="1">
      <c r="G4033" s="174" t="s">
        <v>5597</v>
      </c>
      <c r="H4033" s="174" t="s">
        <v>1706</v>
      </c>
      <c r="I4033" s="174" t="str">
        <f t="shared" si="1"/>
        <v>SUL</v>
      </c>
    </row>
    <row r="4034" ht="14.25" customHeight="1">
      <c r="G4034" s="174" t="s">
        <v>5598</v>
      </c>
      <c r="H4034" s="174" t="s">
        <v>1666</v>
      </c>
      <c r="I4034" s="174" t="str">
        <f t="shared" si="1"/>
        <v>SUDESTE</v>
      </c>
    </row>
    <row r="4035" ht="14.25" customHeight="1">
      <c r="G4035" s="174" t="s">
        <v>5599</v>
      </c>
      <c r="H4035" s="174" t="s">
        <v>1750</v>
      </c>
      <c r="I4035" s="174" t="str">
        <f t="shared" si="1"/>
        <v>SUDESTE</v>
      </c>
    </row>
    <row r="4036" ht="14.25" customHeight="1">
      <c r="G4036" s="174" t="s">
        <v>5600</v>
      </c>
      <c r="H4036" s="174" t="s">
        <v>1704</v>
      </c>
      <c r="I4036" s="174" t="str">
        <f t="shared" si="1"/>
        <v>NORDESTE</v>
      </c>
    </row>
    <row r="4037" ht="14.25" customHeight="1">
      <c r="G4037" s="174" t="s">
        <v>5601</v>
      </c>
      <c r="H4037" s="174" t="s">
        <v>1685</v>
      </c>
      <c r="I4037" s="174" t="str">
        <f t="shared" si="1"/>
        <v>NORDESTE</v>
      </c>
    </row>
    <row r="4038" ht="14.25" customHeight="1">
      <c r="G4038" s="174" t="s">
        <v>5602</v>
      </c>
      <c r="H4038" s="174" t="s">
        <v>1704</v>
      </c>
      <c r="I4038" s="174" t="str">
        <f t="shared" si="1"/>
        <v>NORDESTE</v>
      </c>
    </row>
    <row r="4039" ht="14.25" customHeight="1">
      <c r="G4039" s="174" t="s">
        <v>5603</v>
      </c>
      <c r="H4039" s="174" t="s">
        <v>1750</v>
      </c>
      <c r="I4039" s="174" t="str">
        <f t="shared" si="1"/>
        <v>SUDESTE</v>
      </c>
    </row>
    <row r="4040" ht="14.25" customHeight="1">
      <c r="G4040" s="174" t="s">
        <v>5604</v>
      </c>
      <c r="H4040" s="174" t="s">
        <v>1687</v>
      </c>
      <c r="I4040" s="174" t="str">
        <f t="shared" si="1"/>
        <v>NORTE</v>
      </c>
    </row>
    <row r="4041" ht="14.25" customHeight="1">
      <c r="G4041" s="174" t="s">
        <v>5604</v>
      </c>
      <c r="H4041" s="174" t="s">
        <v>1717</v>
      </c>
      <c r="I4041" s="174" t="str">
        <f t="shared" si="1"/>
        <v>NORDESTE</v>
      </c>
    </row>
    <row r="4042" ht="14.25" customHeight="1">
      <c r="G4042" s="174" t="s">
        <v>5605</v>
      </c>
      <c r="H4042" s="174" t="s">
        <v>1736</v>
      </c>
      <c r="I4042" s="174" t="str">
        <f t="shared" si="1"/>
        <v>NORTE</v>
      </c>
    </row>
    <row r="4043" ht="14.25" customHeight="1">
      <c r="G4043" s="174" t="s">
        <v>5606</v>
      </c>
      <c r="H4043" s="174" t="s">
        <v>1713</v>
      </c>
      <c r="I4043" s="174" t="str">
        <f t="shared" si="1"/>
        <v>CENTRO OESTE</v>
      </c>
    </row>
    <row r="4044" ht="14.25" customHeight="1">
      <c r="G4044" s="174" t="s">
        <v>5607</v>
      </c>
      <c r="H4044" s="174" t="s">
        <v>1704</v>
      </c>
      <c r="I4044" s="174" t="str">
        <f t="shared" si="1"/>
        <v>NORDESTE</v>
      </c>
    </row>
    <row r="4045" ht="14.25" customHeight="1">
      <c r="G4045" s="174" t="s">
        <v>5608</v>
      </c>
      <c r="H4045" s="174" t="s">
        <v>1702</v>
      </c>
      <c r="I4045" s="174" t="str">
        <f t="shared" si="1"/>
        <v>SUL</v>
      </c>
    </row>
    <row r="4046" ht="14.25" customHeight="1">
      <c r="G4046" s="174" t="s">
        <v>5609</v>
      </c>
      <c r="H4046" s="174" t="s">
        <v>1706</v>
      </c>
      <c r="I4046" s="174" t="str">
        <f t="shared" si="1"/>
        <v>SUL</v>
      </c>
    </row>
    <row r="4047" ht="14.25" customHeight="1">
      <c r="G4047" s="174" t="s">
        <v>5610</v>
      </c>
      <c r="H4047" s="174" t="s">
        <v>1719</v>
      </c>
      <c r="I4047" s="174" t="str">
        <f t="shared" si="1"/>
        <v>NORDESTE</v>
      </c>
    </row>
    <row r="4048" ht="14.25" customHeight="1">
      <c r="G4048" s="174" t="s">
        <v>5611</v>
      </c>
      <c r="H4048" s="174" t="s">
        <v>1658</v>
      </c>
      <c r="I4048" s="174" t="str">
        <f t="shared" si="1"/>
        <v>CENTRO OESTE</v>
      </c>
    </row>
    <row r="4049" ht="14.25" customHeight="1">
      <c r="G4049" s="174" t="s">
        <v>5612</v>
      </c>
      <c r="H4049" s="174" t="s">
        <v>1742</v>
      </c>
      <c r="I4049" s="174" t="str">
        <f t="shared" si="1"/>
        <v>SUL</v>
      </c>
    </row>
    <row r="4050" ht="14.25" customHeight="1">
      <c r="G4050" s="174" t="s">
        <v>5613</v>
      </c>
      <c r="H4050" s="174" t="s">
        <v>1750</v>
      </c>
      <c r="I4050" s="174" t="str">
        <f t="shared" si="1"/>
        <v>SUDESTE</v>
      </c>
    </row>
    <row r="4051" ht="14.25" customHeight="1">
      <c r="G4051" s="174" t="s">
        <v>5614</v>
      </c>
      <c r="H4051" s="174" t="s">
        <v>1747</v>
      </c>
      <c r="I4051" s="174" t="str">
        <f t="shared" si="1"/>
        <v>NORDESTE</v>
      </c>
    </row>
    <row r="4052" ht="14.25" customHeight="1">
      <c r="G4052" s="174" t="s">
        <v>5615</v>
      </c>
      <c r="H4052" s="174" t="s">
        <v>1742</v>
      </c>
      <c r="I4052" s="174" t="str">
        <f t="shared" si="1"/>
        <v>SUL</v>
      </c>
    </row>
    <row r="4053" ht="14.25" customHeight="1">
      <c r="G4053" s="174" t="s">
        <v>5616</v>
      </c>
      <c r="H4053" s="174" t="s">
        <v>1666</v>
      </c>
      <c r="I4053" s="174" t="str">
        <f t="shared" si="1"/>
        <v>SUDESTE</v>
      </c>
    </row>
    <row r="4054" ht="14.25" customHeight="1">
      <c r="G4054" s="174" t="s">
        <v>5617</v>
      </c>
      <c r="H4054" s="174" t="s">
        <v>1702</v>
      </c>
      <c r="I4054" s="174" t="str">
        <f t="shared" si="1"/>
        <v>SUL</v>
      </c>
    </row>
    <row r="4055" ht="14.25" customHeight="1">
      <c r="G4055" s="174" t="s">
        <v>5618</v>
      </c>
      <c r="H4055" s="174" t="s">
        <v>1721</v>
      </c>
      <c r="I4055" s="174" t="str">
        <f t="shared" si="1"/>
        <v>NORTE</v>
      </c>
    </row>
    <row r="4056" ht="14.25" customHeight="1">
      <c r="G4056" s="174" t="s">
        <v>5619</v>
      </c>
      <c r="H4056" s="174" t="s">
        <v>1733</v>
      </c>
      <c r="I4056" s="174" t="str">
        <f t="shared" si="1"/>
        <v>NORDESTE</v>
      </c>
    </row>
    <row r="4057" ht="14.25" customHeight="1">
      <c r="G4057" s="174" t="s">
        <v>5620</v>
      </c>
      <c r="H4057" s="174" t="s">
        <v>1742</v>
      </c>
      <c r="I4057" s="174" t="str">
        <f t="shared" si="1"/>
        <v>SUL</v>
      </c>
    </row>
    <row r="4058" ht="14.25" customHeight="1">
      <c r="G4058" s="174" t="s">
        <v>5621</v>
      </c>
      <c r="H4058" s="174" t="s">
        <v>1719</v>
      </c>
      <c r="I4058" s="174" t="str">
        <f t="shared" si="1"/>
        <v>NORDESTE</v>
      </c>
    </row>
    <row r="4059" ht="14.25" customHeight="1">
      <c r="G4059" s="174" t="s">
        <v>5622</v>
      </c>
      <c r="H4059" s="174" t="s">
        <v>1750</v>
      </c>
      <c r="I4059" s="174" t="str">
        <f t="shared" si="1"/>
        <v>SUDESTE</v>
      </c>
    </row>
    <row r="4060" ht="14.25" customHeight="1">
      <c r="G4060" s="174" t="s">
        <v>5623</v>
      </c>
      <c r="H4060" s="174" t="s">
        <v>1742</v>
      </c>
      <c r="I4060" s="174" t="str">
        <f t="shared" si="1"/>
        <v>SUL</v>
      </c>
    </row>
    <row r="4061" ht="14.25" customHeight="1">
      <c r="G4061" s="174" t="s">
        <v>5624</v>
      </c>
      <c r="H4061" s="174" t="s">
        <v>1666</v>
      </c>
      <c r="I4061" s="174" t="str">
        <f t="shared" si="1"/>
        <v>SUDESTE</v>
      </c>
    </row>
    <row r="4062" ht="14.25" customHeight="1">
      <c r="G4062" s="174" t="s">
        <v>5625</v>
      </c>
      <c r="H4062" s="174" t="s">
        <v>1702</v>
      </c>
      <c r="I4062" s="174" t="str">
        <f t="shared" si="1"/>
        <v>SUL</v>
      </c>
    </row>
    <row r="4063" ht="14.25" customHeight="1">
      <c r="G4063" s="174" t="s">
        <v>5626</v>
      </c>
      <c r="H4063" s="174" t="s">
        <v>1750</v>
      </c>
      <c r="I4063" s="174" t="str">
        <f t="shared" si="1"/>
        <v>SUDESTE</v>
      </c>
    </row>
    <row r="4064" ht="14.25" customHeight="1">
      <c r="G4064" s="174" t="s">
        <v>5627</v>
      </c>
      <c r="H4064" s="174" t="s">
        <v>1702</v>
      </c>
      <c r="I4064" s="174" t="str">
        <f t="shared" si="1"/>
        <v>SUL</v>
      </c>
    </row>
    <row r="4065" ht="14.25" customHeight="1">
      <c r="G4065" s="174" t="s">
        <v>5628</v>
      </c>
      <c r="H4065" s="174" t="s">
        <v>1687</v>
      </c>
      <c r="I4065" s="174" t="str">
        <f t="shared" si="1"/>
        <v>NORTE</v>
      </c>
    </row>
    <row r="4066" ht="14.25" customHeight="1">
      <c r="G4066" s="174" t="s">
        <v>5629</v>
      </c>
      <c r="H4066" s="174" t="s">
        <v>1730</v>
      </c>
      <c r="I4066" s="174" t="str">
        <f t="shared" si="1"/>
        <v>SUDESTE</v>
      </c>
    </row>
    <row r="4067" ht="14.25" customHeight="1">
      <c r="G4067" s="174" t="s">
        <v>5630</v>
      </c>
      <c r="H4067" s="174" t="s">
        <v>1702</v>
      </c>
      <c r="I4067" s="174" t="str">
        <f t="shared" si="1"/>
        <v>SUL</v>
      </c>
    </row>
    <row r="4068" ht="14.25" customHeight="1">
      <c r="G4068" s="174" t="s">
        <v>5631</v>
      </c>
      <c r="H4068" s="174" t="s">
        <v>1742</v>
      </c>
      <c r="I4068" s="174" t="str">
        <f t="shared" si="1"/>
        <v>SUL</v>
      </c>
    </row>
    <row r="4069" ht="14.25" customHeight="1">
      <c r="G4069" s="174" t="s">
        <v>5632</v>
      </c>
      <c r="H4069" s="174" t="s">
        <v>1702</v>
      </c>
      <c r="I4069" s="174" t="str">
        <f t="shared" si="1"/>
        <v>SUL</v>
      </c>
    </row>
    <row r="4070" ht="14.25" customHeight="1">
      <c r="G4070" s="174" t="s">
        <v>5633</v>
      </c>
      <c r="H4070" s="174" t="s">
        <v>1664</v>
      </c>
      <c r="I4070" s="174" t="str">
        <f t="shared" si="1"/>
        <v>NORDESTE</v>
      </c>
    </row>
    <row r="4071" ht="14.25" customHeight="1">
      <c r="G4071" s="174" t="s">
        <v>5634</v>
      </c>
      <c r="H4071" s="174" t="s">
        <v>1702</v>
      </c>
      <c r="I4071" s="174" t="str">
        <f t="shared" si="1"/>
        <v>SUL</v>
      </c>
    </row>
    <row r="4072" ht="14.25" customHeight="1">
      <c r="G4072" s="174" t="s">
        <v>5635</v>
      </c>
      <c r="H4072" s="174" t="s">
        <v>1725</v>
      </c>
      <c r="I4072" s="174" t="str">
        <f t="shared" si="1"/>
        <v>NORDESTE</v>
      </c>
    </row>
    <row r="4073" ht="14.25" customHeight="1">
      <c r="G4073" s="174" t="s">
        <v>5636</v>
      </c>
      <c r="H4073" s="174" t="s">
        <v>1719</v>
      </c>
      <c r="I4073" s="174" t="str">
        <f t="shared" si="1"/>
        <v>NORDESTE</v>
      </c>
    </row>
    <row r="4074" ht="14.25" customHeight="1">
      <c r="G4074" s="174" t="s">
        <v>5636</v>
      </c>
      <c r="H4074" s="174" t="s">
        <v>1685</v>
      </c>
      <c r="I4074" s="174" t="str">
        <f t="shared" si="1"/>
        <v>NORDESTE</v>
      </c>
    </row>
    <row r="4075" ht="14.25" customHeight="1">
      <c r="G4075" s="174" t="s">
        <v>5637</v>
      </c>
      <c r="H4075" s="174" t="s">
        <v>1730</v>
      </c>
      <c r="I4075" s="174" t="str">
        <f t="shared" si="1"/>
        <v>SUDESTE</v>
      </c>
    </row>
    <row r="4076" ht="14.25" customHeight="1">
      <c r="G4076" s="174" t="s">
        <v>5638</v>
      </c>
      <c r="H4076" s="174" t="s">
        <v>1750</v>
      </c>
      <c r="I4076" s="174" t="str">
        <f t="shared" si="1"/>
        <v>SUDESTE</v>
      </c>
    </row>
    <row r="4077" ht="14.25" customHeight="1">
      <c r="G4077" s="174" t="s">
        <v>5639</v>
      </c>
      <c r="H4077" s="174" t="s">
        <v>1750</v>
      </c>
      <c r="I4077" s="174" t="str">
        <f t="shared" si="1"/>
        <v>SUDESTE</v>
      </c>
    </row>
    <row r="4078" ht="14.25" customHeight="1">
      <c r="G4078" s="174" t="s">
        <v>5640</v>
      </c>
      <c r="H4078" s="174" t="s">
        <v>1666</v>
      </c>
      <c r="I4078" s="174" t="str">
        <f t="shared" si="1"/>
        <v>SUDESTE</v>
      </c>
    </row>
    <row r="4079" ht="14.25" customHeight="1">
      <c r="G4079" s="174" t="s">
        <v>5641</v>
      </c>
      <c r="H4079" s="174" t="s">
        <v>1713</v>
      </c>
      <c r="I4079" s="174" t="str">
        <f t="shared" si="1"/>
        <v>CENTRO OESTE</v>
      </c>
    </row>
    <row r="4080" ht="14.25" customHeight="1">
      <c r="G4080" s="174" t="s">
        <v>5642</v>
      </c>
      <c r="H4080" s="174" t="s">
        <v>1702</v>
      </c>
      <c r="I4080" s="174" t="str">
        <f t="shared" si="1"/>
        <v>SUL</v>
      </c>
    </row>
    <row r="4081" ht="14.25" customHeight="1">
      <c r="G4081" s="174" t="s">
        <v>5643</v>
      </c>
      <c r="H4081" s="174" t="s">
        <v>1742</v>
      </c>
      <c r="I4081" s="174" t="str">
        <f t="shared" si="1"/>
        <v>SUL</v>
      </c>
    </row>
    <row r="4082" ht="14.25" customHeight="1">
      <c r="G4082" s="174" t="s">
        <v>5644</v>
      </c>
      <c r="H4082" s="174" t="s">
        <v>1685</v>
      </c>
      <c r="I4082" s="174" t="str">
        <f t="shared" si="1"/>
        <v>NORDESTE</v>
      </c>
    </row>
    <row r="4083" ht="14.25" customHeight="1">
      <c r="G4083" s="174" t="s">
        <v>5645</v>
      </c>
      <c r="H4083" s="174" t="s">
        <v>1706</v>
      </c>
      <c r="I4083" s="174" t="str">
        <f t="shared" si="1"/>
        <v>SUL</v>
      </c>
    </row>
    <row r="4084" ht="14.25" customHeight="1">
      <c r="G4084" s="174" t="s">
        <v>5646</v>
      </c>
      <c r="H4084" s="174" t="s">
        <v>1702</v>
      </c>
      <c r="I4084" s="174" t="str">
        <f t="shared" si="1"/>
        <v>SUL</v>
      </c>
    </row>
    <row r="4085" ht="14.25" customHeight="1">
      <c r="G4085" s="174" t="s">
        <v>5647</v>
      </c>
      <c r="H4085" s="174" t="s">
        <v>1750</v>
      </c>
      <c r="I4085" s="174" t="str">
        <f t="shared" si="1"/>
        <v>SUDESTE</v>
      </c>
    </row>
    <row r="4086" ht="14.25" customHeight="1">
      <c r="G4086" s="174" t="s">
        <v>5648</v>
      </c>
      <c r="H4086" s="174" t="s">
        <v>1742</v>
      </c>
      <c r="I4086" s="174" t="str">
        <f t="shared" si="1"/>
        <v>SUL</v>
      </c>
    </row>
    <row r="4087" ht="14.25" customHeight="1">
      <c r="G4087" s="174" t="s">
        <v>5649</v>
      </c>
      <c r="H4087" s="174" t="s">
        <v>1717</v>
      </c>
      <c r="I4087" s="174" t="str">
        <f t="shared" si="1"/>
        <v>NORDESTE</v>
      </c>
    </row>
    <row r="4088" ht="14.25" customHeight="1">
      <c r="G4088" s="174" t="s">
        <v>5650</v>
      </c>
      <c r="H4088" s="174" t="s">
        <v>1658</v>
      </c>
      <c r="I4088" s="174" t="str">
        <f t="shared" si="1"/>
        <v>CENTRO OESTE</v>
      </c>
    </row>
    <row r="4089" ht="14.25" customHeight="1">
      <c r="G4089" s="174" t="s">
        <v>5651</v>
      </c>
      <c r="H4089" s="174" t="s">
        <v>1730</v>
      </c>
      <c r="I4089" s="174" t="str">
        <f t="shared" si="1"/>
        <v>SUDESTE</v>
      </c>
    </row>
    <row r="4090" ht="14.25" customHeight="1">
      <c r="G4090" s="174" t="s">
        <v>5652</v>
      </c>
      <c r="H4090" s="174" t="s">
        <v>1702</v>
      </c>
      <c r="I4090" s="174" t="str">
        <f t="shared" si="1"/>
        <v>SUL</v>
      </c>
    </row>
    <row r="4091" ht="14.25" customHeight="1">
      <c r="G4091" s="174" t="s">
        <v>5653</v>
      </c>
      <c r="H4091" s="174" t="s">
        <v>1690</v>
      </c>
      <c r="I4091" s="174" t="str">
        <f t="shared" si="1"/>
        <v>NORDESTE</v>
      </c>
    </row>
    <row r="4092" ht="14.25" customHeight="1">
      <c r="G4092" s="174" t="s">
        <v>5654</v>
      </c>
      <c r="H4092" s="174" t="s">
        <v>1717</v>
      </c>
      <c r="I4092" s="174" t="str">
        <f t="shared" si="1"/>
        <v>NORDESTE</v>
      </c>
    </row>
    <row r="4093" ht="14.25" customHeight="1">
      <c r="G4093" s="174" t="s">
        <v>5655</v>
      </c>
      <c r="H4093" s="174" t="s">
        <v>1719</v>
      </c>
      <c r="I4093" s="174" t="str">
        <f t="shared" si="1"/>
        <v>NORDESTE</v>
      </c>
    </row>
    <row r="4094" ht="14.25" customHeight="1">
      <c r="G4094" s="174" t="s">
        <v>5656</v>
      </c>
      <c r="H4094" s="174" t="s">
        <v>1685</v>
      </c>
      <c r="I4094" s="174" t="str">
        <f t="shared" si="1"/>
        <v>NORDESTE</v>
      </c>
    </row>
    <row r="4095" ht="14.25" customHeight="1">
      <c r="G4095" s="174" t="s">
        <v>5657</v>
      </c>
      <c r="H4095" s="174" t="s">
        <v>1690</v>
      </c>
      <c r="I4095" s="174" t="str">
        <f t="shared" si="1"/>
        <v>NORDESTE</v>
      </c>
    </row>
    <row r="4096" ht="14.25" customHeight="1">
      <c r="G4096" s="174" t="s">
        <v>5658</v>
      </c>
      <c r="H4096" s="174" t="s">
        <v>1690</v>
      </c>
      <c r="I4096" s="174" t="str">
        <f t="shared" si="1"/>
        <v>NORDESTE</v>
      </c>
    </row>
    <row r="4097" ht="14.25" customHeight="1">
      <c r="G4097" s="174" t="s">
        <v>5659</v>
      </c>
      <c r="H4097" s="174" t="s">
        <v>1690</v>
      </c>
      <c r="I4097" s="174" t="str">
        <f t="shared" si="1"/>
        <v>NORDESTE</v>
      </c>
    </row>
    <row r="4098" ht="14.25" customHeight="1">
      <c r="G4098" s="174" t="s">
        <v>5660</v>
      </c>
      <c r="H4098" s="174" t="s">
        <v>1690</v>
      </c>
      <c r="I4098" s="174" t="str">
        <f t="shared" si="1"/>
        <v>NORDESTE</v>
      </c>
    </row>
    <row r="4099" ht="14.25" customHeight="1">
      <c r="G4099" s="174" t="s">
        <v>5661</v>
      </c>
      <c r="H4099" s="174" t="s">
        <v>1733</v>
      </c>
      <c r="I4099" s="174" t="str">
        <f t="shared" si="1"/>
        <v>NORDESTE</v>
      </c>
    </row>
    <row r="4100" ht="14.25" customHeight="1">
      <c r="G4100" s="174" t="s">
        <v>5662</v>
      </c>
      <c r="H4100" s="174" t="s">
        <v>1733</v>
      </c>
      <c r="I4100" s="174" t="str">
        <f t="shared" si="1"/>
        <v>NORDESTE</v>
      </c>
    </row>
    <row r="4101" ht="14.25" customHeight="1">
      <c r="G4101" s="174" t="s">
        <v>5663</v>
      </c>
      <c r="H4101" s="174" t="s">
        <v>1685</v>
      </c>
      <c r="I4101" s="174" t="str">
        <f t="shared" si="1"/>
        <v>NORDESTE</v>
      </c>
    </row>
    <row r="4102" ht="14.25" customHeight="1">
      <c r="G4102" s="174" t="s">
        <v>5664</v>
      </c>
      <c r="H4102" s="174" t="s">
        <v>1750</v>
      </c>
      <c r="I4102" s="174" t="str">
        <f t="shared" si="1"/>
        <v>SUDESTE</v>
      </c>
    </row>
    <row r="4103" ht="14.25" customHeight="1">
      <c r="G4103" s="174" t="s">
        <v>5665</v>
      </c>
      <c r="H4103" s="174" t="s">
        <v>1702</v>
      </c>
      <c r="I4103" s="174" t="str">
        <f t="shared" si="1"/>
        <v>SUL</v>
      </c>
    </row>
    <row r="4104" ht="14.25" customHeight="1">
      <c r="G4104" s="174" t="s">
        <v>5666</v>
      </c>
      <c r="H4104" s="174" t="s">
        <v>1750</v>
      </c>
      <c r="I4104" s="174" t="str">
        <f t="shared" si="1"/>
        <v>SUDESTE</v>
      </c>
    </row>
    <row r="4105" ht="14.25" customHeight="1">
      <c r="G4105" s="174" t="s">
        <v>5667</v>
      </c>
      <c r="H4105" s="174" t="s">
        <v>1702</v>
      </c>
      <c r="I4105" s="174" t="str">
        <f t="shared" si="1"/>
        <v>SUL</v>
      </c>
    </row>
    <row r="4106" ht="14.25" customHeight="1">
      <c r="G4106" s="174" t="s">
        <v>5668</v>
      </c>
      <c r="H4106" s="174" t="s">
        <v>1702</v>
      </c>
      <c r="I4106" s="174" t="str">
        <f t="shared" si="1"/>
        <v>SUL</v>
      </c>
    </row>
    <row r="4107" ht="14.25" customHeight="1">
      <c r="G4107" s="174" t="s">
        <v>5669</v>
      </c>
      <c r="H4107" s="174" t="s">
        <v>1706</v>
      </c>
      <c r="I4107" s="174" t="str">
        <f t="shared" si="1"/>
        <v>SUL</v>
      </c>
    </row>
    <row r="4108" ht="14.25" customHeight="1">
      <c r="G4108" s="174" t="s">
        <v>5670</v>
      </c>
      <c r="H4108" s="174" t="s">
        <v>1704</v>
      </c>
      <c r="I4108" s="174" t="str">
        <f t="shared" si="1"/>
        <v>NORDESTE</v>
      </c>
    </row>
    <row r="4109" ht="14.25" customHeight="1">
      <c r="G4109" s="174" t="s">
        <v>5671</v>
      </c>
      <c r="H4109" s="174" t="s">
        <v>1666</v>
      </c>
      <c r="I4109" s="174" t="str">
        <f t="shared" si="1"/>
        <v>SUDESTE</v>
      </c>
    </row>
    <row r="4110" ht="14.25" customHeight="1">
      <c r="G4110" s="174" t="s">
        <v>5672</v>
      </c>
      <c r="H4110" s="174" t="s">
        <v>1666</v>
      </c>
      <c r="I4110" s="174" t="str">
        <f t="shared" si="1"/>
        <v>SUDESTE</v>
      </c>
    </row>
    <row r="4111" ht="14.25" customHeight="1">
      <c r="G4111" s="174" t="s">
        <v>5673</v>
      </c>
      <c r="H4111" s="174" t="s">
        <v>1702</v>
      </c>
      <c r="I4111" s="174" t="str">
        <f t="shared" si="1"/>
        <v>SUL</v>
      </c>
    </row>
    <row r="4112" ht="14.25" customHeight="1">
      <c r="G4112" s="174" t="s">
        <v>5674</v>
      </c>
      <c r="H4112" s="174" t="s">
        <v>1702</v>
      </c>
      <c r="I4112" s="174" t="str">
        <f t="shared" si="1"/>
        <v>SUL</v>
      </c>
    </row>
    <row r="4113" ht="14.25" customHeight="1">
      <c r="G4113" s="174" t="s">
        <v>5675</v>
      </c>
      <c r="H4113" s="174" t="s">
        <v>1717</v>
      </c>
      <c r="I4113" s="174" t="str">
        <f t="shared" si="1"/>
        <v>NORDESTE</v>
      </c>
    </row>
    <row r="4114" ht="14.25" customHeight="1">
      <c r="G4114" s="174" t="s">
        <v>5676</v>
      </c>
      <c r="H4114" s="174" t="s">
        <v>1666</v>
      </c>
      <c r="I4114" s="174" t="str">
        <f t="shared" si="1"/>
        <v>SUDESTE</v>
      </c>
    </row>
    <row r="4115" ht="14.25" customHeight="1">
      <c r="G4115" s="174" t="s">
        <v>5677</v>
      </c>
      <c r="H4115" s="174" t="s">
        <v>1721</v>
      </c>
      <c r="I4115" s="174" t="str">
        <f t="shared" si="1"/>
        <v>NORTE</v>
      </c>
    </row>
    <row r="4116" ht="14.25" customHeight="1">
      <c r="G4116" s="174" t="s">
        <v>5678</v>
      </c>
      <c r="H4116" s="174" t="s">
        <v>1687</v>
      </c>
      <c r="I4116" s="174" t="str">
        <f t="shared" si="1"/>
        <v>NORTE</v>
      </c>
    </row>
    <row r="4117" ht="14.25" customHeight="1">
      <c r="G4117" s="174" t="s">
        <v>5678</v>
      </c>
      <c r="H4117" s="174" t="s">
        <v>1690</v>
      </c>
      <c r="I4117" s="174" t="str">
        <f t="shared" si="1"/>
        <v>NORDESTE</v>
      </c>
    </row>
    <row r="4118" ht="14.25" customHeight="1">
      <c r="G4118" s="174" t="s">
        <v>5679</v>
      </c>
      <c r="H4118" s="174" t="s">
        <v>1750</v>
      </c>
      <c r="I4118" s="174" t="str">
        <f t="shared" si="1"/>
        <v>SUDESTE</v>
      </c>
    </row>
    <row r="4119" ht="14.25" customHeight="1">
      <c r="G4119" s="174" t="s">
        <v>5680</v>
      </c>
      <c r="H4119" s="174" t="s">
        <v>1725</v>
      </c>
      <c r="I4119" s="174" t="str">
        <f t="shared" si="1"/>
        <v>NORDESTE</v>
      </c>
    </row>
    <row r="4120" ht="14.25" customHeight="1">
      <c r="G4120" s="174" t="s">
        <v>5681</v>
      </c>
      <c r="H4120" s="174" t="s">
        <v>1742</v>
      </c>
      <c r="I4120" s="174" t="str">
        <f t="shared" si="1"/>
        <v>SUL</v>
      </c>
    </row>
    <row r="4121" ht="14.25" customHeight="1">
      <c r="G4121" s="174" t="s">
        <v>5682</v>
      </c>
      <c r="H4121" s="174" t="s">
        <v>1666</v>
      </c>
      <c r="I4121" s="174" t="str">
        <f t="shared" si="1"/>
        <v>SUDESTE</v>
      </c>
    </row>
    <row r="4122" ht="14.25" customHeight="1">
      <c r="G4122" s="174" t="s">
        <v>5683</v>
      </c>
      <c r="H4122" s="174" t="s">
        <v>1725</v>
      </c>
      <c r="I4122" s="174" t="str">
        <f t="shared" si="1"/>
        <v>NORDESTE</v>
      </c>
    </row>
    <row r="4123" ht="14.25" customHeight="1">
      <c r="G4123" s="174" t="s">
        <v>5684</v>
      </c>
      <c r="H4123" s="174" t="s">
        <v>1750</v>
      </c>
      <c r="I4123" s="174" t="str">
        <f t="shared" si="1"/>
        <v>SUDESTE</v>
      </c>
    </row>
    <row r="4124" ht="14.25" customHeight="1">
      <c r="G4124" s="174" t="s">
        <v>5685</v>
      </c>
      <c r="H4124" s="174" t="s">
        <v>1750</v>
      </c>
      <c r="I4124" s="174" t="str">
        <f t="shared" si="1"/>
        <v>SUDESTE</v>
      </c>
    </row>
    <row r="4125" ht="14.25" customHeight="1">
      <c r="G4125" s="174" t="s">
        <v>5686</v>
      </c>
      <c r="H4125" s="174" t="s">
        <v>1750</v>
      </c>
      <c r="I4125" s="174" t="str">
        <f t="shared" si="1"/>
        <v>SUDESTE</v>
      </c>
    </row>
    <row r="4126" ht="14.25" customHeight="1">
      <c r="G4126" s="174" t="s">
        <v>5687</v>
      </c>
      <c r="H4126" s="174" t="s">
        <v>1742</v>
      </c>
      <c r="I4126" s="174" t="str">
        <f t="shared" si="1"/>
        <v>SUL</v>
      </c>
    </row>
    <row r="4127" ht="14.25" customHeight="1">
      <c r="G4127" s="174" t="s">
        <v>5688</v>
      </c>
      <c r="H4127" s="174" t="s">
        <v>1685</v>
      </c>
      <c r="I4127" s="174" t="str">
        <f t="shared" si="1"/>
        <v>NORDESTE</v>
      </c>
    </row>
    <row r="4128" ht="14.25" customHeight="1">
      <c r="G4128" s="174" t="s">
        <v>5689</v>
      </c>
      <c r="H4128" s="174" t="s">
        <v>1719</v>
      </c>
      <c r="I4128" s="174" t="str">
        <f t="shared" si="1"/>
        <v>NORDESTE</v>
      </c>
    </row>
    <row r="4129" ht="14.25" customHeight="1">
      <c r="G4129" s="174" t="s">
        <v>5690</v>
      </c>
      <c r="H4129" s="174" t="s">
        <v>1702</v>
      </c>
      <c r="I4129" s="174" t="str">
        <f t="shared" si="1"/>
        <v>SUL</v>
      </c>
    </row>
    <row r="4130" ht="14.25" customHeight="1">
      <c r="G4130" s="174" t="s">
        <v>5691</v>
      </c>
      <c r="H4130" s="174" t="s">
        <v>1690</v>
      </c>
      <c r="I4130" s="174" t="str">
        <f t="shared" si="1"/>
        <v>NORDESTE</v>
      </c>
    </row>
    <row r="4131" ht="14.25" customHeight="1">
      <c r="G4131" s="174" t="s">
        <v>5692</v>
      </c>
      <c r="H4131" s="174" t="s">
        <v>1730</v>
      </c>
      <c r="I4131" s="174" t="str">
        <f t="shared" si="1"/>
        <v>SUDESTE</v>
      </c>
    </row>
    <row r="4132" ht="14.25" customHeight="1">
      <c r="G4132" s="174" t="s">
        <v>5693</v>
      </c>
      <c r="H4132" s="174" t="s">
        <v>1666</v>
      </c>
      <c r="I4132" s="174" t="str">
        <f t="shared" si="1"/>
        <v>SUDESTE</v>
      </c>
    </row>
    <row r="4133" ht="14.25" customHeight="1">
      <c r="G4133" s="174" t="s">
        <v>5694</v>
      </c>
      <c r="H4133" s="174" t="s">
        <v>1702</v>
      </c>
      <c r="I4133" s="174" t="str">
        <f t="shared" si="1"/>
        <v>SUL</v>
      </c>
    </row>
    <row r="4134" ht="14.25" customHeight="1">
      <c r="G4134" s="174" t="s">
        <v>5695</v>
      </c>
      <c r="H4134" s="174" t="s">
        <v>1713</v>
      </c>
      <c r="I4134" s="174" t="str">
        <f t="shared" si="1"/>
        <v>CENTRO OESTE</v>
      </c>
    </row>
    <row r="4135" ht="14.25" customHeight="1">
      <c r="G4135" s="174" t="s">
        <v>5696</v>
      </c>
      <c r="H4135" s="174" t="s">
        <v>1702</v>
      </c>
      <c r="I4135" s="174" t="str">
        <f t="shared" si="1"/>
        <v>SUL</v>
      </c>
    </row>
    <row r="4136" ht="14.25" customHeight="1">
      <c r="G4136" s="174" t="s">
        <v>5697</v>
      </c>
      <c r="H4136" s="174" t="s">
        <v>1666</v>
      </c>
      <c r="I4136" s="174" t="str">
        <f t="shared" si="1"/>
        <v>SUDESTE</v>
      </c>
    </row>
    <row r="4137" ht="14.25" customHeight="1">
      <c r="G4137" s="174" t="s">
        <v>5698</v>
      </c>
      <c r="H4137" s="174" t="s">
        <v>1666</v>
      </c>
      <c r="I4137" s="174" t="str">
        <f t="shared" si="1"/>
        <v>SUDESTE</v>
      </c>
    </row>
    <row r="4138" ht="14.25" customHeight="1">
      <c r="G4138" s="174" t="s">
        <v>5699</v>
      </c>
      <c r="H4138" s="174" t="s">
        <v>1750</v>
      </c>
      <c r="I4138" s="174" t="str">
        <f t="shared" si="1"/>
        <v>SUDESTE</v>
      </c>
    </row>
    <row r="4139" ht="14.25" customHeight="1">
      <c r="G4139" s="174" t="s">
        <v>5700</v>
      </c>
      <c r="H4139" s="174" t="s">
        <v>1742</v>
      </c>
      <c r="I4139" s="174" t="str">
        <f t="shared" si="1"/>
        <v>SUL</v>
      </c>
    </row>
    <row r="4140" ht="14.25" customHeight="1">
      <c r="G4140" s="174" t="s">
        <v>5701</v>
      </c>
      <c r="H4140" s="174" t="s">
        <v>1685</v>
      </c>
      <c r="I4140" s="174" t="str">
        <f t="shared" si="1"/>
        <v>NORDESTE</v>
      </c>
    </row>
    <row r="4141" ht="14.25" customHeight="1">
      <c r="G4141" s="174" t="s">
        <v>5702</v>
      </c>
      <c r="H4141" s="174" t="s">
        <v>1704</v>
      </c>
      <c r="I4141" s="174" t="str">
        <f t="shared" si="1"/>
        <v>NORDESTE</v>
      </c>
    </row>
    <row r="4142" ht="14.25" customHeight="1">
      <c r="G4142" s="174" t="s">
        <v>5702</v>
      </c>
      <c r="H4142" s="174" t="s">
        <v>1719</v>
      </c>
      <c r="I4142" s="174" t="str">
        <f t="shared" si="1"/>
        <v>NORDESTE</v>
      </c>
    </row>
    <row r="4143" ht="14.25" customHeight="1">
      <c r="G4143" s="174" t="s">
        <v>5703</v>
      </c>
      <c r="H4143" s="174" t="s">
        <v>1685</v>
      </c>
      <c r="I4143" s="174" t="str">
        <f t="shared" si="1"/>
        <v>NORDESTE</v>
      </c>
    </row>
    <row r="4144" ht="14.25" customHeight="1">
      <c r="G4144" s="174" t="s">
        <v>5704</v>
      </c>
      <c r="H4144" s="174" t="s">
        <v>1719</v>
      </c>
      <c r="I4144" s="174" t="str">
        <f t="shared" si="1"/>
        <v>NORDESTE</v>
      </c>
    </row>
    <row r="4145" ht="14.25" customHeight="1">
      <c r="G4145" s="174" t="s">
        <v>5705</v>
      </c>
      <c r="H4145" s="174" t="s">
        <v>1747</v>
      </c>
      <c r="I4145" s="174" t="str">
        <f t="shared" si="1"/>
        <v>NORDESTE</v>
      </c>
    </row>
    <row r="4146" ht="14.25" customHeight="1">
      <c r="G4146" s="174" t="s">
        <v>5706</v>
      </c>
      <c r="H4146" s="174" t="s">
        <v>1685</v>
      </c>
      <c r="I4146" s="174" t="str">
        <f t="shared" si="1"/>
        <v>NORDESTE</v>
      </c>
    </row>
    <row r="4147" ht="14.25" customHeight="1">
      <c r="G4147" s="174" t="s">
        <v>5707</v>
      </c>
      <c r="H4147" s="174" t="s">
        <v>1719</v>
      </c>
      <c r="I4147" s="174" t="str">
        <f t="shared" si="1"/>
        <v>NORDESTE</v>
      </c>
    </row>
    <row r="4148" ht="14.25" customHeight="1">
      <c r="G4148" s="174" t="s">
        <v>5708</v>
      </c>
      <c r="H4148" s="174" t="s">
        <v>1721</v>
      </c>
      <c r="I4148" s="174" t="str">
        <f t="shared" si="1"/>
        <v>NORTE</v>
      </c>
    </row>
    <row r="4149" ht="14.25" customHeight="1">
      <c r="G4149" s="174" t="s">
        <v>5708</v>
      </c>
      <c r="H4149" s="174" t="s">
        <v>1666</v>
      </c>
      <c r="I4149" s="174" t="str">
        <f t="shared" si="1"/>
        <v>SUDESTE</v>
      </c>
    </row>
    <row r="4150" ht="14.25" customHeight="1">
      <c r="G4150" s="174" t="s">
        <v>5709</v>
      </c>
      <c r="H4150" s="174" t="s">
        <v>1733</v>
      </c>
      <c r="I4150" s="174" t="str">
        <f t="shared" si="1"/>
        <v>NORDESTE</v>
      </c>
    </row>
    <row r="4151" ht="14.25" customHeight="1">
      <c r="G4151" s="174" t="s">
        <v>5710</v>
      </c>
      <c r="H4151" s="174" t="s">
        <v>1717</v>
      </c>
      <c r="I4151" s="174" t="str">
        <f t="shared" si="1"/>
        <v>NORDESTE</v>
      </c>
    </row>
    <row r="4152" ht="14.25" customHeight="1">
      <c r="G4152" s="174" t="s">
        <v>5711</v>
      </c>
      <c r="H4152" s="174" t="s">
        <v>1733</v>
      </c>
      <c r="I4152" s="174" t="str">
        <f t="shared" si="1"/>
        <v>NORDESTE</v>
      </c>
    </row>
    <row r="4153" ht="14.25" customHeight="1">
      <c r="G4153" s="174" t="s">
        <v>5711</v>
      </c>
      <c r="H4153" s="174" t="s">
        <v>1685</v>
      </c>
      <c r="I4153" s="174" t="str">
        <f t="shared" si="1"/>
        <v>NORDESTE</v>
      </c>
    </row>
    <row r="4154" ht="14.25" customHeight="1">
      <c r="G4154" s="174" t="s">
        <v>5712</v>
      </c>
      <c r="H4154" s="174" t="s">
        <v>1719</v>
      </c>
      <c r="I4154" s="174" t="str">
        <f t="shared" si="1"/>
        <v>NORDESTE</v>
      </c>
    </row>
    <row r="4155" ht="14.25" customHeight="1">
      <c r="G4155" s="174" t="s">
        <v>5713</v>
      </c>
      <c r="H4155" s="174" t="s">
        <v>1719</v>
      </c>
      <c r="I4155" s="174" t="str">
        <f t="shared" si="1"/>
        <v>NORDESTE</v>
      </c>
    </row>
    <row r="4156" ht="14.25" customHeight="1">
      <c r="G4156" s="174" t="s">
        <v>5714</v>
      </c>
      <c r="H4156" s="174" t="s">
        <v>1666</v>
      </c>
      <c r="I4156" s="174" t="str">
        <f t="shared" si="1"/>
        <v>SUDESTE</v>
      </c>
    </row>
    <row r="4157" ht="14.25" customHeight="1">
      <c r="G4157" s="174" t="s">
        <v>5715</v>
      </c>
      <c r="H4157" s="174" t="s">
        <v>1725</v>
      </c>
      <c r="I4157" s="174" t="str">
        <f t="shared" si="1"/>
        <v>NORDESTE</v>
      </c>
    </row>
    <row r="4158" ht="14.25" customHeight="1">
      <c r="G4158" s="174" t="s">
        <v>5716</v>
      </c>
      <c r="H4158" s="174" t="s">
        <v>1733</v>
      </c>
      <c r="I4158" s="174" t="str">
        <f t="shared" si="1"/>
        <v>NORDESTE</v>
      </c>
    </row>
    <row r="4159" ht="14.25" customHeight="1">
      <c r="G4159" s="174" t="s">
        <v>5716</v>
      </c>
      <c r="H4159" s="174" t="s">
        <v>1747</v>
      </c>
      <c r="I4159" s="174" t="str">
        <f t="shared" si="1"/>
        <v>NORDESTE</v>
      </c>
    </row>
    <row r="4160" ht="14.25" customHeight="1">
      <c r="G4160" s="174" t="s">
        <v>5717</v>
      </c>
      <c r="H4160" s="174" t="s">
        <v>1658</v>
      </c>
      <c r="I4160" s="174" t="str">
        <f t="shared" si="1"/>
        <v>CENTRO OESTE</v>
      </c>
    </row>
    <row r="4161" ht="14.25" customHeight="1">
      <c r="G4161" s="174" t="s">
        <v>5718</v>
      </c>
      <c r="H4161" s="174" t="s">
        <v>1658</v>
      </c>
      <c r="I4161" s="174" t="str">
        <f t="shared" si="1"/>
        <v>CENTRO OESTE</v>
      </c>
    </row>
    <row r="4162" ht="14.25" customHeight="1">
      <c r="G4162" s="174" t="s">
        <v>5719</v>
      </c>
      <c r="H4162" s="174" t="s">
        <v>1704</v>
      </c>
      <c r="I4162" s="174" t="str">
        <f t="shared" si="1"/>
        <v>NORDESTE</v>
      </c>
    </row>
    <row r="4163" ht="14.25" customHeight="1">
      <c r="G4163" s="174" t="s">
        <v>5720</v>
      </c>
      <c r="H4163" s="174" t="s">
        <v>1710</v>
      </c>
      <c r="I4163" s="174" t="str">
        <f t="shared" si="1"/>
        <v>CENTRO OESTE</v>
      </c>
    </row>
    <row r="4164" ht="14.25" customHeight="1">
      <c r="G4164" s="174" t="s">
        <v>5721</v>
      </c>
      <c r="H4164" s="174" t="s">
        <v>1750</v>
      </c>
      <c r="I4164" s="174" t="str">
        <f t="shared" si="1"/>
        <v>SUDESTE</v>
      </c>
    </row>
    <row r="4165" ht="14.25" customHeight="1">
      <c r="G4165" s="174" t="s">
        <v>5722</v>
      </c>
      <c r="H4165" s="174" t="s">
        <v>1685</v>
      </c>
      <c r="I4165" s="174" t="str">
        <f t="shared" si="1"/>
        <v>NORDESTE</v>
      </c>
    </row>
    <row r="4166" ht="14.25" customHeight="1">
      <c r="G4166" s="174" t="s">
        <v>5723</v>
      </c>
      <c r="H4166" s="174" t="s">
        <v>1725</v>
      </c>
      <c r="I4166" s="174" t="str">
        <f t="shared" si="1"/>
        <v>NORDESTE</v>
      </c>
    </row>
    <row r="4167" ht="14.25" customHeight="1">
      <c r="G4167" s="174" t="s">
        <v>5724</v>
      </c>
      <c r="H4167" s="174" t="s">
        <v>1685</v>
      </c>
      <c r="I4167" s="174" t="str">
        <f t="shared" si="1"/>
        <v>NORDESTE</v>
      </c>
    </row>
    <row r="4168" ht="14.25" customHeight="1">
      <c r="G4168" s="174" t="s">
        <v>5725</v>
      </c>
      <c r="H4168" s="174" t="s">
        <v>1717</v>
      </c>
      <c r="I4168" s="174" t="str">
        <f t="shared" si="1"/>
        <v>NORDESTE</v>
      </c>
    </row>
    <row r="4169" ht="14.25" customHeight="1">
      <c r="G4169" s="174" t="s">
        <v>5726</v>
      </c>
      <c r="H4169" s="174" t="s">
        <v>1750</v>
      </c>
      <c r="I4169" s="174" t="str">
        <f t="shared" si="1"/>
        <v>SUDESTE</v>
      </c>
    </row>
    <row r="4170" ht="14.25" customHeight="1">
      <c r="G4170" s="174" t="s">
        <v>5727</v>
      </c>
      <c r="H4170" s="174" t="s">
        <v>1750</v>
      </c>
      <c r="I4170" s="174" t="str">
        <f t="shared" si="1"/>
        <v>SUDESTE</v>
      </c>
    </row>
    <row r="4171" ht="14.25" customHeight="1">
      <c r="G4171" s="174" t="s">
        <v>5728</v>
      </c>
      <c r="H4171" s="174" t="s">
        <v>1713</v>
      </c>
      <c r="I4171" s="174" t="str">
        <f t="shared" si="1"/>
        <v>CENTRO OESTE</v>
      </c>
    </row>
    <row r="4172" ht="14.25" customHeight="1">
      <c r="G4172" s="174" t="s">
        <v>5729</v>
      </c>
      <c r="H4172" s="174" t="s">
        <v>1702</v>
      </c>
      <c r="I4172" s="174" t="str">
        <f t="shared" si="1"/>
        <v>SUL</v>
      </c>
    </row>
    <row r="4173" ht="14.25" customHeight="1">
      <c r="G4173" s="174" t="s">
        <v>5730</v>
      </c>
      <c r="H4173" s="174" t="s">
        <v>1750</v>
      </c>
      <c r="I4173" s="174" t="str">
        <f t="shared" si="1"/>
        <v>SUDESTE</v>
      </c>
    </row>
    <row r="4174" ht="14.25" customHeight="1">
      <c r="G4174" s="174" t="s">
        <v>5731</v>
      </c>
      <c r="H4174" s="174" t="s">
        <v>1666</v>
      </c>
      <c r="I4174" s="174" t="str">
        <f t="shared" si="1"/>
        <v>SUDESTE</v>
      </c>
    </row>
    <row r="4175" ht="14.25" customHeight="1">
      <c r="G4175" s="174" t="s">
        <v>5732</v>
      </c>
      <c r="H4175" s="174" t="s">
        <v>1685</v>
      </c>
      <c r="I4175" s="174" t="str">
        <f t="shared" si="1"/>
        <v>NORDESTE</v>
      </c>
    </row>
    <row r="4176" ht="14.25" customHeight="1">
      <c r="G4176" s="174" t="s">
        <v>5733</v>
      </c>
      <c r="H4176" s="174" t="s">
        <v>1702</v>
      </c>
      <c r="I4176" s="174" t="str">
        <f t="shared" si="1"/>
        <v>SUL</v>
      </c>
    </row>
    <row r="4177" ht="14.25" customHeight="1">
      <c r="G4177" s="174" t="s">
        <v>5734</v>
      </c>
      <c r="H4177" s="174" t="s">
        <v>1750</v>
      </c>
      <c r="I4177" s="174" t="str">
        <f t="shared" si="1"/>
        <v>SUDESTE</v>
      </c>
    </row>
    <row r="4178" ht="14.25" customHeight="1">
      <c r="G4178" s="174" t="s">
        <v>5735</v>
      </c>
      <c r="H4178" s="174" t="s">
        <v>1750</v>
      </c>
      <c r="I4178" s="174" t="str">
        <f t="shared" si="1"/>
        <v>SUDESTE</v>
      </c>
    </row>
    <row r="4179" ht="14.25" customHeight="1">
      <c r="G4179" s="174" t="s">
        <v>5736</v>
      </c>
      <c r="H4179" s="174" t="s">
        <v>1750</v>
      </c>
      <c r="I4179" s="174" t="str">
        <f t="shared" si="1"/>
        <v>SUDESTE</v>
      </c>
    </row>
    <row r="4180" ht="14.25" customHeight="1">
      <c r="G4180" s="174" t="s">
        <v>5737</v>
      </c>
      <c r="H4180" s="174" t="s">
        <v>1750</v>
      </c>
      <c r="I4180" s="174" t="str">
        <f t="shared" si="1"/>
        <v>SUDESTE</v>
      </c>
    </row>
    <row r="4181" ht="14.25" customHeight="1">
      <c r="G4181" s="174" t="s">
        <v>5738</v>
      </c>
      <c r="H4181" s="174" t="s">
        <v>1750</v>
      </c>
      <c r="I4181" s="174" t="str">
        <f t="shared" si="1"/>
        <v>SUDESTE</v>
      </c>
    </row>
    <row r="4182" ht="14.25" customHeight="1">
      <c r="G4182" s="174" t="s">
        <v>5739</v>
      </c>
      <c r="H4182" s="174" t="s">
        <v>1666</v>
      </c>
      <c r="I4182" s="174" t="str">
        <f t="shared" si="1"/>
        <v>SUDESTE</v>
      </c>
    </row>
    <row r="4183" ht="14.25" customHeight="1">
      <c r="G4183" s="174" t="s">
        <v>5740</v>
      </c>
      <c r="H4183" s="174" t="s">
        <v>1713</v>
      </c>
      <c r="I4183" s="174" t="str">
        <f t="shared" si="1"/>
        <v>CENTRO OESTE</v>
      </c>
    </row>
    <row r="4184" ht="14.25" customHeight="1">
      <c r="G4184" s="174" t="s">
        <v>5741</v>
      </c>
      <c r="H4184" s="174" t="s">
        <v>1725</v>
      </c>
      <c r="I4184" s="174" t="str">
        <f t="shared" si="1"/>
        <v>NORDESTE</v>
      </c>
    </row>
    <row r="4185" ht="14.25" customHeight="1">
      <c r="G4185" s="174" t="s">
        <v>5742</v>
      </c>
      <c r="H4185" s="174" t="s">
        <v>1747</v>
      </c>
      <c r="I4185" s="174" t="str">
        <f t="shared" si="1"/>
        <v>NORDESTE</v>
      </c>
    </row>
    <row r="4186" ht="14.25" customHeight="1">
      <c r="G4186" s="174" t="s">
        <v>5743</v>
      </c>
      <c r="H4186" s="174" t="s">
        <v>1750</v>
      </c>
      <c r="I4186" s="174" t="str">
        <f t="shared" si="1"/>
        <v>SUDESTE</v>
      </c>
    </row>
    <row r="4187" ht="14.25" customHeight="1">
      <c r="G4187" s="174" t="s">
        <v>5744</v>
      </c>
      <c r="H4187" s="174" t="s">
        <v>1750</v>
      </c>
      <c r="I4187" s="174" t="str">
        <f t="shared" si="1"/>
        <v>SUDESTE</v>
      </c>
    </row>
    <row r="4188" ht="14.25" customHeight="1">
      <c r="G4188" s="174" t="s">
        <v>5745</v>
      </c>
      <c r="H4188" s="174" t="s">
        <v>1750</v>
      </c>
      <c r="I4188" s="174" t="str">
        <f t="shared" si="1"/>
        <v>SUDESTE</v>
      </c>
    </row>
    <row r="4189" ht="14.25" customHeight="1">
      <c r="G4189" s="174" t="s">
        <v>5746</v>
      </c>
      <c r="H4189" s="174" t="s">
        <v>1666</v>
      </c>
      <c r="I4189" s="174" t="str">
        <f t="shared" si="1"/>
        <v>SUDESTE</v>
      </c>
    </row>
    <row r="4190" ht="14.25" customHeight="1">
      <c r="G4190" s="174" t="s">
        <v>5747</v>
      </c>
      <c r="H4190" s="174" t="s">
        <v>1702</v>
      </c>
      <c r="I4190" s="174" t="str">
        <f t="shared" si="1"/>
        <v>SUL</v>
      </c>
    </row>
    <row r="4191" ht="14.25" customHeight="1">
      <c r="G4191" s="174" t="s">
        <v>5748</v>
      </c>
      <c r="H4191" s="174" t="s">
        <v>1698</v>
      </c>
      <c r="I4191" s="174" t="str">
        <f t="shared" si="1"/>
        <v>SUDESTE</v>
      </c>
    </row>
    <row r="4192" ht="14.25" customHeight="1">
      <c r="G4192" s="174" t="s">
        <v>5749</v>
      </c>
      <c r="H4192" s="174" t="s">
        <v>1702</v>
      </c>
      <c r="I4192" s="174" t="str">
        <f t="shared" si="1"/>
        <v>SUL</v>
      </c>
    </row>
    <row r="4193" ht="14.25" customHeight="1">
      <c r="G4193" s="174" t="s">
        <v>5750</v>
      </c>
      <c r="H4193" s="174" t="s">
        <v>1730</v>
      </c>
      <c r="I4193" s="174" t="str">
        <f t="shared" si="1"/>
        <v>SUDESTE</v>
      </c>
    </row>
    <row r="4194" ht="14.25" customHeight="1">
      <c r="G4194" s="174" t="s">
        <v>5751</v>
      </c>
      <c r="H4194" s="174" t="s">
        <v>1702</v>
      </c>
      <c r="I4194" s="174" t="str">
        <f t="shared" si="1"/>
        <v>SUL</v>
      </c>
    </row>
    <row r="4195" ht="14.25" customHeight="1">
      <c r="G4195" s="174" t="s">
        <v>5752</v>
      </c>
      <c r="H4195" s="174" t="s">
        <v>1656</v>
      </c>
      <c r="I4195" s="174" t="str">
        <f t="shared" si="1"/>
        <v>NORTE</v>
      </c>
    </row>
    <row r="4196" ht="14.25" customHeight="1">
      <c r="G4196" s="174" t="s">
        <v>5752</v>
      </c>
      <c r="H4196" s="174" t="s">
        <v>1713</v>
      </c>
      <c r="I4196" s="174" t="str">
        <f t="shared" si="1"/>
        <v>CENTRO OESTE</v>
      </c>
    </row>
    <row r="4197" ht="14.25" customHeight="1">
      <c r="G4197" s="174" t="s">
        <v>5753</v>
      </c>
      <c r="H4197" s="174" t="s">
        <v>1702</v>
      </c>
      <c r="I4197" s="174" t="str">
        <f t="shared" si="1"/>
        <v>SUL</v>
      </c>
    </row>
    <row r="4198" ht="14.25" customHeight="1">
      <c r="G4198" s="174" t="s">
        <v>5754</v>
      </c>
      <c r="H4198" s="174" t="s">
        <v>1702</v>
      </c>
      <c r="I4198" s="174" t="str">
        <f t="shared" si="1"/>
        <v>SUL</v>
      </c>
    </row>
    <row r="4199" ht="14.25" customHeight="1">
      <c r="G4199" s="174" t="s">
        <v>5755</v>
      </c>
      <c r="H4199" s="174" t="s">
        <v>1710</v>
      </c>
      <c r="I4199" s="174" t="str">
        <f t="shared" si="1"/>
        <v>CENTRO OESTE</v>
      </c>
    </row>
    <row r="4200" ht="14.25" customHeight="1">
      <c r="G4200" s="174" t="s">
        <v>5756</v>
      </c>
      <c r="H4200" s="174" t="s">
        <v>1666</v>
      </c>
      <c r="I4200" s="174" t="str">
        <f t="shared" si="1"/>
        <v>SUDESTE</v>
      </c>
    </row>
    <row r="4201" ht="14.25" customHeight="1">
      <c r="G4201" s="174" t="s">
        <v>5757</v>
      </c>
      <c r="H4201" s="174" t="s">
        <v>1730</v>
      </c>
      <c r="I4201" s="174" t="str">
        <f t="shared" si="1"/>
        <v>SUDESTE</v>
      </c>
    </row>
    <row r="4202" ht="14.25" customHeight="1">
      <c r="G4202" s="174" t="s">
        <v>5757</v>
      </c>
      <c r="H4202" s="174" t="s">
        <v>1750</v>
      </c>
      <c r="I4202" s="174" t="str">
        <f t="shared" si="1"/>
        <v>SUDESTE</v>
      </c>
    </row>
    <row r="4203" ht="14.25" customHeight="1">
      <c r="G4203" s="174" t="s">
        <v>5758</v>
      </c>
      <c r="H4203" s="174" t="s">
        <v>1736</v>
      </c>
      <c r="I4203" s="174" t="str">
        <f t="shared" si="1"/>
        <v>NORTE</v>
      </c>
    </row>
    <row r="4204" ht="14.25" customHeight="1">
      <c r="G4204" s="174" t="s">
        <v>5759</v>
      </c>
      <c r="H4204" s="174" t="s">
        <v>1721</v>
      </c>
      <c r="I4204" s="174" t="str">
        <f t="shared" si="1"/>
        <v>NORTE</v>
      </c>
    </row>
    <row r="4205" ht="14.25" customHeight="1">
      <c r="G4205" s="174" t="s">
        <v>5760</v>
      </c>
      <c r="H4205" s="174" t="s">
        <v>1706</v>
      </c>
      <c r="I4205" s="174" t="str">
        <f t="shared" si="1"/>
        <v>SUL</v>
      </c>
    </row>
    <row r="4206" ht="14.25" customHeight="1">
      <c r="G4206" s="174" t="s">
        <v>5761</v>
      </c>
      <c r="H4206" s="174" t="s">
        <v>1730</v>
      </c>
      <c r="I4206" s="174" t="str">
        <f t="shared" si="1"/>
        <v>SUDESTE</v>
      </c>
    </row>
    <row r="4207" ht="14.25" customHeight="1">
      <c r="G4207" s="174" t="s">
        <v>5762</v>
      </c>
      <c r="H4207" s="174" t="s">
        <v>1730</v>
      </c>
      <c r="I4207" s="174" t="str">
        <f t="shared" si="1"/>
        <v>SUDESTE</v>
      </c>
    </row>
    <row r="4208" ht="14.25" customHeight="1">
      <c r="G4208" s="174" t="s">
        <v>5763</v>
      </c>
      <c r="H4208" s="174" t="s">
        <v>1750</v>
      </c>
      <c r="I4208" s="174" t="str">
        <f t="shared" si="1"/>
        <v>SUDESTE</v>
      </c>
    </row>
    <row r="4209" ht="14.25" customHeight="1">
      <c r="G4209" s="174" t="s">
        <v>5764</v>
      </c>
      <c r="H4209" s="174" t="s">
        <v>1685</v>
      </c>
      <c r="I4209" s="174" t="str">
        <f t="shared" si="1"/>
        <v>NORDESTE</v>
      </c>
    </row>
    <row r="4210" ht="14.25" customHeight="1">
      <c r="G4210" s="174" t="s">
        <v>5765</v>
      </c>
      <c r="H4210" s="174" t="s">
        <v>1730</v>
      </c>
      <c r="I4210" s="174" t="str">
        <f t="shared" si="1"/>
        <v>SUDESTE</v>
      </c>
    </row>
    <row r="4211" ht="14.25" customHeight="1">
      <c r="G4211" s="174" t="s">
        <v>5766</v>
      </c>
      <c r="H4211" s="174" t="s">
        <v>1685</v>
      </c>
      <c r="I4211" s="174" t="str">
        <f t="shared" si="1"/>
        <v>NORDESTE</v>
      </c>
    </row>
    <row r="4212" ht="14.25" customHeight="1">
      <c r="G4212" s="174" t="s">
        <v>5767</v>
      </c>
      <c r="H4212" s="174" t="s">
        <v>1706</v>
      </c>
      <c r="I4212" s="174" t="str">
        <f t="shared" si="1"/>
        <v>SUL</v>
      </c>
    </row>
    <row r="4213" ht="14.25" customHeight="1">
      <c r="G4213" s="174" t="s">
        <v>5768</v>
      </c>
      <c r="H4213" s="174" t="s">
        <v>1733</v>
      </c>
      <c r="I4213" s="174" t="str">
        <f t="shared" si="1"/>
        <v>NORDESTE</v>
      </c>
    </row>
    <row r="4214" ht="14.25" customHeight="1">
      <c r="G4214" s="174" t="s">
        <v>5769</v>
      </c>
      <c r="H4214" s="174" t="s">
        <v>1706</v>
      </c>
      <c r="I4214" s="174" t="str">
        <f t="shared" si="1"/>
        <v>SUL</v>
      </c>
    </row>
    <row r="4215" ht="14.25" customHeight="1">
      <c r="G4215" s="174" t="s">
        <v>5770</v>
      </c>
      <c r="H4215" s="174" t="s">
        <v>1685</v>
      </c>
      <c r="I4215" s="174" t="str">
        <f t="shared" si="1"/>
        <v>NORDESTE</v>
      </c>
    </row>
    <row r="4216" ht="14.25" customHeight="1">
      <c r="G4216" s="174" t="s">
        <v>5771</v>
      </c>
      <c r="H4216" s="174" t="s">
        <v>1666</v>
      </c>
      <c r="I4216" s="174" t="str">
        <f t="shared" si="1"/>
        <v>SUDESTE</v>
      </c>
    </row>
    <row r="4217" ht="14.25" customHeight="1">
      <c r="G4217" s="174" t="s">
        <v>5772</v>
      </c>
      <c r="H4217" s="174" t="s">
        <v>1706</v>
      </c>
      <c r="I4217" s="174" t="str">
        <f t="shared" si="1"/>
        <v>SUL</v>
      </c>
    </row>
    <row r="4218" ht="14.25" customHeight="1">
      <c r="G4218" s="174" t="s">
        <v>5773</v>
      </c>
      <c r="H4218" s="174" t="s">
        <v>1666</v>
      </c>
      <c r="I4218" s="174" t="str">
        <f t="shared" si="1"/>
        <v>SUDESTE</v>
      </c>
    </row>
    <row r="4219" ht="14.25" customHeight="1">
      <c r="G4219" s="174" t="s">
        <v>5774</v>
      </c>
      <c r="H4219" s="174" t="s">
        <v>1721</v>
      </c>
      <c r="I4219" s="174" t="str">
        <f t="shared" si="1"/>
        <v>NORTE</v>
      </c>
    </row>
    <row r="4220" ht="14.25" customHeight="1">
      <c r="G4220" s="174" t="s">
        <v>5775</v>
      </c>
      <c r="H4220" s="174" t="s">
        <v>1706</v>
      </c>
      <c r="I4220" s="174" t="str">
        <f t="shared" si="1"/>
        <v>SUL</v>
      </c>
    </row>
    <row r="4221" ht="14.25" customHeight="1">
      <c r="G4221" s="174" t="s">
        <v>5776</v>
      </c>
      <c r="H4221" s="174" t="s">
        <v>1742</v>
      </c>
      <c r="I4221" s="174" t="str">
        <f t="shared" si="1"/>
        <v>SUL</v>
      </c>
    </row>
    <row r="4222" ht="14.25" customHeight="1">
      <c r="G4222" s="174" t="s">
        <v>5777</v>
      </c>
      <c r="H4222" s="174" t="s">
        <v>1666</v>
      </c>
      <c r="I4222" s="174" t="str">
        <f t="shared" si="1"/>
        <v>SUDESTE</v>
      </c>
    </row>
    <row r="4223" ht="14.25" customHeight="1">
      <c r="G4223" s="174" t="s">
        <v>5778</v>
      </c>
      <c r="H4223" s="174" t="s">
        <v>1717</v>
      </c>
      <c r="I4223" s="174" t="str">
        <f t="shared" si="1"/>
        <v>NORDESTE</v>
      </c>
    </row>
    <row r="4224" ht="14.25" customHeight="1">
      <c r="G4224" s="174" t="s">
        <v>5779</v>
      </c>
      <c r="H4224" s="174" t="s">
        <v>1706</v>
      </c>
      <c r="I4224" s="174" t="str">
        <f t="shared" si="1"/>
        <v>SUL</v>
      </c>
    </row>
    <row r="4225" ht="14.25" customHeight="1">
      <c r="G4225" s="174" t="s">
        <v>5780</v>
      </c>
      <c r="H4225" s="174" t="s">
        <v>1742</v>
      </c>
      <c r="I4225" s="174" t="str">
        <f t="shared" si="1"/>
        <v>SUL</v>
      </c>
    </row>
    <row r="4226" ht="14.25" customHeight="1">
      <c r="G4226" s="174" t="s">
        <v>5781</v>
      </c>
      <c r="H4226" s="174" t="s">
        <v>1750</v>
      </c>
      <c r="I4226" s="174" t="str">
        <f t="shared" si="1"/>
        <v>SUDESTE</v>
      </c>
    </row>
    <row r="4227" ht="14.25" customHeight="1">
      <c r="G4227" s="174" t="s">
        <v>5782</v>
      </c>
      <c r="H4227" s="174" t="s">
        <v>1725</v>
      </c>
      <c r="I4227" s="174" t="str">
        <f t="shared" si="1"/>
        <v>NORDESTE</v>
      </c>
    </row>
    <row r="4228" ht="14.25" customHeight="1">
      <c r="G4228" s="174" t="s">
        <v>5783</v>
      </c>
      <c r="H4228" s="174" t="s">
        <v>1664</v>
      </c>
      <c r="I4228" s="174" t="str">
        <f t="shared" si="1"/>
        <v>NORDESTE</v>
      </c>
    </row>
    <row r="4229" ht="14.25" customHeight="1">
      <c r="G4229" s="174" t="s">
        <v>5784</v>
      </c>
      <c r="H4229" s="174" t="s">
        <v>1666</v>
      </c>
      <c r="I4229" s="174" t="str">
        <f t="shared" si="1"/>
        <v>SUDESTE</v>
      </c>
    </row>
    <row r="4230" ht="14.25" customHeight="1">
      <c r="G4230" s="174" t="s">
        <v>5785</v>
      </c>
      <c r="H4230" s="174" t="s">
        <v>1687</v>
      </c>
      <c r="I4230" s="174" t="str">
        <f t="shared" si="1"/>
        <v>NORTE</v>
      </c>
    </row>
    <row r="4231" ht="14.25" customHeight="1">
      <c r="G4231" s="174" t="s">
        <v>5786</v>
      </c>
      <c r="H4231" s="174" t="s">
        <v>1706</v>
      </c>
      <c r="I4231" s="174" t="str">
        <f t="shared" si="1"/>
        <v>SUL</v>
      </c>
    </row>
    <row r="4232" ht="14.25" customHeight="1">
      <c r="G4232" s="174" t="s">
        <v>5787</v>
      </c>
      <c r="H4232" s="174" t="s">
        <v>1702</v>
      </c>
      <c r="I4232" s="174" t="str">
        <f t="shared" si="1"/>
        <v>SUL</v>
      </c>
    </row>
    <row r="4233" ht="14.25" customHeight="1">
      <c r="G4233" s="174" t="s">
        <v>5787</v>
      </c>
      <c r="H4233" s="174" t="s">
        <v>1710</v>
      </c>
      <c r="I4233" s="174" t="str">
        <f t="shared" si="1"/>
        <v>CENTRO OESTE</v>
      </c>
    </row>
    <row r="4234" ht="14.25" customHeight="1">
      <c r="G4234" s="174" t="s">
        <v>5788</v>
      </c>
      <c r="H4234" s="174" t="s">
        <v>1666</v>
      </c>
      <c r="I4234" s="174" t="str">
        <f t="shared" si="1"/>
        <v>SUDESTE</v>
      </c>
    </row>
    <row r="4235" ht="14.25" customHeight="1">
      <c r="G4235" s="174" t="s">
        <v>5789</v>
      </c>
      <c r="H4235" s="174" t="s">
        <v>1698</v>
      </c>
      <c r="I4235" s="174" t="str">
        <f t="shared" si="1"/>
        <v>SUDESTE</v>
      </c>
    </row>
    <row r="4236" ht="14.25" customHeight="1">
      <c r="G4236" s="174" t="s">
        <v>5790</v>
      </c>
      <c r="H4236" s="174" t="s">
        <v>1666</v>
      </c>
      <c r="I4236" s="174" t="str">
        <f t="shared" si="1"/>
        <v>SUDESTE</v>
      </c>
    </row>
    <row r="4237" ht="14.25" customHeight="1">
      <c r="G4237" s="174" t="s">
        <v>5791</v>
      </c>
      <c r="H4237" s="174" t="s">
        <v>1742</v>
      </c>
      <c r="I4237" s="174" t="str">
        <f t="shared" si="1"/>
        <v>SUL</v>
      </c>
    </row>
    <row r="4238" ht="14.25" customHeight="1">
      <c r="G4238" s="174" t="s">
        <v>5792</v>
      </c>
      <c r="H4238" s="174" t="s">
        <v>1666</v>
      </c>
      <c r="I4238" s="174" t="str">
        <f t="shared" si="1"/>
        <v>SUDESTE</v>
      </c>
    </row>
    <row r="4239" ht="14.25" customHeight="1">
      <c r="G4239" s="174" t="s">
        <v>5793</v>
      </c>
      <c r="H4239" s="174" t="s">
        <v>1666</v>
      </c>
      <c r="I4239" s="174" t="str">
        <f t="shared" si="1"/>
        <v>SUDESTE</v>
      </c>
    </row>
    <row r="4240" ht="14.25" customHeight="1">
      <c r="G4240" s="174" t="s">
        <v>5794</v>
      </c>
      <c r="H4240" s="174" t="s">
        <v>1666</v>
      </c>
      <c r="I4240" s="174" t="str">
        <f t="shared" si="1"/>
        <v>SUDESTE</v>
      </c>
    </row>
    <row r="4241" ht="14.25" customHeight="1">
      <c r="G4241" s="174" t="s">
        <v>5795</v>
      </c>
      <c r="H4241" s="174" t="s">
        <v>1666</v>
      </c>
      <c r="I4241" s="174" t="str">
        <f t="shared" si="1"/>
        <v>SUDESTE</v>
      </c>
    </row>
    <row r="4242" ht="14.25" customHeight="1">
      <c r="G4242" s="174" t="s">
        <v>5796</v>
      </c>
      <c r="H4242" s="174" t="s">
        <v>1672</v>
      </c>
      <c r="I4242" s="174" t="str">
        <f t="shared" si="1"/>
        <v>NORTE</v>
      </c>
    </row>
    <row r="4243" ht="14.25" customHeight="1">
      <c r="G4243" s="174" t="s">
        <v>5797</v>
      </c>
      <c r="H4243" s="174" t="s">
        <v>1658</v>
      </c>
      <c r="I4243" s="174" t="str">
        <f t="shared" si="1"/>
        <v>CENTRO OESTE</v>
      </c>
    </row>
    <row r="4244" ht="14.25" customHeight="1">
      <c r="G4244" s="174" t="s">
        <v>5798</v>
      </c>
      <c r="H4244" s="174" t="s">
        <v>1685</v>
      </c>
      <c r="I4244" s="174" t="str">
        <f t="shared" si="1"/>
        <v>NORDESTE</v>
      </c>
    </row>
    <row r="4245" ht="14.25" customHeight="1">
      <c r="G4245" s="174" t="s">
        <v>5799</v>
      </c>
      <c r="H4245" s="174" t="s">
        <v>1706</v>
      </c>
      <c r="I4245" s="174" t="str">
        <f t="shared" si="1"/>
        <v>SUL</v>
      </c>
    </row>
    <row r="4246" ht="14.25" customHeight="1">
      <c r="G4246" s="174" t="s">
        <v>5800</v>
      </c>
      <c r="H4246" s="174" t="s">
        <v>1721</v>
      </c>
      <c r="I4246" s="174" t="str">
        <f t="shared" si="1"/>
        <v>NORTE</v>
      </c>
    </row>
    <row r="4247" ht="14.25" customHeight="1">
      <c r="G4247" s="174" t="s">
        <v>5801</v>
      </c>
      <c r="H4247" s="174" t="s">
        <v>1719</v>
      </c>
      <c r="I4247" s="174" t="str">
        <f t="shared" si="1"/>
        <v>NORDESTE</v>
      </c>
    </row>
    <row r="4248" ht="14.25" customHeight="1">
      <c r="G4248" s="174" t="s">
        <v>5802</v>
      </c>
      <c r="H4248" s="174" t="s">
        <v>1658</v>
      </c>
      <c r="I4248" s="174" t="str">
        <f t="shared" si="1"/>
        <v>CENTRO OESTE</v>
      </c>
    </row>
    <row r="4249" ht="14.25" customHeight="1">
      <c r="G4249" s="174" t="s">
        <v>5803</v>
      </c>
      <c r="H4249" s="174" t="s">
        <v>1710</v>
      </c>
      <c r="I4249" s="174" t="str">
        <f t="shared" si="1"/>
        <v>CENTRO OESTE</v>
      </c>
    </row>
    <row r="4250" ht="14.25" customHeight="1">
      <c r="G4250" s="174" t="s">
        <v>5804</v>
      </c>
      <c r="H4250" s="174" t="s">
        <v>1666</v>
      </c>
      <c r="I4250" s="174" t="str">
        <f t="shared" si="1"/>
        <v>SUDESTE</v>
      </c>
    </row>
    <row r="4251" ht="14.25" customHeight="1">
      <c r="G4251" s="174" t="s">
        <v>5805</v>
      </c>
      <c r="H4251" s="174" t="s">
        <v>1750</v>
      </c>
      <c r="I4251" s="174" t="str">
        <f t="shared" si="1"/>
        <v>SUDESTE</v>
      </c>
    </row>
    <row r="4252" ht="14.25" customHeight="1">
      <c r="G4252" s="174" t="s">
        <v>5806</v>
      </c>
      <c r="H4252" s="174" t="s">
        <v>1742</v>
      </c>
      <c r="I4252" s="174" t="str">
        <f t="shared" si="1"/>
        <v>SUL</v>
      </c>
    </row>
    <row r="4253" ht="14.25" customHeight="1">
      <c r="G4253" s="174" t="s">
        <v>5807</v>
      </c>
      <c r="H4253" s="174" t="s">
        <v>1706</v>
      </c>
      <c r="I4253" s="174" t="str">
        <f t="shared" si="1"/>
        <v>SUL</v>
      </c>
    </row>
    <row r="4254" ht="14.25" customHeight="1">
      <c r="G4254" s="174" t="s">
        <v>5808</v>
      </c>
      <c r="H4254" s="174" t="s">
        <v>1666</v>
      </c>
      <c r="I4254" s="174" t="str">
        <f t="shared" si="1"/>
        <v>SUDESTE</v>
      </c>
    </row>
    <row r="4255" ht="14.25" customHeight="1">
      <c r="G4255" s="174" t="s">
        <v>5809</v>
      </c>
      <c r="H4255" s="174" t="s">
        <v>1750</v>
      </c>
      <c r="I4255" s="174" t="str">
        <f t="shared" si="1"/>
        <v>SUDESTE</v>
      </c>
    </row>
    <row r="4256" ht="14.25" customHeight="1">
      <c r="G4256" s="174" t="s">
        <v>5810</v>
      </c>
      <c r="H4256" s="174" t="s">
        <v>1742</v>
      </c>
      <c r="I4256" s="174" t="str">
        <f t="shared" si="1"/>
        <v>SUL</v>
      </c>
    </row>
    <row r="4257" ht="14.25" customHeight="1">
      <c r="G4257" s="174" t="s">
        <v>5811</v>
      </c>
      <c r="H4257" s="174" t="s">
        <v>1710</v>
      </c>
      <c r="I4257" s="174" t="str">
        <f t="shared" si="1"/>
        <v>CENTRO OESTE</v>
      </c>
    </row>
    <row r="4258" ht="14.25" customHeight="1">
      <c r="G4258" s="174" t="s">
        <v>5812</v>
      </c>
      <c r="H4258" s="174" t="s">
        <v>1666</v>
      </c>
      <c r="I4258" s="174" t="str">
        <f t="shared" si="1"/>
        <v>SUDESTE</v>
      </c>
    </row>
    <row r="4259" ht="14.25" customHeight="1">
      <c r="G4259" s="174" t="s">
        <v>5813</v>
      </c>
      <c r="H4259" s="174" t="s">
        <v>1706</v>
      </c>
      <c r="I4259" s="174" t="str">
        <f t="shared" si="1"/>
        <v>SUL</v>
      </c>
    </row>
    <row r="4260" ht="14.25" customHeight="1">
      <c r="G4260" s="174" t="s">
        <v>5814</v>
      </c>
      <c r="H4260" s="174" t="s">
        <v>1742</v>
      </c>
      <c r="I4260" s="174" t="str">
        <f t="shared" si="1"/>
        <v>SUL</v>
      </c>
    </row>
    <row r="4261" ht="14.25" customHeight="1">
      <c r="G4261" s="174" t="s">
        <v>5815</v>
      </c>
      <c r="H4261" s="174" t="s">
        <v>1666</v>
      </c>
      <c r="I4261" s="174" t="str">
        <f t="shared" si="1"/>
        <v>SUDESTE</v>
      </c>
    </row>
    <row r="4262" ht="14.25" customHeight="1">
      <c r="G4262" s="174" t="s">
        <v>5816</v>
      </c>
      <c r="H4262" s="174" t="s">
        <v>1685</v>
      </c>
      <c r="I4262" s="174" t="str">
        <f t="shared" si="1"/>
        <v>NORDESTE</v>
      </c>
    </row>
    <row r="4263" ht="14.25" customHeight="1">
      <c r="G4263" s="174" t="s">
        <v>5817</v>
      </c>
      <c r="H4263" s="174" t="s">
        <v>1733</v>
      </c>
      <c r="I4263" s="174" t="str">
        <f t="shared" si="1"/>
        <v>NORDESTE</v>
      </c>
    </row>
    <row r="4264" ht="14.25" customHeight="1">
      <c r="G4264" s="174" t="s">
        <v>5818</v>
      </c>
      <c r="H4264" s="174" t="s">
        <v>1656</v>
      </c>
      <c r="I4264" s="174" t="str">
        <f t="shared" si="1"/>
        <v>NORTE</v>
      </c>
    </row>
    <row r="4265" ht="14.25" customHeight="1">
      <c r="G4265" s="174" t="s">
        <v>5819</v>
      </c>
      <c r="H4265" s="174" t="s">
        <v>1742</v>
      </c>
      <c r="I4265" s="174" t="str">
        <f t="shared" si="1"/>
        <v>SUL</v>
      </c>
    </row>
    <row r="4266" ht="14.25" customHeight="1">
      <c r="G4266" s="174" t="s">
        <v>5820</v>
      </c>
      <c r="H4266" s="174" t="s">
        <v>1702</v>
      </c>
      <c r="I4266" s="174" t="str">
        <f t="shared" si="1"/>
        <v>SUL</v>
      </c>
    </row>
    <row r="4267" ht="14.25" customHeight="1">
      <c r="G4267" s="174" t="s">
        <v>5821</v>
      </c>
      <c r="H4267" s="174" t="s">
        <v>1742</v>
      </c>
      <c r="I4267" s="174" t="str">
        <f t="shared" si="1"/>
        <v>SUL</v>
      </c>
    </row>
    <row r="4268" ht="14.25" customHeight="1">
      <c r="G4268" s="174" t="s">
        <v>5822</v>
      </c>
      <c r="H4268" s="174" t="s">
        <v>1736</v>
      </c>
      <c r="I4268" s="174" t="str">
        <f t="shared" si="1"/>
        <v>NORTE</v>
      </c>
    </row>
    <row r="4269" ht="14.25" customHeight="1">
      <c r="G4269" s="174" t="s">
        <v>5823</v>
      </c>
      <c r="H4269" s="174" t="s">
        <v>1666</v>
      </c>
      <c r="I4269" s="174" t="str">
        <f t="shared" si="1"/>
        <v>SUDESTE</v>
      </c>
    </row>
    <row r="4270" ht="14.25" customHeight="1">
      <c r="G4270" s="174" t="s">
        <v>5824</v>
      </c>
      <c r="H4270" s="174" t="s">
        <v>1706</v>
      </c>
      <c r="I4270" s="174" t="str">
        <f t="shared" si="1"/>
        <v>SUL</v>
      </c>
    </row>
    <row r="4271" ht="14.25" customHeight="1">
      <c r="G4271" s="174" t="s">
        <v>5825</v>
      </c>
      <c r="H4271" s="174" t="s">
        <v>1702</v>
      </c>
      <c r="I4271" s="174" t="str">
        <f t="shared" si="1"/>
        <v>SUL</v>
      </c>
    </row>
    <row r="4272" ht="14.25" customHeight="1">
      <c r="G4272" s="174" t="s">
        <v>5826</v>
      </c>
      <c r="H4272" s="174" t="s">
        <v>1742</v>
      </c>
      <c r="I4272" s="174" t="str">
        <f t="shared" si="1"/>
        <v>SUL</v>
      </c>
    </row>
    <row r="4273" ht="14.25" customHeight="1">
      <c r="G4273" s="174" t="s">
        <v>5827</v>
      </c>
      <c r="H4273" s="174" t="s">
        <v>1742</v>
      </c>
      <c r="I4273" s="174" t="str">
        <f t="shared" si="1"/>
        <v>SUL</v>
      </c>
    </row>
    <row r="4274" ht="14.25" customHeight="1">
      <c r="G4274" s="174" t="s">
        <v>5828</v>
      </c>
      <c r="H4274" s="174" t="s">
        <v>1713</v>
      </c>
      <c r="I4274" s="174" t="str">
        <f t="shared" si="1"/>
        <v>CENTRO OESTE</v>
      </c>
    </row>
    <row r="4275" ht="14.25" customHeight="1">
      <c r="G4275" s="174" t="s">
        <v>5829</v>
      </c>
      <c r="H4275" s="174" t="s">
        <v>1702</v>
      </c>
      <c r="I4275" s="174" t="str">
        <f t="shared" si="1"/>
        <v>SUL</v>
      </c>
    </row>
    <row r="4276" ht="14.25" customHeight="1">
      <c r="G4276" s="174" t="s">
        <v>5830</v>
      </c>
      <c r="H4276" s="174" t="s">
        <v>1687</v>
      </c>
      <c r="I4276" s="174" t="str">
        <f t="shared" si="1"/>
        <v>NORTE</v>
      </c>
    </row>
    <row r="4277" ht="14.25" customHeight="1">
      <c r="G4277" s="174" t="s">
        <v>5831</v>
      </c>
      <c r="H4277" s="174" t="s">
        <v>1713</v>
      </c>
      <c r="I4277" s="174" t="str">
        <f t="shared" si="1"/>
        <v>CENTRO OESTE</v>
      </c>
    </row>
    <row r="4278" ht="14.25" customHeight="1">
      <c r="G4278" s="174" t="s">
        <v>5832</v>
      </c>
      <c r="H4278" s="174" t="s">
        <v>1742</v>
      </c>
      <c r="I4278" s="174" t="str">
        <f t="shared" si="1"/>
        <v>SUL</v>
      </c>
    </row>
    <row r="4279" ht="14.25" customHeight="1">
      <c r="G4279" s="174" t="s">
        <v>5833</v>
      </c>
      <c r="H4279" s="174" t="s">
        <v>1739</v>
      </c>
      <c r="I4279" s="174" t="str">
        <f t="shared" si="1"/>
        <v>NORTE</v>
      </c>
    </row>
    <row r="4280" ht="14.25" customHeight="1">
      <c r="G4280" s="174" t="s">
        <v>5834</v>
      </c>
      <c r="H4280" s="174" t="s">
        <v>1750</v>
      </c>
      <c r="I4280" s="174" t="str">
        <f t="shared" si="1"/>
        <v>SUDESTE</v>
      </c>
    </row>
    <row r="4281" ht="14.25" customHeight="1">
      <c r="G4281" s="174" t="s">
        <v>5835</v>
      </c>
      <c r="H4281" s="174" t="s">
        <v>1704</v>
      </c>
      <c r="I4281" s="174" t="str">
        <f t="shared" si="1"/>
        <v>NORDESTE</v>
      </c>
    </row>
    <row r="4282" ht="14.25" customHeight="1">
      <c r="G4282" s="174" t="s">
        <v>5836</v>
      </c>
      <c r="H4282" s="174" t="s">
        <v>1666</v>
      </c>
      <c r="I4282" s="174" t="str">
        <f t="shared" si="1"/>
        <v>SUDESTE</v>
      </c>
    </row>
    <row r="4283" ht="14.25" customHeight="1">
      <c r="G4283" s="174" t="s">
        <v>5837</v>
      </c>
      <c r="H4283" s="174" t="s">
        <v>1747</v>
      </c>
      <c r="I4283" s="174" t="str">
        <f t="shared" si="1"/>
        <v>NORDESTE</v>
      </c>
    </row>
    <row r="4284" ht="14.25" customHeight="1">
      <c r="G4284" s="174" t="s">
        <v>5838</v>
      </c>
      <c r="H4284" s="174" t="s">
        <v>1702</v>
      </c>
      <c r="I4284" s="174" t="str">
        <f t="shared" si="1"/>
        <v>SUL</v>
      </c>
    </row>
    <row r="4285" ht="14.25" customHeight="1">
      <c r="G4285" s="174" t="s">
        <v>5839</v>
      </c>
      <c r="H4285" s="174" t="s">
        <v>1742</v>
      </c>
      <c r="I4285" s="174" t="str">
        <f t="shared" si="1"/>
        <v>SUL</v>
      </c>
    </row>
    <row r="4286" ht="14.25" customHeight="1">
      <c r="G4286" s="174" t="s">
        <v>5840</v>
      </c>
      <c r="H4286" s="174" t="s">
        <v>1713</v>
      </c>
      <c r="I4286" s="174" t="str">
        <f t="shared" si="1"/>
        <v>CENTRO OESTE</v>
      </c>
    </row>
    <row r="4287" ht="14.25" customHeight="1">
      <c r="G4287" s="174" t="s">
        <v>5841</v>
      </c>
      <c r="H4287" s="174" t="s">
        <v>1750</v>
      </c>
      <c r="I4287" s="174" t="str">
        <f t="shared" si="1"/>
        <v>SUDESTE</v>
      </c>
    </row>
    <row r="4288" ht="14.25" customHeight="1">
      <c r="G4288" s="174" t="s">
        <v>5842</v>
      </c>
      <c r="H4288" s="174" t="s">
        <v>1664</v>
      </c>
      <c r="I4288" s="174" t="str">
        <f t="shared" si="1"/>
        <v>NORDESTE</v>
      </c>
    </row>
    <row r="4289" ht="14.25" customHeight="1">
      <c r="G4289" s="174" t="s">
        <v>5843</v>
      </c>
      <c r="H4289" s="174" t="s">
        <v>1666</v>
      </c>
      <c r="I4289" s="174" t="str">
        <f t="shared" si="1"/>
        <v>SUDESTE</v>
      </c>
    </row>
    <row r="4290" ht="14.25" customHeight="1">
      <c r="G4290" s="174" t="s">
        <v>5844</v>
      </c>
      <c r="H4290" s="174" t="s">
        <v>1750</v>
      </c>
      <c r="I4290" s="174" t="str">
        <f t="shared" si="1"/>
        <v>SUDESTE</v>
      </c>
    </row>
    <row r="4291" ht="14.25" customHeight="1">
      <c r="G4291" s="174" t="s">
        <v>5845</v>
      </c>
      <c r="H4291" s="174" t="s">
        <v>1658</v>
      </c>
      <c r="I4291" s="174" t="str">
        <f t="shared" si="1"/>
        <v>CENTRO OESTE</v>
      </c>
    </row>
    <row r="4292" ht="14.25" customHeight="1">
      <c r="G4292" s="174" t="s">
        <v>5846</v>
      </c>
      <c r="H4292" s="174" t="s">
        <v>1666</v>
      </c>
      <c r="I4292" s="174" t="str">
        <f t="shared" si="1"/>
        <v>SUDESTE</v>
      </c>
    </row>
    <row r="4293" ht="14.25" customHeight="1">
      <c r="G4293" s="174" t="s">
        <v>5847</v>
      </c>
      <c r="H4293" s="174" t="s">
        <v>1750</v>
      </c>
      <c r="I4293" s="174" t="str">
        <f t="shared" si="1"/>
        <v>SUDESTE</v>
      </c>
    </row>
    <row r="4294" ht="14.25" customHeight="1">
      <c r="G4294" s="174" t="s">
        <v>5848</v>
      </c>
      <c r="H4294" s="174" t="s">
        <v>1687</v>
      </c>
      <c r="I4294" s="174" t="str">
        <f t="shared" si="1"/>
        <v>NORTE</v>
      </c>
    </row>
    <row r="4295" ht="14.25" customHeight="1">
      <c r="G4295" s="174" t="s">
        <v>5849</v>
      </c>
      <c r="H4295" s="174" t="s">
        <v>1690</v>
      </c>
      <c r="I4295" s="174" t="str">
        <f t="shared" si="1"/>
        <v>NORDESTE</v>
      </c>
    </row>
    <row r="4296" ht="14.25" customHeight="1">
      <c r="G4296" s="174" t="s">
        <v>5850</v>
      </c>
      <c r="H4296" s="174" t="s">
        <v>1733</v>
      </c>
      <c r="I4296" s="174" t="str">
        <f t="shared" si="1"/>
        <v>NORDESTE</v>
      </c>
    </row>
    <row r="4297" ht="14.25" customHeight="1">
      <c r="G4297" s="174" t="s">
        <v>5850</v>
      </c>
      <c r="H4297" s="174" t="s">
        <v>1685</v>
      </c>
      <c r="I4297" s="174" t="str">
        <f t="shared" si="1"/>
        <v>NORDESTE</v>
      </c>
    </row>
    <row r="4298" ht="14.25" customHeight="1">
      <c r="G4298" s="174" t="s">
        <v>5851</v>
      </c>
      <c r="H4298" s="174" t="s">
        <v>1666</v>
      </c>
      <c r="I4298" s="174" t="str">
        <f t="shared" si="1"/>
        <v>SUDESTE</v>
      </c>
    </row>
    <row r="4299" ht="14.25" customHeight="1">
      <c r="G4299" s="174" t="s">
        <v>5852</v>
      </c>
      <c r="H4299" s="174" t="s">
        <v>1702</v>
      </c>
      <c r="I4299" s="174" t="str">
        <f t="shared" si="1"/>
        <v>SUL</v>
      </c>
    </row>
    <row r="4300" ht="14.25" customHeight="1">
      <c r="G4300" s="174" t="s">
        <v>5853</v>
      </c>
      <c r="H4300" s="174" t="s">
        <v>1750</v>
      </c>
      <c r="I4300" s="174" t="str">
        <f t="shared" si="1"/>
        <v>SUDESTE</v>
      </c>
    </row>
    <row r="4301" ht="14.25" customHeight="1">
      <c r="G4301" s="174" t="s">
        <v>5854</v>
      </c>
      <c r="H4301" s="174" t="s">
        <v>1666</v>
      </c>
      <c r="I4301" s="174" t="str">
        <f t="shared" si="1"/>
        <v>SUDESTE</v>
      </c>
    </row>
    <row r="4302" ht="14.25" customHeight="1">
      <c r="G4302" s="174" t="s">
        <v>5855</v>
      </c>
      <c r="H4302" s="174" t="s">
        <v>1690</v>
      </c>
      <c r="I4302" s="174" t="str">
        <f t="shared" si="1"/>
        <v>NORDESTE</v>
      </c>
    </row>
    <row r="4303" ht="14.25" customHeight="1">
      <c r="G4303" s="174" t="s">
        <v>5856</v>
      </c>
      <c r="H4303" s="174" t="s">
        <v>1666</v>
      </c>
      <c r="I4303" s="174" t="str">
        <f t="shared" si="1"/>
        <v>SUDESTE</v>
      </c>
    </row>
    <row r="4304" ht="14.25" customHeight="1">
      <c r="G4304" s="174" t="s">
        <v>5857</v>
      </c>
      <c r="H4304" s="174" t="s">
        <v>1742</v>
      </c>
      <c r="I4304" s="174" t="str">
        <f t="shared" si="1"/>
        <v>SUL</v>
      </c>
    </row>
    <row r="4305" ht="14.25" customHeight="1">
      <c r="G4305" s="174" t="s">
        <v>5858</v>
      </c>
      <c r="H4305" s="174" t="s">
        <v>1750</v>
      </c>
      <c r="I4305" s="174" t="str">
        <f t="shared" si="1"/>
        <v>SUDESTE</v>
      </c>
    </row>
    <row r="4306" ht="14.25" customHeight="1">
      <c r="G4306" s="174" t="s">
        <v>5859</v>
      </c>
      <c r="H4306" s="174" t="s">
        <v>1717</v>
      </c>
      <c r="I4306" s="174" t="str">
        <f t="shared" si="1"/>
        <v>NORDESTE</v>
      </c>
    </row>
    <row r="4307" ht="14.25" customHeight="1">
      <c r="G4307" s="174" t="s">
        <v>5860</v>
      </c>
      <c r="H4307" s="174" t="s">
        <v>1742</v>
      </c>
      <c r="I4307" s="174" t="str">
        <f t="shared" si="1"/>
        <v>SUL</v>
      </c>
    </row>
    <row r="4308" ht="14.25" customHeight="1">
      <c r="G4308" s="174" t="s">
        <v>5861</v>
      </c>
      <c r="H4308" s="174" t="s">
        <v>1750</v>
      </c>
      <c r="I4308" s="174" t="str">
        <f t="shared" si="1"/>
        <v>SUDESTE</v>
      </c>
    </row>
    <row r="4309" ht="14.25" customHeight="1">
      <c r="G4309" s="174" t="s">
        <v>5862</v>
      </c>
      <c r="H4309" s="174" t="s">
        <v>1750</v>
      </c>
      <c r="I4309" s="174" t="str">
        <f t="shared" si="1"/>
        <v>SUDESTE</v>
      </c>
    </row>
    <row r="4310" ht="14.25" customHeight="1">
      <c r="G4310" s="174" t="s">
        <v>5863</v>
      </c>
      <c r="H4310" s="174" t="s">
        <v>1750</v>
      </c>
      <c r="I4310" s="174" t="str">
        <f t="shared" si="1"/>
        <v>SUDESTE</v>
      </c>
    </row>
    <row r="4311" ht="14.25" customHeight="1">
      <c r="G4311" s="174" t="s">
        <v>5864</v>
      </c>
      <c r="H4311" s="174" t="s">
        <v>1706</v>
      </c>
      <c r="I4311" s="174" t="str">
        <f t="shared" si="1"/>
        <v>SUL</v>
      </c>
    </row>
    <row r="4312" ht="14.25" customHeight="1">
      <c r="G4312" s="174" t="s">
        <v>5865</v>
      </c>
      <c r="H4312" s="174" t="s">
        <v>1719</v>
      </c>
      <c r="I4312" s="174" t="str">
        <f t="shared" si="1"/>
        <v>NORDESTE</v>
      </c>
    </row>
    <row r="4313" ht="14.25" customHeight="1">
      <c r="G4313" s="174" t="s">
        <v>5865</v>
      </c>
      <c r="H4313" s="174" t="s">
        <v>1717</v>
      </c>
      <c r="I4313" s="174" t="str">
        <f t="shared" si="1"/>
        <v>NORDESTE</v>
      </c>
    </row>
    <row r="4314" ht="14.25" customHeight="1">
      <c r="G4314" s="174" t="s">
        <v>5866</v>
      </c>
      <c r="H4314" s="174" t="s">
        <v>1747</v>
      </c>
      <c r="I4314" s="174" t="str">
        <f t="shared" si="1"/>
        <v>NORDESTE</v>
      </c>
    </row>
    <row r="4315" ht="14.25" customHeight="1">
      <c r="G4315" s="174" t="s">
        <v>5867</v>
      </c>
      <c r="H4315" s="174" t="s">
        <v>1719</v>
      </c>
      <c r="I4315" s="174" t="str">
        <f t="shared" si="1"/>
        <v>NORDESTE</v>
      </c>
    </row>
    <row r="4316" ht="14.25" customHeight="1">
      <c r="G4316" s="174" t="s">
        <v>5868</v>
      </c>
      <c r="H4316" s="174" t="s">
        <v>1702</v>
      </c>
      <c r="I4316" s="174" t="str">
        <f t="shared" si="1"/>
        <v>SUL</v>
      </c>
    </row>
    <row r="4317" ht="14.25" customHeight="1">
      <c r="G4317" s="174" t="s">
        <v>5869</v>
      </c>
      <c r="H4317" s="174" t="s">
        <v>1717</v>
      </c>
      <c r="I4317" s="174" t="str">
        <f t="shared" si="1"/>
        <v>NORDESTE</v>
      </c>
    </row>
    <row r="4318" ht="14.25" customHeight="1">
      <c r="G4318" s="174" t="s">
        <v>5870</v>
      </c>
      <c r="H4318" s="174" t="s">
        <v>1666</v>
      </c>
      <c r="I4318" s="174" t="str">
        <f t="shared" si="1"/>
        <v>SUDESTE</v>
      </c>
    </row>
    <row r="4319" ht="14.25" customHeight="1">
      <c r="G4319" s="174" t="s">
        <v>5871</v>
      </c>
      <c r="H4319" s="174" t="s">
        <v>1685</v>
      </c>
      <c r="I4319" s="174" t="str">
        <f t="shared" si="1"/>
        <v>NORDESTE</v>
      </c>
    </row>
    <row r="4320" ht="14.25" customHeight="1">
      <c r="G4320" s="174" t="s">
        <v>5872</v>
      </c>
      <c r="H4320" s="174" t="s">
        <v>1687</v>
      </c>
      <c r="I4320" s="174" t="str">
        <f t="shared" si="1"/>
        <v>NORTE</v>
      </c>
    </row>
    <row r="4321" ht="14.25" customHeight="1">
      <c r="G4321" s="174" t="s">
        <v>5873</v>
      </c>
      <c r="H4321" s="174" t="s">
        <v>1690</v>
      </c>
      <c r="I4321" s="174" t="str">
        <f t="shared" si="1"/>
        <v>NORDESTE</v>
      </c>
    </row>
    <row r="4322" ht="14.25" customHeight="1">
      <c r="G4322" s="174" t="s">
        <v>5874</v>
      </c>
      <c r="H4322" s="174" t="s">
        <v>1750</v>
      </c>
      <c r="I4322" s="174" t="str">
        <f t="shared" si="1"/>
        <v>SUDESTE</v>
      </c>
    </row>
    <row r="4323" ht="14.25" customHeight="1">
      <c r="G4323" s="174" t="s">
        <v>5875</v>
      </c>
      <c r="H4323" s="174" t="s">
        <v>1717</v>
      </c>
      <c r="I4323" s="174" t="str">
        <f t="shared" si="1"/>
        <v>NORDESTE</v>
      </c>
    </row>
    <row r="4324" ht="14.25" customHeight="1">
      <c r="G4324" s="174" t="s">
        <v>5876</v>
      </c>
      <c r="H4324" s="174" t="s">
        <v>1750</v>
      </c>
      <c r="I4324" s="174" t="str">
        <f t="shared" si="1"/>
        <v>SUDESTE</v>
      </c>
    </row>
    <row r="4325" ht="14.25" customHeight="1">
      <c r="G4325" s="174" t="s">
        <v>5876</v>
      </c>
      <c r="H4325" s="174" t="s">
        <v>1706</v>
      </c>
      <c r="I4325" s="174" t="str">
        <f t="shared" si="1"/>
        <v>SUL</v>
      </c>
    </row>
    <row r="4326" ht="14.25" customHeight="1">
      <c r="G4326" s="174" t="s">
        <v>5877</v>
      </c>
      <c r="H4326" s="174" t="s">
        <v>1750</v>
      </c>
      <c r="I4326" s="174" t="str">
        <f t="shared" si="1"/>
        <v>SUDESTE</v>
      </c>
    </row>
    <row r="4327" ht="14.25" customHeight="1">
      <c r="G4327" s="174" t="s">
        <v>5878</v>
      </c>
      <c r="H4327" s="174" t="s">
        <v>1666</v>
      </c>
      <c r="I4327" s="174" t="str">
        <f t="shared" si="1"/>
        <v>SUDESTE</v>
      </c>
    </row>
    <row r="4328" ht="14.25" customHeight="1">
      <c r="G4328" s="174" t="s">
        <v>5879</v>
      </c>
      <c r="H4328" s="174" t="s">
        <v>1750</v>
      </c>
      <c r="I4328" s="174" t="str">
        <f t="shared" si="1"/>
        <v>SUDESTE</v>
      </c>
    </row>
    <row r="4329" ht="14.25" customHeight="1">
      <c r="G4329" s="174" t="s">
        <v>5880</v>
      </c>
      <c r="H4329" s="174" t="s">
        <v>1713</v>
      </c>
      <c r="I4329" s="174" t="str">
        <f t="shared" si="1"/>
        <v>CENTRO OESTE</v>
      </c>
    </row>
    <row r="4330" ht="14.25" customHeight="1">
      <c r="G4330" s="174" t="s">
        <v>5881</v>
      </c>
      <c r="H4330" s="174" t="s">
        <v>1702</v>
      </c>
      <c r="I4330" s="174" t="str">
        <f t="shared" si="1"/>
        <v>SUL</v>
      </c>
    </row>
    <row r="4331" ht="14.25" customHeight="1">
      <c r="G4331" s="174" t="s">
        <v>5882</v>
      </c>
      <c r="H4331" s="174" t="s">
        <v>1742</v>
      </c>
      <c r="I4331" s="174" t="str">
        <f t="shared" si="1"/>
        <v>SUL</v>
      </c>
    </row>
    <row r="4332" ht="14.25" customHeight="1">
      <c r="G4332" s="174" t="s">
        <v>5883</v>
      </c>
      <c r="H4332" s="174" t="s">
        <v>1702</v>
      </c>
      <c r="I4332" s="174" t="str">
        <f t="shared" si="1"/>
        <v>SUL</v>
      </c>
    </row>
    <row r="4333" ht="14.25" customHeight="1">
      <c r="G4333" s="174" t="s">
        <v>5884</v>
      </c>
      <c r="H4333" s="174" t="s">
        <v>1750</v>
      </c>
      <c r="I4333" s="174" t="str">
        <f t="shared" si="1"/>
        <v>SUDESTE</v>
      </c>
    </row>
    <row r="4334" ht="14.25" customHeight="1">
      <c r="G4334" s="174" t="s">
        <v>5885</v>
      </c>
      <c r="H4334" s="174" t="s">
        <v>1706</v>
      </c>
      <c r="I4334" s="174" t="str">
        <f t="shared" si="1"/>
        <v>SUL</v>
      </c>
    </row>
    <row r="4335" ht="14.25" customHeight="1">
      <c r="G4335" s="174" t="s">
        <v>5886</v>
      </c>
      <c r="H4335" s="174" t="s">
        <v>1685</v>
      </c>
      <c r="I4335" s="174" t="str">
        <f t="shared" si="1"/>
        <v>NORDESTE</v>
      </c>
    </row>
    <row r="4336" ht="14.25" customHeight="1">
      <c r="G4336" s="174" t="s">
        <v>5887</v>
      </c>
      <c r="H4336" s="174" t="s">
        <v>1742</v>
      </c>
      <c r="I4336" s="174" t="str">
        <f t="shared" si="1"/>
        <v>SUL</v>
      </c>
    </row>
    <row r="4337" ht="14.25" customHeight="1">
      <c r="G4337" s="174" t="s">
        <v>5888</v>
      </c>
      <c r="H4337" s="174" t="s">
        <v>1742</v>
      </c>
      <c r="I4337" s="174" t="str">
        <f t="shared" si="1"/>
        <v>SUL</v>
      </c>
    </row>
    <row r="4338" ht="14.25" customHeight="1">
      <c r="G4338" s="174" t="s">
        <v>5889</v>
      </c>
      <c r="H4338" s="174" t="s">
        <v>1687</v>
      </c>
      <c r="I4338" s="174" t="str">
        <f t="shared" si="1"/>
        <v>NORTE</v>
      </c>
    </row>
    <row r="4339" ht="14.25" customHeight="1">
      <c r="G4339" s="174" t="s">
        <v>5890</v>
      </c>
      <c r="H4339" s="174" t="s">
        <v>1704</v>
      </c>
      <c r="I4339" s="174" t="str">
        <f t="shared" si="1"/>
        <v>NORDESTE</v>
      </c>
    </row>
    <row r="4340" ht="14.25" customHeight="1">
      <c r="G4340" s="174" t="s">
        <v>5891</v>
      </c>
      <c r="H4340" s="174" t="s">
        <v>1721</v>
      </c>
      <c r="I4340" s="174" t="str">
        <f t="shared" si="1"/>
        <v>NORTE</v>
      </c>
    </row>
    <row r="4341" ht="14.25" customHeight="1">
      <c r="G4341" s="174" t="s">
        <v>5892</v>
      </c>
      <c r="H4341" s="174" t="s">
        <v>1742</v>
      </c>
      <c r="I4341" s="174" t="str">
        <f t="shared" si="1"/>
        <v>SUL</v>
      </c>
    </row>
    <row r="4342" ht="14.25" customHeight="1">
      <c r="G4342" s="174" t="s">
        <v>5893</v>
      </c>
      <c r="H4342" s="174" t="s">
        <v>1658</v>
      </c>
      <c r="I4342" s="174" t="str">
        <f t="shared" si="1"/>
        <v>CENTRO OESTE</v>
      </c>
    </row>
    <row r="4343" ht="14.25" customHeight="1">
      <c r="G4343" s="174" t="s">
        <v>5894</v>
      </c>
      <c r="H4343" s="174" t="s">
        <v>1721</v>
      </c>
      <c r="I4343" s="174" t="str">
        <f t="shared" si="1"/>
        <v>NORTE</v>
      </c>
    </row>
    <row r="4344" ht="14.25" customHeight="1">
      <c r="G4344" s="174" t="s">
        <v>5895</v>
      </c>
      <c r="H4344" s="174" t="s">
        <v>1750</v>
      </c>
      <c r="I4344" s="174" t="str">
        <f t="shared" si="1"/>
        <v>SUDESTE</v>
      </c>
    </row>
    <row r="4345" ht="14.25" customHeight="1">
      <c r="G4345" s="174" t="s">
        <v>5896</v>
      </c>
      <c r="H4345" s="174" t="s">
        <v>1706</v>
      </c>
      <c r="I4345" s="174" t="str">
        <f t="shared" si="1"/>
        <v>SUL</v>
      </c>
    </row>
    <row r="4346" ht="14.25" customHeight="1">
      <c r="G4346" s="174" t="s">
        <v>5897</v>
      </c>
      <c r="H4346" s="174" t="s">
        <v>1717</v>
      </c>
      <c r="I4346" s="174" t="str">
        <f t="shared" si="1"/>
        <v>NORDESTE</v>
      </c>
    </row>
    <row r="4347" ht="14.25" customHeight="1">
      <c r="G4347" s="174" t="s">
        <v>5898</v>
      </c>
      <c r="H4347" s="174" t="s">
        <v>1750</v>
      </c>
      <c r="I4347" s="174" t="str">
        <f t="shared" si="1"/>
        <v>SUDESTE</v>
      </c>
    </row>
    <row r="4348" ht="14.25" customHeight="1">
      <c r="G4348" s="174" t="s">
        <v>5899</v>
      </c>
      <c r="H4348" s="174" t="s">
        <v>1750</v>
      </c>
      <c r="I4348" s="174" t="str">
        <f t="shared" si="1"/>
        <v>SUDESTE</v>
      </c>
    </row>
    <row r="4349" ht="14.25" customHeight="1">
      <c r="G4349" s="174" t="s">
        <v>5900</v>
      </c>
      <c r="H4349" s="174" t="s">
        <v>1702</v>
      </c>
      <c r="I4349" s="174" t="str">
        <f t="shared" si="1"/>
        <v>SUL</v>
      </c>
    </row>
    <row r="4350" ht="14.25" customHeight="1">
      <c r="G4350" s="174" t="s">
        <v>5901</v>
      </c>
      <c r="H4350" s="174" t="s">
        <v>1685</v>
      </c>
      <c r="I4350" s="174" t="str">
        <f t="shared" si="1"/>
        <v>NORDESTE</v>
      </c>
    </row>
    <row r="4351" ht="14.25" customHeight="1">
      <c r="G4351" s="174" t="s">
        <v>5901</v>
      </c>
      <c r="H4351" s="174" t="s">
        <v>1666</v>
      </c>
      <c r="I4351" s="174" t="str">
        <f t="shared" si="1"/>
        <v>SUDESTE</v>
      </c>
    </row>
    <row r="4352" ht="14.25" customHeight="1">
      <c r="G4352" s="174" t="s">
        <v>5902</v>
      </c>
      <c r="H4352" s="174" t="s">
        <v>1750</v>
      </c>
      <c r="I4352" s="174" t="str">
        <f t="shared" si="1"/>
        <v>SUDESTE</v>
      </c>
    </row>
    <row r="4353" ht="14.25" customHeight="1">
      <c r="G4353" s="174" t="s">
        <v>5903</v>
      </c>
      <c r="H4353" s="174" t="s">
        <v>1658</v>
      </c>
      <c r="I4353" s="174" t="str">
        <f t="shared" si="1"/>
        <v>CENTRO OESTE</v>
      </c>
    </row>
    <row r="4354" ht="14.25" customHeight="1">
      <c r="G4354" s="174" t="s">
        <v>5904</v>
      </c>
      <c r="H4354" s="174" t="s">
        <v>1666</v>
      </c>
      <c r="I4354" s="174" t="str">
        <f t="shared" si="1"/>
        <v>SUDESTE</v>
      </c>
    </row>
    <row r="4355" ht="14.25" customHeight="1">
      <c r="G4355" s="174" t="s">
        <v>5905</v>
      </c>
      <c r="H4355" s="174" t="s">
        <v>1666</v>
      </c>
      <c r="I4355" s="174" t="str">
        <f t="shared" si="1"/>
        <v>SUDESTE</v>
      </c>
    </row>
    <row r="4356" ht="14.25" customHeight="1">
      <c r="G4356" s="174" t="s">
        <v>5906</v>
      </c>
      <c r="H4356" s="174" t="s">
        <v>1687</v>
      </c>
      <c r="I4356" s="174" t="str">
        <f t="shared" si="1"/>
        <v>NORTE</v>
      </c>
    </row>
    <row r="4357" ht="14.25" customHeight="1">
      <c r="G4357" s="174" t="s">
        <v>5907</v>
      </c>
      <c r="H4357" s="174" t="s">
        <v>1742</v>
      </c>
      <c r="I4357" s="174" t="str">
        <f t="shared" si="1"/>
        <v>SUL</v>
      </c>
    </row>
    <row r="4358" ht="14.25" customHeight="1">
      <c r="G4358" s="174" t="s">
        <v>5908</v>
      </c>
      <c r="H4358" s="174" t="s">
        <v>1666</v>
      </c>
      <c r="I4358" s="174" t="str">
        <f t="shared" si="1"/>
        <v>SUDESTE</v>
      </c>
    </row>
    <row r="4359" ht="14.25" customHeight="1">
      <c r="G4359" s="174" t="s">
        <v>5909</v>
      </c>
      <c r="H4359" s="174" t="s">
        <v>1750</v>
      </c>
      <c r="I4359" s="174" t="str">
        <f t="shared" si="1"/>
        <v>SUDESTE</v>
      </c>
    </row>
    <row r="4360" ht="14.25" customHeight="1">
      <c r="G4360" s="174" t="s">
        <v>5910</v>
      </c>
      <c r="H4360" s="174" t="s">
        <v>1685</v>
      </c>
      <c r="I4360" s="174" t="str">
        <f t="shared" si="1"/>
        <v>NORDESTE</v>
      </c>
    </row>
    <row r="4361" ht="14.25" customHeight="1">
      <c r="G4361" s="174" t="s">
        <v>5911</v>
      </c>
      <c r="H4361" s="174" t="s">
        <v>1713</v>
      </c>
      <c r="I4361" s="174" t="str">
        <f t="shared" si="1"/>
        <v>CENTRO OESTE</v>
      </c>
    </row>
    <row r="4362" ht="14.25" customHeight="1">
      <c r="G4362" s="174" t="s">
        <v>5912</v>
      </c>
      <c r="H4362" s="174" t="s">
        <v>1719</v>
      </c>
      <c r="I4362" s="174" t="str">
        <f t="shared" si="1"/>
        <v>NORDESTE</v>
      </c>
    </row>
    <row r="4363" ht="14.25" customHeight="1">
      <c r="G4363" s="174" t="s">
        <v>5912</v>
      </c>
      <c r="H4363" s="174" t="s">
        <v>1706</v>
      </c>
      <c r="I4363" s="174" t="str">
        <f t="shared" si="1"/>
        <v>SUL</v>
      </c>
    </row>
    <row r="4364" ht="14.25" customHeight="1">
      <c r="G4364" s="174" t="s">
        <v>5913</v>
      </c>
      <c r="H4364" s="174" t="s">
        <v>1702</v>
      </c>
      <c r="I4364" s="174" t="str">
        <f t="shared" si="1"/>
        <v>SUL</v>
      </c>
    </row>
    <row r="4365" ht="14.25" customHeight="1">
      <c r="G4365" s="174" t="s">
        <v>5914</v>
      </c>
      <c r="H4365" s="174" t="s">
        <v>1742</v>
      </c>
      <c r="I4365" s="174" t="str">
        <f t="shared" si="1"/>
        <v>SUL</v>
      </c>
    </row>
    <row r="4366" ht="14.25" customHeight="1">
      <c r="G4366" s="174" t="s">
        <v>5915</v>
      </c>
      <c r="H4366" s="174" t="s">
        <v>1750</v>
      </c>
      <c r="I4366" s="174" t="str">
        <f t="shared" si="1"/>
        <v>SUDESTE</v>
      </c>
    </row>
    <row r="4367" ht="14.25" customHeight="1">
      <c r="G4367" s="174" t="s">
        <v>5916</v>
      </c>
      <c r="H4367" s="174" t="s">
        <v>1742</v>
      </c>
      <c r="I4367" s="174" t="str">
        <f t="shared" si="1"/>
        <v>SUL</v>
      </c>
    </row>
    <row r="4368" ht="14.25" customHeight="1">
      <c r="G4368" s="174" t="s">
        <v>5917</v>
      </c>
      <c r="H4368" s="174" t="s">
        <v>1733</v>
      </c>
      <c r="I4368" s="174" t="str">
        <f t="shared" si="1"/>
        <v>NORDESTE</v>
      </c>
    </row>
    <row r="4369" ht="14.25" customHeight="1">
      <c r="G4369" s="174" t="s">
        <v>5917</v>
      </c>
      <c r="H4369" s="174" t="s">
        <v>1719</v>
      </c>
      <c r="I4369" s="174" t="str">
        <f t="shared" si="1"/>
        <v>NORDESTE</v>
      </c>
    </row>
    <row r="4370" ht="14.25" customHeight="1">
      <c r="G4370" s="174" t="s">
        <v>5917</v>
      </c>
      <c r="H4370" s="174" t="s">
        <v>1717</v>
      </c>
      <c r="I4370" s="174" t="str">
        <f t="shared" si="1"/>
        <v>NORDESTE</v>
      </c>
    </row>
    <row r="4371" ht="14.25" customHeight="1">
      <c r="G4371" s="174" t="s">
        <v>5918</v>
      </c>
      <c r="H4371" s="174" t="s">
        <v>1685</v>
      </c>
      <c r="I4371" s="174" t="str">
        <f t="shared" si="1"/>
        <v>NORDESTE</v>
      </c>
    </row>
    <row r="4372" ht="14.25" customHeight="1">
      <c r="G4372" s="174" t="s">
        <v>5919</v>
      </c>
      <c r="H4372" s="174" t="s">
        <v>1717</v>
      </c>
      <c r="I4372" s="174" t="str">
        <f t="shared" si="1"/>
        <v>NORDESTE</v>
      </c>
    </row>
    <row r="4373" ht="14.25" customHeight="1">
      <c r="G4373" s="174" t="s">
        <v>5920</v>
      </c>
      <c r="H4373" s="174" t="s">
        <v>1750</v>
      </c>
      <c r="I4373" s="174" t="str">
        <f t="shared" si="1"/>
        <v>SUDESTE</v>
      </c>
    </row>
    <row r="4374" ht="14.25" customHeight="1">
      <c r="G4374" s="174" t="s">
        <v>5921</v>
      </c>
      <c r="H4374" s="174" t="s">
        <v>1750</v>
      </c>
      <c r="I4374" s="174" t="str">
        <f t="shared" si="1"/>
        <v>SUDESTE</v>
      </c>
    </row>
    <row r="4375" ht="14.25" customHeight="1">
      <c r="G4375" s="174" t="s">
        <v>5922</v>
      </c>
      <c r="H4375" s="174" t="s">
        <v>1685</v>
      </c>
      <c r="I4375" s="174" t="str">
        <f t="shared" si="1"/>
        <v>NORDESTE</v>
      </c>
    </row>
    <row r="4376" ht="14.25" customHeight="1">
      <c r="G4376" s="174" t="s">
        <v>5923</v>
      </c>
      <c r="H4376" s="174" t="s">
        <v>1750</v>
      </c>
      <c r="I4376" s="174" t="str">
        <f t="shared" si="1"/>
        <v>SUDESTE</v>
      </c>
    </row>
    <row r="4377" ht="14.25" customHeight="1">
      <c r="G4377" s="174" t="s">
        <v>5924</v>
      </c>
      <c r="H4377" s="174" t="s">
        <v>1658</v>
      </c>
      <c r="I4377" s="174" t="str">
        <f t="shared" si="1"/>
        <v>CENTRO OESTE</v>
      </c>
    </row>
    <row r="4378" ht="14.25" customHeight="1">
      <c r="G4378" s="174" t="s">
        <v>5925</v>
      </c>
      <c r="H4378" s="174" t="s">
        <v>1666</v>
      </c>
      <c r="I4378" s="174" t="str">
        <f t="shared" si="1"/>
        <v>SUDESTE</v>
      </c>
    </row>
    <row r="4379" ht="14.25" customHeight="1">
      <c r="G4379" s="174" t="s">
        <v>5926</v>
      </c>
      <c r="H4379" s="174" t="s">
        <v>1702</v>
      </c>
      <c r="I4379" s="174" t="str">
        <f t="shared" si="1"/>
        <v>SUL</v>
      </c>
    </row>
    <row r="4380" ht="14.25" customHeight="1">
      <c r="G4380" s="174" t="s">
        <v>5927</v>
      </c>
      <c r="H4380" s="174" t="s">
        <v>1666</v>
      </c>
      <c r="I4380" s="174" t="str">
        <f t="shared" si="1"/>
        <v>SUDESTE</v>
      </c>
    </row>
    <row r="4381" ht="14.25" customHeight="1">
      <c r="G4381" s="174" t="s">
        <v>5928</v>
      </c>
      <c r="H4381" s="174" t="s">
        <v>1687</v>
      </c>
      <c r="I4381" s="174" t="str">
        <f t="shared" si="1"/>
        <v>NORTE</v>
      </c>
    </row>
    <row r="4382" ht="14.25" customHeight="1">
      <c r="G4382" s="174" t="s">
        <v>5929</v>
      </c>
      <c r="H4382" s="174" t="s">
        <v>1717</v>
      </c>
      <c r="I4382" s="174" t="str">
        <f t="shared" si="1"/>
        <v>NORDESTE</v>
      </c>
    </row>
    <row r="4383" ht="14.25" customHeight="1">
      <c r="G4383" s="174" t="s">
        <v>5930</v>
      </c>
      <c r="H4383" s="174" t="s">
        <v>1666</v>
      </c>
      <c r="I4383" s="174" t="str">
        <f t="shared" si="1"/>
        <v>SUDESTE</v>
      </c>
    </row>
    <row r="4384" ht="14.25" customHeight="1">
      <c r="G4384" s="174" t="s">
        <v>5931</v>
      </c>
      <c r="H4384" s="174" t="s">
        <v>1725</v>
      </c>
      <c r="I4384" s="174" t="str">
        <f t="shared" si="1"/>
        <v>NORDESTE</v>
      </c>
    </row>
    <row r="4385" ht="14.25" customHeight="1">
      <c r="G4385" s="174" t="s">
        <v>5932</v>
      </c>
      <c r="H4385" s="174" t="s">
        <v>1750</v>
      </c>
      <c r="I4385" s="174" t="str">
        <f t="shared" si="1"/>
        <v>SUDESTE</v>
      </c>
    </row>
    <row r="4386" ht="14.25" customHeight="1">
      <c r="G4386" s="174" t="s">
        <v>5933</v>
      </c>
      <c r="H4386" s="174" t="s">
        <v>1742</v>
      </c>
      <c r="I4386" s="174" t="str">
        <f t="shared" si="1"/>
        <v>SUL</v>
      </c>
    </row>
    <row r="4387" ht="14.25" customHeight="1">
      <c r="G4387" s="174" t="s">
        <v>5934</v>
      </c>
      <c r="H4387" s="174" t="s">
        <v>1713</v>
      </c>
      <c r="I4387" s="174" t="str">
        <f t="shared" si="1"/>
        <v>CENTRO OESTE</v>
      </c>
    </row>
    <row r="4388" ht="14.25" customHeight="1">
      <c r="G4388" s="174" t="s">
        <v>5935</v>
      </c>
      <c r="H4388" s="174" t="s">
        <v>1725</v>
      </c>
      <c r="I4388" s="174" t="str">
        <f t="shared" si="1"/>
        <v>NORDESTE</v>
      </c>
    </row>
    <row r="4389" ht="14.25" customHeight="1">
      <c r="G4389" s="174" t="s">
        <v>5936</v>
      </c>
      <c r="H4389" s="174" t="s">
        <v>1666</v>
      </c>
      <c r="I4389" s="174" t="str">
        <f t="shared" si="1"/>
        <v>SUDESTE</v>
      </c>
    </row>
    <row r="4390" ht="14.25" customHeight="1">
      <c r="G4390" s="174" t="s">
        <v>5937</v>
      </c>
      <c r="H4390" s="174" t="s">
        <v>1750</v>
      </c>
      <c r="I4390" s="174" t="str">
        <f t="shared" si="1"/>
        <v>SUDESTE</v>
      </c>
    </row>
    <row r="4391" ht="14.25" customHeight="1">
      <c r="G4391" s="174" t="s">
        <v>5938</v>
      </c>
      <c r="H4391" s="174" t="s">
        <v>1702</v>
      </c>
      <c r="I4391" s="174" t="str">
        <f t="shared" si="1"/>
        <v>SUL</v>
      </c>
    </row>
    <row r="4392" ht="14.25" customHeight="1">
      <c r="G4392" s="174" t="s">
        <v>5939</v>
      </c>
      <c r="H4392" s="174" t="s">
        <v>1658</v>
      </c>
      <c r="I4392" s="174" t="str">
        <f t="shared" si="1"/>
        <v>CENTRO OESTE</v>
      </c>
    </row>
    <row r="4393" ht="14.25" customHeight="1">
      <c r="G4393" s="174" t="s">
        <v>5940</v>
      </c>
      <c r="H4393" s="174" t="s">
        <v>1666</v>
      </c>
      <c r="I4393" s="174" t="str">
        <f t="shared" si="1"/>
        <v>SUDESTE</v>
      </c>
    </row>
    <row r="4394" ht="14.25" customHeight="1">
      <c r="G4394" s="174" t="s">
        <v>5941</v>
      </c>
      <c r="H4394" s="174" t="s">
        <v>1721</v>
      </c>
      <c r="I4394" s="174" t="str">
        <f t="shared" si="1"/>
        <v>NORTE</v>
      </c>
    </row>
    <row r="4395" ht="14.25" customHeight="1">
      <c r="G4395" s="174" t="s">
        <v>5942</v>
      </c>
      <c r="H4395" s="174" t="s">
        <v>1750</v>
      </c>
      <c r="I4395" s="174" t="str">
        <f t="shared" si="1"/>
        <v>SUDESTE</v>
      </c>
    </row>
    <row r="4396" ht="14.25" customHeight="1">
      <c r="G4396" s="174" t="s">
        <v>5943</v>
      </c>
      <c r="H4396" s="174" t="s">
        <v>1725</v>
      </c>
      <c r="I4396" s="174" t="str">
        <f t="shared" si="1"/>
        <v>NORDESTE</v>
      </c>
    </row>
    <row r="4397" ht="14.25" customHeight="1">
      <c r="G4397" s="174" t="s">
        <v>5943</v>
      </c>
      <c r="H4397" s="174" t="s">
        <v>1717</v>
      </c>
      <c r="I4397" s="174" t="str">
        <f t="shared" si="1"/>
        <v>NORDESTE</v>
      </c>
    </row>
    <row r="4398" ht="14.25" customHeight="1">
      <c r="G4398" s="174" t="s">
        <v>5944</v>
      </c>
      <c r="H4398" s="174" t="s">
        <v>1704</v>
      </c>
      <c r="I4398" s="174" t="str">
        <f t="shared" si="1"/>
        <v>NORDESTE</v>
      </c>
    </row>
    <row r="4399" ht="14.25" customHeight="1">
      <c r="G4399" s="174" t="s">
        <v>5945</v>
      </c>
      <c r="H4399" s="174" t="s">
        <v>1750</v>
      </c>
      <c r="I4399" s="174" t="str">
        <f t="shared" si="1"/>
        <v>SUDESTE</v>
      </c>
    </row>
    <row r="4400" ht="14.25" customHeight="1">
      <c r="G4400" s="174" t="s">
        <v>5946</v>
      </c>
      <c r="H4400" s="174" t="s">
        <v>1704</v>
      </c>
      <c r="I4400" s="174" t="str">
        <f t="shared" si="1"/>
        <v>NORDESTE</v>
      </c>
    </row>
    <row r="4401" ht="14.25" customHeight="1">
      <c r="G4401" s="174" t="s">
        <v>5946</v>
      </c>
      <c r="H4401" s="174" t="s">
        <v>1719</v>
      </c>
      <c r="I4401" s="174" t="str">
        <f t="shared" si="1"/>
        <v>NORDESTE</v>
      </c>
    </row>
    <row r="4402" ht="14.25" customHeight="1">
      <c r="G4402" s="174" t="s">
        <v>5946</v>
      </c>
      <c r="H4402" s="174" t="s">
        <v>1702</v>
      </c>
      <c r="I4402" s="174" t="str">
        <f t="shared" si="1"/>
        <v>SUL</v>
      </c>
    </row>
    <row r="4403" ht="14.25" customHeight="1">
      <c r="G4403" s="174" t="s">
        <v>5946</v>
      </c>
      <c r="H4403" s="174" t="s">
        <v>1706</v>
      </c>
      <c r="I4403" s="174" t="str">
        <f t="shared" si="1"/>
        <v>SUL</v>
      </c>
    </row>
    <row r="4404" ht="14.25" customHeight="1">
      <c r="G4404" s="174" t="s">
        <v>5947</v>
      </c>
      <c r="H4404" s="174" t="s">
        <v>1658</v>
      </c>
      <c r="I4404" s="174" t="str">
        <f t="shared" si="1"/>
        <v>CENTRO OESTE</v>
      </c>
    </row>
    <row r="4405" ht="14.25" customHeight="1">
      <c r="G4405" s="174" t="s">
        <v>5948</v>
      </c>
      <c r="H4405" s="174" t="s">
        <v>1666</v>
      </c>
      <c r="I4405" s="174" t="str">
        <f t="shared" si="1"/>
        <v>SUDESTE</v>
      </c>
    </row>
    <row r="4406" ht="14.25" customHeight="1">
      <c r="G4406" s="174" t="s">
        <v>5949</v>
      </c>
      <c r="H4406" s="174" t="s">
        <v>1704</v>
      </c>
      <c r="I4406" s="174" t="str">
        <f t="shared" si="1"/>
        <v>NORDESTE</v>
      </c>
    </row>
    <row r="4407" ht="14.25" customHeight="1">
      <c r="G4407" s="174" t="s">
        <v>5949</v>
      </c>
      <c r="H4407" s="174" t="s">
        <v>1719</v>
      </c>
      <c r="I4407" s="174" t="str">
        <f t="shared" si="1"/>
        <v>NORDESTE</v>
      </c>
    </row>
    <row r="4408" ht="14.25" customHeight="1">
      <c r="G4408" s="174" t="s">
        <v>5949</v>
      </c>
      <c r="H4408" s="174" t="s">
        <v>1685</v>
      </c>
      <c r="I4408" s="174" t="str">
        <f t="shared" si="1"/>
        <v>NORDESTE</v>
      </c>
    </row>
    <row r="4409" ht="14.25" customHeight="1">
      <c r="G4409" s="174" t="s">
        <v>5949</v>
      </c>
      <c r="H4409" s="174" t="s">
        <v>1702</v>
      </c>
      <c r="I4409" s="174" t="str">
        <f t="shared" si="1"/>
        <v>SUL</v>
      </c>
    </row>
    <row r="4410" ht="14.25" customHeight="1">
      <c r="G4410" s="174" t="s">
        <v>5950</v>
      </c>
      <c r="H4410" s="174" t="s">
        <v>1750</v>
      </c>
      <c r="I4410" s="174" t="str">
        <f t="shared" si="1"/>
        <v>SUDESTE</v>
      </c>
    </row>
    <row r="4411" ht="14.25" customHeight="1">
      <c r="G4411" s="174" t="s">
        <v>5950</v>
      </c>
      <c r="H4411" s="174" t="s">
        <v>1658</v>
      </c>
      <c r="I4411" s="174" t="str">
        <f t="shared" si="1"/>
        <v>CENTRO OESTE</v>
      </c>
    </row>
    <row r="4412" ht="14.25" customHeight="1">
      <c r="G4412" s="174" t="s">
        <v>5951</v>
      </c>
      <c r="H4412" s="174" t="s">
        <v>1702</v>
      </c>
      <c r="I4412" s="174" t="str">
        <f t="shared" si="1"/>
        <v>SUL</v>
      </c>
    </row>
    <row r="4413" ht="14.25" customHeight="1">
      <c r="G4413" s="174" t="s">
        <v>5952</v>
      </c>
      <c r="H4413" s="174" t="s">
        <v>1687</v>
      </c>
      <c r="I4413" s="174" t="str">
        <f t="shared" si="1"/>
        <v>NORTE</v>
      </c>
    </row>
    <row r="4414" ht="14.25" customHeight="1">
      <c r="G4414" s="174" t="s">
        <v>5953</v>
      </c>
      <c r="H4414" s="174" t="s">
        <v>1672</v>
      </c>
      <c r="I4414" s="174" t="str">
        <f t="shared" si="1"/>
        <v>NORTE</v>
      </c>
    </row>
    <row r="4415" ht="14.25" customHeight="1">
      <c r="G4415" s="174" t="s">
        <v>5954</v>
      </c>
      <c r="H4415" s="174" t="s">
        <v>1702</v>
      </c>
      <c r="I4415" s="174" t="str">
        <f t="shared" si="1"/>
        <v>SUL</v>
      </c>
    </row>
    <row r="4416" ht="14.25" customHeight="1">
      <c r="G4416" s="174" t="s">
        <v>5955</v>
      </c>
      <c r="H4416" s="174" t="s">
        <v>1666</v>
      </c>
      <c r="I4416" s="174" t="str">
        <f t="shared" si="1"/>
        <v>SUDESTE</v>
      </c>
    </row>
    <row r="4417" ht="14.25" customHeight="1">
      <c r="G4417" s="174" t="s">
        <v>5956</v>
      </c>
      <c r="H4417" s="174" t="s">
        <v>1698</v>
      </c>
      <c r="I4417" s="174" t="str">
        <f t="shared" si="1"/>
        <v>SUDESTE</v>
      </c>
    </row>
    <row r="4418" ht="14.25" customHeight="1">
      <c r="G4418" s="174" t="s">
        <v>5957</v>
      </c>
      <c r="H4418" s="174" t="s">
        <v>1750</v>
      </c>
      <c r="I4418" s="174" t="str">
        <f t="shared" si="1"/>
        <v>SUDESTE</v>
      </c>
    </row>
    <row r="4419" ht="14.25" customHeight="1">
      <c r="G4419" s="174" t="s">
        <v>5957</v>
      </c>
      <c r="H4419" s="174" t="s">
        <v>1702</v>
      </c>
      <c r="I4419" s="174" t="str">
        <f t="shared" si="1"/>
        <v>SUL</v>
      </c>
    </row>
    <row r="4420" ht="14.25" customHeight="1">
      <c r="G4420" s="174" t="s">
        <v>5958</v>
      </c>
      <c r="H4420" s="174" t="s">
        <v>1725</v>
      </c>
      <c r="I4420" s="174" t="str">
        <f t="shared" si="1"/>
        <v>NORDESTE</v>
      </c>
    </row>
    <row r="4421" ht="14.25" customHeight="1">
      <c r="G4421" s="174" t="s">
        <v>5959</v>
      </c>
      <c r="H4421" s="174" t="s">
        <v>1704</v>
      </c>
      <c r="I4421" s="174" t="str">
        <f t="shared" si="1"/>
        <v>NORDESTE</v>
      </c>
    </row>
    <row r="4422" ht="14.25" customHeight="1">
      <c r="G4422" s="174" t="s">
        <v>5959</v>
      </c>
      <c r="H4422" s="174" t="s">
        <v>1719</v>
      </c>
      <c r="I4422" s="174" t="str">
        <f t="shared" si="1"/>
        <v>NORDESTE</v>
      </c>
    </row>
    <row r="4423" ht="14.25" customHeight="1">
      <c r="G4423" s="174" t="s">
        <v>5959</v>
      </c>
      <c r="H4423" s="174" t="s">
        <v>1685</v>
      </c>
      <c r="I4423" s="174" t="str">
        <f t="shared" si="1"/>
        <v>NORDESTE</v>
      </c>
    </row>
    <row r="4424" ht="14.25" customHeight="1">
      <c r="G4424" s="174" t="s">
        <v>5959</v>
      </c>
      <c r="H4424" s="174" t="s">
        <v>1666</v>
      </c>
      <c r="I4424" s="174" t="str">
        <f t="shared" si="1"/>
        <v>SUDESTE</v>
      </c>
    </row>
    <row r="4425" ht="14.25" customHeight="1">
      <c r="G4425" s="174" t="s">
        <v>5960</v>
      </c>
      <c r="H4425" s="174" t="s">
        <v>1736</v>
      </c>
      <c r="I4425" s="174" t="str">
        <f t="shared" si="1"/>
        <v>NORTE</v>
      </c>
    </row>
    <row r="4426" ht="14.25" customHeight="1">
      <c r="G4426" s="174" t="s">
        <v>5961</v>
      </c>
      <c r="H4426" s="174" t="s">
        <v>1747</v>
      </c>
      <c r="I4426" s="174" t="str">
        <f t="shared" si="1"/>
        <v>NORDESTE</v>
      </c>
    </row>
    <row r="4427" ht="14.25" customHeight="1">
      <c r="G4427" s="174" t="s">
        <v>5962</v>
      </c>
      <c r="H4427" s="174" t="s">
        <v>1664</v>
      </c>
      <c r="I4427" s="174" t="str">
        <f t="shared" si="1"/>
        <v>NORDESTE</v>
      </c>
    </row>
    <row r="4428" ht="14.25" customHeight="1">
      <c r="G4428" s="174" t="s">
        <v>5963</v>
      </c>
      <c r="H4428" s="174" t="s">
        <v>1687</v>
      </c>
      <c r="I4428" s="174" t="str">
        <f t="shared" si="1"/>
        <v>NORTE</v>
      </c>
    </row>
    <row r="4429" ht="14.25" customHeight="1">
      <c r="G4429" s="174" t="s">
        <v>5964</v>
      </c>
      <c r="H4429" s="174" t="s">
        <v>1704</v>
      </c>
      <c r="I4429" s="174" t="str">
        <f t="shared" si="1"/>
        <v>NORDESTE</v>
      </c>
    </row>
    <row r="4430" ht="14.25" customHeight="1">
      <c r="G4430" s="174" t="s">
        <v>5965</v>
      </c>
      <c r="H4430" s="174" t="s">
        <v>1666</v>
      </c>
      <c r="I4430" s="174" t="str">
        <f t="shared" si="1"/>
        <v>SUDESTE</v>
      </c>
    </row>
    <row r="4431" ht="14.25" customHeight="1">
      <c r="G4431" s="174" t="s">
        <v>5966</v>
      </c>
      <c r="H4431" s="174" t="s">
        <v>1742</v>
      </c>
      <c r="I4431" s="174" t="str">
        <f t="shared" si="1"/>
        <v>SUL</v>
      </c>
    </row>
    <row r="4432" ht="14.25" customHeight="1">
      <c r="G4432" s="174" t="s">
        <v>5967</v>
      </c>
      <c r="H4432" s="174" t="s">
        <v>1733</v>
      </c>
      <c r="I4432" s="174" t="str">
        <f t="shared" si="1"/>
        <v>NORDESTE</v>
      </c>
    </row>
    <row r="4433" ht="14.25" customHeight="1">
      <c r="G4433" s="174" t="s">
        <v>5967</v>
      </c>
      <c r="H4433" s="174" t="s">
        <v>1742</v>
      </c>
      <c r="I4433" s="174" t="str">
        <f t="shared" si="1"/>
        <v>SUL</v>
      </c>
    </row>
    <row r="4434" ht="14.25" customHeight="1">
      <c r="G4434" s="174" t="s">
        <v>5968</v>
      </c>
      <c r="H4434" s="174" t="s">
        <v>1717</v>
      </c>
      <c r="I4434" s="174" t="str">
        <f t="shared" si="1"/>
        <v>NORDESTE</v>
      </c>
    </row>
    <row r="4435" ht="14.25" customHeight="1">
      <c r="G4435" s="174" t="s">
        <v>5969</v>
      </c>
      <c r="H4435" s="174" t="s">
        <v>1750</v>
      </c>
      <c r="I4435" s="174" t="str">
        <f t="shared" si="1"/>
        <v>SUDESTE</v>
      </c>
    </row>
    <row r="4436" ht="14.25" customHeight="1">
      <c r="G4436" s="174" t="s">
        <v>5970</v>
      </c>
      <c r="H4436" s="174" t="s">
        <v>1685</v>
      </c>
      <c r="I4436" s="174" t="str">
        <f t="shared" si="1"/>
        <v>NORDESTE</v>
      </c>
    </row>
    <row r="4437" ht="14.25" customHeight="1">
      <c r="G4437" s="174" t="s">
        <v>5971</v>
      </c>
      <c r="H4437" s="174" t="s">
        <v>1687</v>
      </c>
      <c r="I4437" s="174" t="str">
        <f t="shared" si="1"/>
        <v>NORTE</v>
      </c>
    </row>
    <row r="4438" ht="14.25" customHeight="1">
      <c r="G4438" s="174" t="s">
        <v>5972</v>
      </c>
      <c r="H4438" s="174" t="s">
        <v>1666</v>
      </c>
      <c r="I4438" s="174" t="str">
        <f t="shared" si="1"/>
        <v>SUDESTE</v>
      </c>
    </row>
    <row r="4439" ht="14.25" customHeight="1">
      <c r="G4439" s="174" t="s">
        <v>5973</v>
      </c>
      <c r="H4439" s="174" t="s">
        <v>1698</v>
      </c>
      <c r="I4439" s="174" t="str">
        <f t="shared" si="1"/>
        <v>SUDESTE</v>
      </c>
    </row>
    <row r="4440" ht="14.25" customHeight="1">
      <c r="G4440" s="174" t="s">
        <v>5974</v>
      </c>
      <c r="H4440" s="174" t="s">
        <v>1717</v>
      </c>
      <c r="I4440" s="174" t="str">
        <f t="shared" si="1"/>
        <v>NORDESTE</v>
      </c>
    </row>
    <row r="4441" ht="14.25" customHeight="1">
      <c r="G4441" s="174" t="s">
        <v>5975</v>
      </c>
      <c r="H4441" s="174" t="s">
        <v>1742</v>
      </c>
      <c r="I4441" s="174" t="str">
        <f t="shared" si="1"/>
        <v>SUL</v>
      </c>
    </row>
    <row r="4442" ht="14.25" customHeight="1">
      <c r="G4442" s="174" t="s">
        <v>5976</v>
      </c>
      <c r="H4442" s="174" t="s">
        <v>1702</v>
      </c>
      <c r="I4442" s="174" t="str">
        <f t="shared" si="1"/>
        <v>SUL</v>
      </c>
    </row>
    <row r="4443" ht="14.25" customHeight="1">
      <c r="G4443" s="174" t="s">
        <v>5977</v>
      </c>
      <c r="H4443" s="174" t="s">
        <v>1687</v>
      </c>
      <c r="I4443" s="174" t="str">
        <f t="shared" si="1"/>
        <v>NORTE</v>
      </c>
    </row>
    <row r="4444" ht="14.25" customHeight="1">
      <c r="G4444" s="174" t="s">
        <v>5978</v>
      </c>
      <c r="H4444" s="174" t="s">
        <v>1666</v>
      </c>
      <c r="I4444" s="174" t="str">
        <f t="shared" si="1"/>
        <v>SUDESTE</v>
      </c>
    </row>
    <row r="4445" ht="14.25" customHeight="1">
      <c r="G4445" s="174" t="s">
        <v>5979</v>
      </c>
      <c r="H4445" s="174" t="s">
        <v>1666</v>
      </c>
      <c r="I4445" s="174" t="str">
        <f t="shared" si="1"/>
        <v>SUDESTE</v>
      </c>
    </row>
    <row r="4446" ht="14.25" customHeight="1">
      <c r="G4446" s="174" t="s">
        <v>5980</v>
      </c>
      <c r="H4446" s="174" t="s">
        <v>1721</v>
      </c>
      <c r="I4446" s="174" t="str">
        <f t="shared" si="1"/>
        <v>NORTE</v>
      </c>
    </row>
    <row r="4447" ht="14.25" customHeight="1">
      <c r="G4447" s="174" t="s">
        <v>5981</v>
      </c>
      <c r="H4447" s="174" t="s">
        <v>1730</v>
      </c>
      <c r="I4447" s="174" t="str">
        <f t="shared" si="1"/>
        <v>SUDESTE</v>
      </c>
    </row>
    <row r="4448" ht="14.25" customHeight="1">
      <c r="G4448" s="174" t="s">
        <v>5982</v>
      </c>
      <c r="H4448" s="174" t="s">
        <v>1702</v>
      </c>
      <c r="I4448" s="174" t="str">
        <f t="shared" si="1"/>
        <v>SUL</v>
      </c>
    </row>
    <row r="4449" ht="14.25" customHeight="1">
      <c r="G4449" s="174" t="s">
        <v>5983</v>
      </c>
      <c r="H4449" s="174" t="s">
        <v>1750</v>
      </c>
      <c r="I4449" s="174" t="str">
        <f t="shared" si="1"/>
        <v>SUDESTE</v>
      </c>
    </row>
    <row r="4450" ht="14.25" customHeight="1">
      <c r="G4450" s="174" t="s">
        <v>5984</v>
      </c>
      <c r="H4450" s="174" t="s">
        <v>1702</v>
      </c>
      <c r="I4450" s="174" t="str">
        <f t="shared" si="1"/>
        <v>SUL</v>
      </c>
    </row>
    <row r="4451" ht="14.25" customHeight="1">
      <c r="G4451" s="174" t="s">
        <v>5985</v>
      </c>
      <c r="H4451" s="174" t="s">
        <v>1690</v>
      </c>
      <c r="I4451" s="174" t="str">
        <f t="shared" si="1"/>
        <v>NORDESTE</v>
      </c>
    </row>
    <row r="4452" ht="14.25" customHeight="1">
      <c r="G4452" s="174" t="s">
        <v>5986</v>
      </c>
      <c r="H4452" s="174" t="s">
        <v>1704</v>
      </c>
      <c r="I4452" s="174" t="str">
        <f t="shared" si="1"/>
        <v>NORDESTE</v>
      </c>
    </row>
    <row r="4453" ht="14.25" customHeight="1">
      <c r="G4453" s="174" t="s">
        <v>5987</v>
      </c>
      <c r="H4453" s="174" t="s">
        <v>1704</v>
      </c>
      <c r="I4453" s="174" t="str">
        <f t="shared" si="1"/>
        <v>NORDESTE</v>
      </c>
    </row>
    <row r="4454" ht="14.25" customHeight="1">
      <c r="G4454" s="174" t="s">
        <v>5987</v>
      </c>
      <c r="H4454" s="174" t="s">
        <v>1719</v>
      </c>
      <c r="I4454" s="174" t="str">
        <f t="shared" si="1"/>
        <v>NORDESTE</v>
      </c>
    </row>
    <row r="4455" ht="14.25" customHeight="1">
      <c r="G4455" s="174" t="s">
        <v>5988</v>
      </c>
      <c r="H4455" s="174" t="s">
        <v>1750</v>
      </c>
      <c r="I4455" s="174" t="str">
        <f t="shared" si="1"/>
        <v>SUDESTE</v>
      </c>
    </row>
    <row r="4456" ht="14.25" customHeight="1">
      <c r="G4456" s="174" t="s">
        <v>5989</v>
      </c>
      <c r="H4456" s="174" t="s">
        <v>1666</v>
      </c>
      <c r="I4456" s="174" t="str">
        <f t="shared" si="1"/>
        <v>SUDESTE</v>
      </c>
    </row>
    <row r="4457" ht="14.25" customHeight="1">
      <c r="G4457" s="174" t="s">
        <v>5990</v>
      </c>
      <c r="H4457" s="174" t="s">
        <v>1685</v>
      </c>
      <c r="I4457" s="174" t="str">
        <f t="shared" si="1"/>
        <v>NORDESTE</v>
      </c>
    </row>
    <row r="4458" ht="14.25" customHeight="1">
      <c r="G4458" s="174" t="s">
        <v>5991</v>
      </c>
      <c r="H4458" s="174" t="s">
        <v>1666</v>
      </c>
      <c r="I4458" s="174" t="str">
        <f t="shared" si="1"/>
        <v>SUDESTE</v>
      </c>
    </row>
    <row r="4459" ht="14.25" customHeight="1">
      <c r="G4459" s="174" t="s">
        <v>5992</v>
      </c>
      <c r="H4459" s="174" t="s">
        <v>1666</v>
      </c>
      <c r="I4459" s="174" t="str">
        <f t="shared" si="1"/>
        <v>SUDESTE</v>
      </c>
    </row>
    <row r="4460" ht="14.25" customHeight="1">
      <c r="G4460" s="174" t="s">
        <v>5993</v>
      </c>
      <c r="H4460" s="174" t="s">
        <v>1666</v>
      </c>
      <c r="I4460" s="174" t="str">
        <f t="shared" si="1"/>
        <v>SUDESTE</v>
      </c>
    </row>
    <row r="4461" ht="14.25" customHeight="1">
      <c r="G4461" s="174" t="s">
        <v>5994</v>
      </c>
      <c r="H4461" s="174" t="s">
        <v>1658</v>
      </c>
      <c r="I4461" s="174" t="str">
        <f t="shared" si="1"/>
        <v>CENTRO OESTE</v>
      </c>
    </row>
    <row r="4462" ht="14.25" customHeight="1">
      <c r="G4462" s="174" t="s">
        <v>5995</v>
      </c>
      <c r="H4462" s="174" t="s">
        <v>1666</v>
      </c>
      <c r="I4462" s="174" t="str">
        <f t="shared" si="1"/>
        <v>SUDESTE</v>
      </c>
    </row>
    <row r="4463" ht="14.25" customHeight="1">
      <c r="G4463" s="174" t="s">
        <v>5996</v>
      </c>
      <c r="H4463" s="174" t="s">
        <v>1658</v>
      </c>
      <c r="I4463" s="174" t="str">
        <f t="shared" si="1"/>
        <v>CENTRO OESTE</v>
      </c>
    </row>
    <row r="4464" ht="14.25" customHeight="1">
      <c r="G4464" s="174" t="s">
        <v>5997</v>
      </c>
      <c r="H4464" s="174" t="s">
        <v>1710</v>
      </c>
      <c r="I4464" s="174" t="str">
        <f t="shared" si="1"/>
        <v>CENTRO OESTE</v>
      </c>
    </row>
    <row r="4465" ht="14.25" customHeight="1">
      <c r="G4465" s="174" t="s">
        <v>5998</v>
      </c>
      <c r="H4465" s="174" t="s">
        <v>1750</v>
      </c>
      <c r="I4465" s="174" t="str">
        <f t="shared" si="1"/>
        <v>SUDESTE</v>
      </c>
    </row>
    <row r="4466" ht="14.25" customHeight="1">
      <c r="G4466" s="174" t="s">
        <v>5999</v>
      </c>
      <c r="H4466" s="174" t="s">
        <v>1666</v>
      </c>
      <c r="I4466" s="174" t="str">
        <f t="shared" si="1"/>
        <v>SUDESTE</v>
      </c>
    </row>
    <row r="4467" ht="14.25" customHeight="1">
      <c r="G4467" s="174" t="s">
        <v>6000</v>
      </c>
      <c r="H4467" s="174" t="s">
        <v>1721</v>
      </c>
      <c r="I4467" s="174" t="str">
        <f t="shared" si="1"/>
        <v>NORTE</v>
      </c>
    </row>
    <row r="4468" ht="14.25" customHeight="1">
      <c r="G4468" s="174" t="s">
        <v>6001</v>
      </c>
      <c r="H4468" s="174" t="s">
        <v>1713</v>
      </c>
      <c r="I4468" s="174" t="str">
        <f t="shared" si="1"/>
        <v>CENTRO OESTE</v>
      </c>
    </row>
    <row r="4469" ht="14.25" customHeight="1">
      <c r="G4469" s="174" t="s">
        <v>6002</v>
      </c>
      <c r="H4469" s="174" t="s">
        <v>1742</v>
      </c>
      <c r="I4469" s="174" t="str">
        <f t="shared" si="1"/>
        <v>SUL</v>
      </c>
    </row>
    <row r="4470" ht="14.25" customHeight="1">
      <c r="G4470" s="174" t="s">
        <v>6003</v>
      </c>
      <c r="H4470" s="174" t="s">
        <v>1666</v>
      </c>
      <c r="I4470" s="174" t="str">
        <f t="shared" si="1"/>
        <v>SUDESTE</v>
      </c>
    </row>
    <row r="4471" ht="14.25" customHeight="1">
      <c r="G4471" s="174" t="s">
        <v>6004</v>
      </c>
      <c r="H4471" s="174" t="s">
        <v>1658</v>
      </c>
      <c r="I4471" s="174" t="str">
        <f t="shared" si="1"/>
        <v>CENTRO OESTE</v>
      </c>
    </row>
    <row r="4472" ht="14.25" customHeight="1">
      <c r="G4472" s="174" t="s">
        <v>6005</v>
      </c>
      <c r="H4472" s="174" t="s">
        <v>1747</v>
      </c>
      <c r="I4472" s="174" t="str">
        <f t="shared" si="1"/>
        <v>NORDESTE</v>
      </c>
    </row>
    <row r="4473" ht="14.25" customHeight="1">
      <c r="G4473" s="174" t="s">
        <v>6005</v>
      </c>
      <c r="H4473" s="174" t="s">
        <v>1706</v>
      </c>
      <c r="I4473" s="174" t="str">
        <f t="shared" si="1"/>
        <v>SUL</v>
      </c>
    </row>
    <row r="4474" ht="14.25" customHeight="1">
      <c r="G4474" s="174" t="s">
        <v>6006</v>
      </c>
      <c r="H4474" s="174" t="s">
        <v>1750</v>
      </c>
      <c r="I4474" s="174" t="str">
        <f t="shared" si="1"/>
        <v>SUDESTE</v>
      </c>
    </row>
    <row r="4475" ht="14.25" customHeight="1">
      <c r="G4475" s="174" t="s">
        <v>6007</v>
      </c>
      <c r="H4475" s="174" t="s">
        <v>1725</v>
      </c>
      <c r="I4475" s="174" t="str">
        <f t="shared" si="1"/>
        <v>NORDESTE</v>
      </c>
    </row>
    <row r="4476" ht="14.25" customHeight="1">
      <c r="G4476" s="174" t="s">
        <v>6008</v>
      </c>
      <c r="H4476" s="174" t="s">
        <v>1656</v>
      </c>
      <c r="I4476" s="174" t="str">
        <f t="shared" si="1"/>
        <v>NORTE</v>
      </c>
    </row>
    <row r="4477" ht="14.25" customHeight="1">
      <c r="G4477" s="174" t="s">
        <v>6009</v>
      </c>
      <c r="H4477" s="174" t="s">
        <v>1706</v>
      </c>
      <c r="I4477" s="174" t="str">
        <f t="shared" si="1"/>
        <v>SUL</v>
      </c>
    </row>
    <row r="4478" ht="14.25" customHeight="1">
      <c r="G4478" s="174" t="s">
        <v>6010</v>
      </c>
      <c r="H4478" s="174" t="s">
        <v>1721</v>
      </c>
      <c r="I4478" s="174" t="str">
        <f t="shared" si="1"/>
        <v>NORTE</v>
      </c>
    </row>
    <row r="4479" ht="14.25" customHeight="1">
      <c r="G4479" s="174" t="s">
        <v>6011</v>
      </c>
      <c r="H4479" s="174" t="s">
        <v>1750</v>
      </c>
      <c r="I4479" s="174" t="str">
        <f t="shared" si="1"/>
        <v>SUDESTE</v>
      </c>
    </row>
    <row r="4480" ht="14.25" customHeight="1">
      <c r="G4480" s="174" t="s">
        <v>6012</v>
      </c>
      <c r="H4480" s="174" t="s">
        <v>1698</v>
      </c>
      <c r="I4480" s="174" t="str">
        <f t="shared" si="1"/>
        <v>SUDESTE</v>
      </c>
    </row>
    <row r="4481" ht="14.25" customHeight="1">
      <c r="G4481" s="174" t="s">
        <v>6013</v>
      </c>
      <c r="H4481" s="174" t="s">
        <v>1719</v>
      </c>
      <c r="I4481" s="174" t="str">
        <f t="shared" si="1"/>
        <v>NORDESTE</v>
      </c>
    </row>
    <row r="4482" ht="14.25" customHeight="1">
      <c r="G4482" s="174" t="s">
        <v>6013</v>
      </c>
      <c r="H4482" s="174" t="s">
        <v>1685</v>
      </c>
      <c r="I4482" s="174" t="str">
        <f t="shared" si="1"/>
        <v>NORDESTE</v>
      </c>
    </row>
    <row r="4483" ht="14.25" customHeight="1">
      <c r="G4483" s="174" t="s">
        <v>6014</v>
      </c>
      <c r="H4483" s="174" t="s">
        <v>1742</v>
      </c>
      <c r="I4483" s="174" t="str">
        <f t="shared" si="1"/>
        <v>SUL</v>
      </c>
    </row>
    <row r="4484" ht="14.25" customHeight="1">
      <c r="G4484" s="174" t="s">
        <v>6015</v>
      </c>
      <c r="H4484" s="174" t="s">
        <v>1658</v>
      </c>
      <c r="I4484" s="174" t="str">
        <f t="shared" si="1"/>
        <v>CENTRO OESTE</v>
      </c>
    </row>
    <row r="4485" ht="14.25" customHeight="1">
      <c r="G4485" s="174" t="s">
        <v>6016</v>
      </c>
      <c r="H4485" s="174" t="s">
        <v>1702</v>
      </c>
      <c r="I4485" s="174" t="str">
        <f t="shared" si="1"/>
        <v>SUL</v>
      </c>
    </row>
    <row r="4486" ht="14.25" customHeight="1">
      <c r="G4486" s="174" t="s">
        <v>6017</v>
      </c>
      <c r="H4486" s="174" t="s">
        <v>1721</v>
      </c>
      <c r="I4486" s="174" t="str">
        <f t="shared" si="1"/>
        <v>NORTE</v>
      </c>
    </row>
    <row r="4487" ht="14.25" customHeight="1">
      <c r="G4487" s="174" t="s">
        <v>6018</v>
      </c>
      <c r="H4487" s="174" t="s">
        <v>1717</v>
      </c>
      <c r="I4487" s="174" t="str">
        <f t="shared" si="1"/>
        <v>NORDESTE</v>
      </c>
    </row>
    <row r="4488" ht="14.25" customHeight="1">
      <c r="G4488" s="174" t="s">
        <v>6018</v>
      </c>
      <c r="H4488" s="174" t="s">
        <v>1706</v>
      </c>
      <c r="I4488" s="174" t="str">
        <f t="shared" si="1"/>
        <v>SUL</v>
      </c>
    </row>
    <row r="4489" ht="14.25" customHeight="1">
      <c r="G4489" s="174" t="s">
        <v>6018</v>
      </c>
      <c r="H4489" s="174" t="s">
        <v>1713</v>
      </c>
      <c r="I4489" s="174" t="str">
        <f t="shared" si="1"/>
        <v>CENTRO OESTE</v>
      </c>
    </row>
    <row r="4490" ht="14.25" customHeight="1">
      <c r="G4490" s="174" t="s">
        <v>6019</v>
      </c>
      <c r="H4490" s="174" t="s">
        <v>1658</v>
      </c>
      <c r="I4490" s="174" t="str">
        <f t="shared" si="1"/>
        <v>CENTRO OESTE</v>
      </c>
    </row>
    <row r="4491" ht="14.25" customHeight="1">
      <c r="G4491" s="174" t="s">
        <v>6020</v>
      </c>
      <c r="H4491" s="174" t="s">
        <v>1702</v>
      </c>
      <c r="I4491" s="174" t="str">
        <f t="shared" si="1"/>
        <v>SUL</v>
      </c>
    </row>
    <row r="4492" ht="14.25" customHeight="1">
      <c r="G4492" s="174" t="s">
        <v>6021</v>
      </c>
      <c r="H4492" s="174" t="s">
        <v>1706</v>
      </c>
      <c r="I4492" s="174" t="str">
        <f t="shared" si="1"/>
        <v>SUL</v>
      </c>
    </row>
    <row r="4493" ht="14.25" customHeight="1">
      <c r="G4493" s="174" t="s">
        <v>6022</v>
      </c>
      <c r="H4493" s="174" t="s">
        <v>1721</v>
      </c>
      <c r="I4493" s="174" t="str">
        <f t="shared" si="1"/>
        <v>NORTE</v>
      </c>
    </row>
    <row r="4494" ht="14.25" customHeight="1">
      <c r="G4494" s="174" t="s">
        <v>6023</v>
      </c>
      <c r="H4494" s="174" t="s">
        <v>1666</v>
      </c>
      <c r="I4494" s="174" t="str">
        <f t="shared" si="1"/>
        <v>SUDESTE</v>
      </c>
    </row>
    <row r="4495" ht="14.25" customHeight="1">
      <c r="G4495" s="174" t="s">
        <v>6024</v>
      </c>
      <c r="H4495" s="174" t="s">
        <v>1742</v>
      </c>
      <c r="I4495" s="174" t="str">
        <f t="shared" si="1"/>
        <v>SUL</v>
      </c>
    </row>
    <row r="4496" ht="14.25" customHeight="1">
      <c r="G4496" s="174" t="s">
        <v>6025</v>
      </c>
      <c r="H4496" s="174" t="s">
        <v>1685</v>
      </c>
      <c r="I4496" s="174" t="str">
        <f t="shared" si="1"/>
        <v>NORDESTE</v>
      </c>
    </row>
    <row r="4497" ht="14.25" customHeight="1">
      <c r="G4497" s="174" t="s">
        <v>6026</v>
      </c>
      <c r="H4497" s="174" t="s">
        <v>1679</v>
      </c>
      <c r="I4497" s="174" t="str">
        <f t="shared" si="1"/>
        <v>NORTE</v>
      </c>
    </row>
    <row r="4498" ht="14.25" customHeight="1">
      <c r="G4498" s="174" t="s">
        <v>6026</v>
      </c>
      <c r="H4498" s="174" t="s">
        <v>1685</v>
      </c>
      <c r="I4498" s="174" t="str">
        <f t="shared" si="1"/>
        <v>NORDESTE</v>
      </c>
    </row>
    <row r="4499" ht="14.25" customHeight="1">
      <c r="G4499" s="174" t="s">
        <v>6027</v>
      </c>
      <c r="H4499" s="174" t="s">
        <v>1742</v>
      </c>
      <c r="I4499" s="174" t="str">
        <f t="shared" si="1"/>
        <v>SUL</v>
      </c>
    </row>
    <row r="4500" ht="14.25" customHeight="1">
      <c r="G4500" s="174" t="s">
        <v>6028</v>
      </c>
      <c r="H4500" s="174" t="s">
        <v>1750</v>
      </c>
      <c r="I4500" s="174" t="str">
        <f t="shared" si="1"/>
        <v>SUDESTE</v>
      </c>
    </row>
    <row r="4501" ht="14.25" customHeight="1">
      <c r="G4501" s="174" t="s">
        <v>6029</v>
      </c>
      <c r="H4501" s="174" t="s">
        <v>1666</v>
      </c>
      <c r="I4501" s="174" t="str">
        <f t="shared" si="1"/>
        <v>SUDESTE</v>
      </c>
    </row>
    <row r="4502" ht="14.25" customHeight="1">
      <c r="G4502" s="174" t="s">
        <v>6030</v>
      </c>
      <c r="H4502" s="174" t="s">
        <v>1666</v>
      </c>
      <c r="I4502" s="174" t="str">
        <f t="shared" si="1"/>
        <v>SUDESTE</v>
      </c>
    </row>
    <row r="4503" ht="14.25" customHeight="1">
      <c r="G4503" s="174" t="s">
        <v>6031</v>
      </c>
      <c r="H4503" s="174" t="s">
        <v>1719</v>
      </c>
      <c r="I4503" s="174" t="str">
        <f t="shared" si="1"/>
        <v>NORDESTE</v>
      </c>
    </row>
    <row r="4504" ht="14.25" customHeight="1">
      <c r="G4504" s="174" t="s">
        <v>6032</v>
      </c>
      <c r="H4504" s="174" t="s">
        <v>1750</v>
      </c>
      <c r="I4504" s="174" t="str">
        <f t="shared" si="1"/>
        <v>SUDESTE</v>
      </c>
    </row>
    <row r="4505" ht="14.25" customHeight="1">
      <c r="G4505" s="174" t="s">
        <v>6033</v>
      </c>
      <c r="H4505" s="174" t="s">
        <v>1666</v>
      </c>
      <c r="I4505" s="174" t="str">
        <f t="shared" si="1"/>
        <v>SUDESTE</v>
      </c>
    </row>
    <row r="4506" ht="14.25" customHeight="1">
      <c r="G4506" s="174" t="s">
        <v>6034</v>
      </c>
      <c r="H4506" s="174" t="s">
        <v>1690</v>
      </c>
      <c r="I4506" s="174" t="str">
        <f t="shared" si="1"/>
        <v>NORDESTE</v>
      </c>
    </row>
    <row r="4507" ht="14.25" customHeight="1">
      <c r="G4507" s="174" t="s">
        <v>6035</v>
      </c>
      <c r="H4507" s="174" t="s">
        <v>1687</v>
      </c>
      <c r="I4507" s="174" t="str">
        <f t="shared" si="1"/>
        <v>NORTE</v>
      </c>
    </row>
    <row r="4508" ht="14.25" customHeight="1">
      <c r="G4508" s="174" t="s">
        <v>6036</v>
      </c>
      <c r="H4508" s="174" t="s">
        <v>1690</v>
      </c>
      <c r="I4508" s="174" t="str">
        <f t="shared" si="1"/>
        <v>NORDESTE</v>
      </c>
    </row>
    <row r="4509" ht="14.25" customHeight="1">
      <c r="G4509" s="174" t="s">
        <v>6037</v>
      </c>
      <c r="H4509" s="174" t="s">
        <v>1666</v>
      </c>
      <c r="I4509" s="174" t="str">
        <f t="shared" si="1"/>
        <v>SUDESTE</v>
      </c>
    </row>
    <row r="4510" ht="14.25" customHeight="1">
      <c r="G4510" s="174" t="s">
        <v>6038</v>
      </c>
      <c r="H4510" s="174" t="s">
        <v>1666</v>
      </c>
      <c r="I4510" s="174" t="str">
        <f t="shared" si="1"/>
        <v>SUDESTE</v>
      </c>
    </row>
    <row r="4511" ht="14.25" customHeight="1">
      <c r="G4511" s="174" t="s">
        <v>6039</v>
      </c>
      <c r="H4511" s="174" t="s">
        <v>1664</v>
      </c>
      <c r="I4511" s="174" t="str">
        <f t="shared" si="1"/>
        <v>NORDESTE</v>
      </c>
    </row>
    <row r="4512" ht="14.25" customHeight="1">
      <c r="G4512" s="174" t="s">
        <v>6040</v>
      </c>
      <c r="H4512" s="174" t="s">
        <v>1702</v>
      </c>
      <c r="I4512" s="174" t="str">
        <f t="shared" si="1"/>
        <v>SUL</v>
      </c>
    </row>
    <row r="4513" ht="14.25" customHeight="1">
      <c r="G4513" s="174" t="s">
        <v>6041</v>
      </c>
      <c r="H4513" s="174" t="s">
        <v>1666</v>
      </c>
      <c r="I4513" s="174" t="str">
        <f t="shared" si="1"/>
        <v>SUDESTE</v>
      </c>
    </row>
    <row r="4514" ht="14.25" customHeight="1">
      <c r="G4514" s="174" t="s">
        <v>6042</v>
      </c>
      <c r="H4514" s="174" t="s">
        <v>1742</v>
      </c>
      <c r="I4514" s="174" t="str">
        <f t="shared" si="1"/>
        <v>SUL</v>
      </c>
    </row>
    <row r="4515" ht="14.25" customHeight="1">
      <c r="G4515" s="174" t="s">
        <v>6043</v>
      </c>
      <c r="H4515" s="174" t="s">
        <v>1666</v>
      </c>
      <c r="I4515" s="174" t="str">
        <f t="shared" si="1"/>
        <v>SUDESTE</v>
      </c>
    </row>
    <row r="4516" ht="14.25" customHeight="1">
      <c r="G4516" s="174" t="s">
        <v>6044</v>
      </c>
      <c r="H4516" s="174" t="s">
        <v>1704</v>
      </c>
      <c r="I4516" s="174" t="str">
        <f t="shared" si="1"/>
        <v>NORDESTE</v>
      </c>
    </row>
    <row r="4517" ht="14.25" customHeight="1">
      <c r="G4517" s="174" t="s">
        <v>6045</v>
      </c>
      <c r="H4517" s="174" t="s">
        <v>1733</v>
      </c>
      <c r="I4517" s="174" t="str">
        <f t="shared" si="1"/>
        <v>NORDESTE</v>
      </c>
    </row>
    <row r="4518" ht="14.25" customHeight="1">
      <c r="G4518" s="174" t="s">
        <v>6046</v>
      </c>
      <c r="H4518" s="174" t="s">
        <v>1664</v>
      </c>
      <c r="I4518" s="174" t="str">
        <f t="shared" si="1"/>
        <v>NORDESTE</v>
      </c>
    </row>
    <row r="4519" ht="14.25" customHeight="1">
      <c r="G4519" s="174" t="s">
        <v>6047</v>
      </c>
      <c r="H4519" s="174" t="s">
        <v>1666</v>
      </c>
      <c r="I4519" s="174" t="str">
        <f t="shared" si="1"/>
        <v>SUDESTE</v>
      </c>
    </row>
    <row r="4520" ht="14.25" customHeight="1">
      <c r="G4520" s="174" t="s">
        <v>6048</v>
      </c>
      <c r="H4520" s="174" t="s">
        <v>1725</v>
      </c>
      <c r="I4520" s="174" t="str">
        <f t="shared" si="1"/>
        <v>NORDESTE</v>
      </c>
    </row>
    <row r="4521" ht="14.25" customHeight="1">
      <c r="G4521" s="174" t="s">
        <v>6049</v>
      </c>
      <c r="H4521" s="174" t="s">
        <v>1666</v>
      </c>
      <c r="I4521" s="174" t="str">
        <f t="shared" si="1"/>
        <v>SUDESTE</v>
      </c>
    </row>
    <row r="4522" ht="14.25" customHeight="1">
      <c r="G4522" s="174" t="s">
        <v>6050</v>
      </c>
      <c r="H4522" s="174" t="s">
        <v>1747</v>
      </c>
      <c r="I4522" s="174" t="str">
        <f t="shared" si="1"/>
        <v>NORDESTE</v>
      </c>
    </row>
    <row r="4523" ht="14.25" customHeight="1">
      <c r="G4523" s="174" t="s">
        <v>6051</v>
      </c>
      <c r="H4523" s="174" t="s">
        <v>1733</v>
      </c>
      <c r="I4523" s="174" t="str">
        <f t="shared" si="1"/>
        <v>NORDESTE</v>
      </c>
    </row>
    <row r="4524" ht="14.25" customHeight="1">
      <c r="G4524" s="174" t="s">
        <v>6052</v>
      </c>
      <c r="H4524" s="174" t="s">
        <v>1719</v>
      </c>
      <c r="I4524" s="174" t="str">
        <f t="shared" si="1"/>
        <v>NORDESTE</v>
      </c>
    </row>
    <row r="4525" ht="14.25" customHeight="1">
      <c r="G4525" s="174" t="s">
        <v>6053</v>
      </c>
      <c r="H4525" s="174" t="s">
        <v>1666</v>
      </c>
      <c r="I4525" s="174" t="str">
        <f t="shared" si="1"/>
        <v>SUDESTE</v>
      </c>
    </row>
    <row r="4526" ht="14.25" customHeight="1">
      <c r="G4526" s="174" t="s">
        <v>6054</v>
      </c>
      <c r="H4526" s="174" t="s">
        <v>1685</v>
      </c>
      <c r="I4526" s="174" t="str">
        <f t="shared" si="1"/>
        <v>NORDESTE</v>
      </c>
    </row>
    <row r="4527" ht="14.25" customHeight="1">
      <c r="G4527" s="174" t="s">
        <v>6055</v>
      </c>
      <c r="H4527" s="174" t="s">
        <v>1687</v>
      </c>
      <c r="I4527" s="174" t="str">
        <f t="shared" si="1"/>
        <v>NORTE</v>
      </c>
    </row>
    <row r="4528" ht="14.25" customHeight="1">
      <c r="G4528" s="174" t="s">
        <v>6055</v>
      </c>
      <c r="H4528" s="174" t="s">
        <v>1719</v>
      </c>
      <c r="I4528" s="174" t="str">
        <f t="shared" si="1"/>
        <v>NORDESTE</v>
      </c>
    </row>
    <row r="4529" ht="14.25" customHeight="1">
      <c r="G4529" s="174" t="s">
        <v>6056</v>
      </c>
      <c r="H4529" s="174" t="s">
        <v>1687</v>
      </c>
      <c r="I4529" s="174" t="str">
        <f t="shared" si="1"/>
        <v>NORTE</v>
      </c>
    </row>
    <row r="4530" ht="14.25" customHeight="1">
      <c r="G4530" s="174" t="s">
        <v>6057</v>
      </c>
      <c r="H4530" s="174" t="s">
        <v>1742</v>
      </c>
      <c r="I4530" s="174" t="str">
        <f t="shared" si="1"/>
        <v>SUL</v>
      </c>
    </row>
    <row r="4531" ht="14.25" customHeight="1">
      <c r="G4531" s="174" t="s">
        <v>6058</v>
      </c>
      <c r="H4531" s="174" t="s">
        <v>1706</v>
      </c>
      <c r="I4531" s="174" t="str">
        <f t="shared" si="1"/>
        <v>SUL</v>
      </c>
    </row>
    <row r="4532" ht="14.25" customHeight="1">
      <c r="G4532" s="174" t="s">
        <v>6059</v>
      </c>
      <c r="H4532" s="174" t="s">
        <v>1713</v>
      </c>
      <c r="I4532" s="174" t="str">
        <f t="shared" si="1"/>
        <v>CENTRO OESTE</v>
      </c>
    </row>
    <row r="4533" ht="14.25" customHeight="1">
      <c r="G4533" s="174" t="s">
        <v>6060</v>
      </c>
      <c r="H4533" s="174" t="s">
        <v>1685</v>
      </c>
      <c r="I4533" s="174" t="str">
        <f t="shared" si="1"/>
        <v>NORDESTE</v>
      </c>
    </row>
    <row r="4534" ht="14.25" customHeight="1">
      <c r="G4534" s="174" t="s">
        <v>6061</v>
      </c>
      <c r="H4534" s="174" t="s">
        <v>1706</v>
      </c>
      <c r="I4534" s="174" t="str">
        <f t="shared" si="1"/>
        <v>SUL</v>
      </c>
    </row>
    <row r="4535" ht="14.25" customHeight="1">
      <c r="G4535" s="174" t="s">
        <v>6062</v>
      </c>
      <c r="H4535" s="174" t="s">
        <v>1747</v>
      </c>
      <c r="I4535" s="174" t="str">
        <f t="shared" si="1"/>
        <v>NORDESTE</v>
      </c>
    </row>
    <row r="4536" ht="14.25" customHeight="1">
      <c r="G4536" s="174" t="s">
        <v>6063</v>
      </c>
      <c r="H4536" s="174" t="s">
        <v>1704</v>
      </c>
      <c r="I4536" s="174" t="str">
        <f t="shared" si="1"/>
        <v>NORDESTE</v>
      </c>
    </row>
    <row r="4537" ht="14.25" customHeight="1">
      <c r="G4537" s="174" t="s">
        <v>6064</v>
      </c>
      <c r="H4537" s="174" t="s">
        <v>1750</v>
      </c>
      <c r="I4537" s="174" t="str">
        <f t="shared" si="1"/>
        <v>SUDESTE</v>
      </c>
    </row>
    <row r="4538" ht="14.25" customHeight="1">
      <c r="G4538" s="174" t="s">
        <v>6065</v>
      </c>
      <c r="H4538" s="174" t="s">
        <v>1719</v>
      </c>
      <c r="I4538" s="174" t="str">
        <f t="shared" si="1"/>
        <v>NORDESTE</v>
      </c>
    </row>
    <row r="4539" ht="14.25" customHeight="1">
      <c r="G4539" s="174" t="s">
        <v>6065</v>
      </c>
      <c r="H4539" s="174" t="s">
        <v>1750</v>
      </c>
      <c r="I4539" s="174" t="str">
        <f t="shared" si="1"/>
        <v>SUDESTE</v>
      </c>
    </row>
    <row r="4540" ht="14.25" customHeight="1">
      <c r="G4540" s="174" t="s">
        <v>6066</v>
      </c>
      <c r="H4540" s="174" t="s">
        <v>1742</v>
      </c>
      <c r="I4540" s="174" t="str">
        <f t="shared" si="1"/>
        <v>SUL</v>
      </c>
    </row>
    <row r="4541" ht="14.25" customHeight="1">
      <c r="G4541" s="174" t="s">
        <v>6067</v>
      </c>
      <c r="H4541" s="174" t="s">
        <v>1733</v>
      </c>
      <c r="I4541" s="174" t="str">
        <f t="shared" si="1"/>
        <v>NORDESTE</v>
      </c>
    </row>
    <row r="4542" ht="14.25" customHeight="1">
      <c r="G4542" s="174" t="s">
        <v>6068</v>
      </c>
      <c r="H4542" s="174" t="s">
        <v>1750</v>
      </c>
      <c r="I4542" s="174" t="str">
        <f t="shared" si="1"/>
        <v>SUDESTE</v>
      </c>
    </row>
    <row r="4543" ht="14.25" customHeight="1">
      <c r="G4543" s="174" t="s">
        <v>6069</v>
      </c>
      <c r="H4543" s="174" t="s">
        <v>1658</v>
      </c>
      <c r="I4543" s="174" t="str">
        <f t="shared" si="1"/>
        <v>CENTRO OESTE</v>
      </c>
    </row>
    <row r="4544" ht="14.25" customHeight="1">
      <c r="G4544" s="174" t="s">
        <v>6070</v>
      </c>
      <c r="H4544" s="174" t="s">
        <v>1742</v>
      </c>
      <c r="I4544" s="174" t="str">
        <f t="shared" si="1"/>
        <v>SUL</v>
      </c>
    </row>
    <row r="4545" ht="14.25" customHeight="1">
      <c r="G4545" s="174" t="s">
        <v>6071</v>
      </c>
      <c r="H4545" s="174" t="s">
        <v>1702</v>
      </c>
      <c r="I4545" s="174" t="str">
        <f t="shared" si="1"/>
        <v>SUL</v>
      </c>
    </row>
    <row r="4546" ht="14.25" customHeight="1">
      <c r="G4546" s="174" t="s">
        <v>6072</v>
      </c>
      <c r="H4546" s="174" t="s">
        <v>1742</v>
      </c>
      <c r="I4546" s="174" t="str">
        <f t="shared" si="1"/>
        <v>SUL</v>
      </c>
    </row>
    <row r="4547" ht="14.25" customHeight="1">
      <c r="G4547" s="174" t="s">
        <v>6073</v>
      </c>
      <c r="H4547" s="174" t="s">
        <v>1658</v>
      </c>
      <c r="I4547" s="174" t="str">
        <f t="shared" si="1"/>
        <v>CENTRO OESTE</v>
      </c>
    </row>
    <row r="4548" ht="14.25" customHeight="1">
      <c r="G4548" s="174" t="s">
        <v>6074</v>
      </c>
      <c r="H4548" s="174" t="s">
        <v>1685</v>
      </c>
      <c r="I4548" s="174" t="str">
        <f t="shared" si="1"/>
        <v>NORDESTE</v>
      </c>
    </row>
    <row r="4549" ht="14.25" customHeight="1">
      <c r="G4549" s="174" t="s">
        <v>6075</v>
      </c>
      <c r="H4549" s="174" t="s">
        <v>1725</v>
      </c>
      <c r="I4549" s="174" t="str">
        <f t="shared" si="1"/>
        <v>NORDESTE</v>
      </c>
    </row>
    <row r="4550" ht="14.25" customHeight="1">
      <c r="G4550" s="174" t="s">
        <v>6076</v>
      </c>
      <c r="H4550" s="174" t="s">
        <v>1730</v>
      </c>
      <c r="I4550" s="174" t="str">
        <f t="shared" si="1"/>
        <v>SUDESTE</v>
      </c>
    </row>
    <row r="4551" ht="14.25" customHeight="1">
      <c r="G4551" s="174" t="s">
        <v>6077</v>
      </c>
      <c r="H4551" s="174" t="s">
        <v>1750</v>
      </c>
      <c r="I4551" s="174" t="str">
        <f t="shared" si="1"/>
        <v>SUDESTE</v>
      </c>
    </row>
    <row r="4552" ht="14.25" customHeight="1">
      <c r="G4552" s="174" t="s">
        <v>6078</v>
      </c>
      <c r="H4552" s="174" t="s">
        <v>1666</v>
      </c>
      <c r="I4552" s="174" t="str">
        <f t="shared" si="1"/>
        <v>SUDESTE</v>
      </c>
    </row>
    <row r="4553" ht="14.25" customHeight="1">
      <c r="G4553" s="174" t="s">
        <v>6079</v>
      </c>
      <c r="H4553" s="174" t="s">
        <v>1750</v>
      </c>
      <c r="I4553" s="174" t="str">
        <f t="shared" si="1"/>
        <v>SUDESTE</v>
      </c>
    </row>
    <row r="4554" ht="14.25" customHeight="1">
      <c r="G4554" s="174" t="s">
        <v>6080</v>
      </c>
      <c r="H4554" s="174" t="s">
        <v>1666</v>
      </c>
      <c r="I4554" s="174" t="str">
        <f t="shared" si="1"/>
        <v>SUDESTE</v>
      </c>
    </row>
    <row r="4555" ht="14.25" customHeight="1">
      <c r="G4555" s="174" t="s">
        <v>6081</v>
      </c>
      <c r="H4555" s="174" t="s">
        <v>1702</v>
      </c>
      <c r="I4555" s="174" t="str">
        <f t="shared" si="1"/>
        <v>SUL</v>
      </c>
    </row>
    <row r="4556" ht="14.25" customHeight="1">
      <c r="G4556" s="174" t="s">
        <v>6082</v>
      </c>
      <c r="H4556" s="174" t="s">
        <v>1658</v>
      </c>
      <c r="I4556" s="174" t="str">
        <f t="shared" si="1"/>
        <v>CENTRO OESTE</v>
      </c>
    </row>
    <row r="4557" ht="14.25" customHeight="1">
      <c r="G4557" s="174" t="s">
        <v>6083</v>
      </c>
      <c r="H4557" s="174" t="s">
        <v>1666</v>
      </c>
      <c r="I4557" s="174" t="str">
        <f t="shared" si="1"/>
        <v>SUDESTE</v>
      </c>
    </row>
    <row r="4558" ht="14.25" customHeight="1">
      <c r="G4558" s="174" t="s">
        <v>6084</v>
      </c>
      <c r="H4558" s="174" t="s">
        <v>1672</v>
      </c>
      <c r="I4558" s="174" t="str">
        <f t="shared" si="1"/>
        <v>NORTE</v>
      </c>
    </row>
    <row r="4559" ht="14.25" customHeight="1">
      <c r="G4559" s="174" t="s">
        <v>6085</v>
      </c>
      <c r="H4559" s="174" t="s">
        <v>1666</v>
      </c>
      <c r="I4559" s="174" t="str">
        <f t="shared" si="1"/>
        <v>SUDESTE</v>
      </c>
    </row>
    <row r="4560" ht="14.25" customHeight="1">
      <c r="G4560" s="174" t="s">
        <v>6086</v>
      </c>
      <c r="H4560" s="174" t="s">
        <v>1666</v>
      </c>
      <c r="I4560" s="174" t="str">
        <f t="shared" si="1"/>
        <v>SUDESTE</v>
      </c>
    </row>
    <row r="4561" ht="14.25" customHeight="1">
      <c r="G4561" s="174" t="s">
        <v>6087</v>
      </c>
      <c r="H4561" s="174" t="s">
        <v>1750</v>
      </c>
      <c r="I4561" s="174" t="str">
        <f t="shared" si="1"/>
        <v>SUDESTE</v>
      </c>
    </row>
    <row r="4562" ht="14.25" customHeight="1">
      <c r="G4562" s="174" t="s">
        <v>6088</v>
      </c>
      <c r="H4562" s="174" t="s">
        <v>1713</v>
      </c>
      <c r="I4562" s="174" t="str">
        <f t="shared" si="1"/>
        <v>CENTRO OESTE</v>
      </c>
    </row>
    <row r="4563" ht="14.25" customHeight="1">
      <c r="G4563" s="174" t="s">
        <v>6089</v>
      </c>
      <c r="H4563" s="174" t="s">
        <v>1713</v>
      </c>
      <c r="I4563" s="174" t="str">
        <f t="shared" si="1"/>
        <v>CENTRO OESTE</v>
      </c>
    </row>
    <row r="4564" ht="14.25" customHeight="1">
      <c r="G4564" s="174" t="s">
        <v>6090</v>
      </c>
      <c r="H4564" s="174" t="s">
        <v>1666</v>
      </c>
      <c r="I4564" s="174" t="str">
        <f t="shared" si="1"/>
        <v>SUDESTE</v>
      </c>
    </row>
    <row r="4565" ht="14.25" customHeight="1">
      <c r="G4565" s="174" t="s">
        <v>6091</v>
      </c>
      <c r="H4565" s="174" t="s">
        <v>1742</v>
      </c>
      <c r="I4565" s="174" t="str">
        <f t="shared" si="1"/>
        <v>SUL</v>
      </c>
    </row>
    <row r="4566" ht="14.25" customHeight="1">
      <c r="G4566" s="174" t="s">
        <v>6092</v>
      </c>
      <c r="H4566" s="174" t="s">
        <v>1702</v>
      </c>
      <c r="I4566" s="174" t="str">
        <f t="shared" si="1"/>
        <v>SUL</v>
      </c>
    </row>
    <row r="4567" ht="14.25" customHeight="1">
      <c r="G4567" s="174" t="s">
        <v>6093</v>
      </c>
      <c r="H4567" s="174" t="s">
        <v>1750</v>
      </c>
      <c r="I4567" s="174" t="str">
        <f t="shared" si="1"/>
        <v>SUDESTE</v>
      </c>
    </row>
    <row r="4568" ht="14.25" customHeight="1">
      <c r="G4568" s="174" t="s">
        <v>6094</v>
      </c>
      <c r="H4568" s="174" t="s">
        <v>1742</v>
      </c>
      <c r="I4568" s="174" t="str">
        <f t="shared" si="1"/>
        <v>SUL</v>
      </c>
    </row>
    <row r="4569" ht="14.25" customHeight="1">
      <c r="G4569" s="174" t="s">
        <v>6095</v>
      </c>
      <c r="H4569" s="174" t="s">
        <v>1666</v>
      </c>
      <c r="I4569" s="174" t="str">
        <f t="shared" si="1"/>
        <v>SUDESTE</v>
      </c>
    </row>
    <row r="4570" ht="14.25" customHeight="1">
      <c r="G4570" s="174" t="s">
        <v>6096</v>
      </c>
      <c r="H4570" s="174" t="s">
        <v>1666</v>
      </c>
      <c r="I4570" s="174" t="str">
        <f t="shared" si="1"/>
        <v>SUDESTE</v>
      </c>
    </row>
    <row r="4571" ht="14.25" customHeight="1">
      <c r="G4571" s="174" t="s">
        <v>6097</v>
      </c>
      <c r="H4571" s="174" t="s">
        <v>1702</v>
      </c>
      <c r="I4571" s="174" t="str">
        <f t="shared" si="1"/>
        <v>SUL</v>
      </c>
    </row>
    <row r="4572" ht="14.25" customHeight="1">
      <c r="G4572" s="174" t="s">
        <v>6098</v>
      </c>
      <c r="H4572" s="174" t="s">
        <v>1687</v>
      </c>
      <c r="I4572" s="174" t="str">
        <f t="shared" si="1"/>
        <v>NORTE</v>
      </c>
    </row>
    <row r="4573" ht="14.25" customHeight="1">
      <c r="G4573" s="174" t="s">
        <v>6099</v>
      </c>
      <c r="H4573" s="174" t="s">
        <v>1704</v>
      </c>
      <c r="I4573" s="174" t="str">
        <f t="shared" si="1"/>
        <v>NORDESTE</v>
      </c>
    </row>
    <row r="4574" ht="14.25" customHeight="1">
      <c r="G4574" s="174" t="s">
        <v>6100</v>
      </c>
      <c r="H4574" s="174" t="s">
        <v>1725</v>
      </c>
      <c r="I4574" s="174" t="str">
        <f t="shared" si="1"/>
        <v>NORDESTE</v>
      </c>
    </row>
    <row r="4575" ht="14.25" customHeight="1">
      <c r="G4575" s="174" t="s">
        <v>6101</v>
      </c>
      <c r="H4575" s="174" t="s">
        <v>1742</v>
      </c>
      <c r="I4575" s="174" t="str">
        <f t="shared" si="1"/>
        <v>SUL</v>
      </c>
    </row>
    <row r="4576" ht="14.25" customHeight="1">
      <c r="G4576" s="174" t="s">
        <v>6102</v>
      </c>
      <c r="H4576" s="174" t="s">
        <v>1742</v>
      </c>
      <c r="I4576" s="174" t="str">
        <f t="shared" si="1"/>
        <v>SUL</v>
      </c>
    </row>
    <row r="4577" ht="14.25" customHeight="1">
      <c r="G4577" s="174" t="s">
        <v>6103</v>
      </c>
      <c r="H4577" s="174" t="s">
        <v>1685</v>
      </c>
      <c r="I4577" s="174" t="str">
        <f t="shared" si="1"/>
        <v>NORDESTE</v>
      </c>
    </row>
    <row r="4578" ht="14.25" customHeight="1">
      <c r="G4578" s="174" t="s">
        <v>6104</v>
      </c>
      <c r="H4578" s="174" t="s">
        <v>1750</v>
      </c>
      <c r="I4578" s="174" t="str">
        <f t="shared" si="1"/>
        <v>SUDESTE</v>
      </c>
    </row>
    <row r="4579" ht="14.25" customHeight="1">
      <c r="G4579" s="174" t="s">
        <v>6105</v>
      </c>
      <c r="H4579" s="174" t="s">
        <v>1742</v>
      </c>
      <c r="I4579" s="174" t="str">
        <f t="shared" si="1"/>
        <v>SUL</v>
      </c>
    </row>
    <row r="4580" ht="14.25" customHeight="1">
      <c r="G4580" s="174" t="s">
        <v>6106</v>
      </c>
      <c r="H4580" s="174" t="s">
        <v>1666</v>
      </c>
      <c r="I4580" s="174" t="str">
        <f t="shared" si="1"/>
        <v>SUDESTE</v>
      </c>
    </row>
    <row r="4581" ht="14.25" customHeight="1">
      <c r="G4581" s="174" t="s">
        <v>6107</v>
      </c>
      <c r="H4581" s="174" t="s">
        <v>1702</v>
      </c>
      <c r="I4581" s="174" t="str">
        <f t="shared" si="1"/>
        <v>SUL</v>
      </c>
    </row>
    <row r="4582" ht="14.25" customHeight="1">
      <c r="G4582" s="174" t="s">
        <v>6108</v>
      </c>
      <c r="H4582" s="174" t="s">
        <v>1725</v>
      </c>
      <c r="I4582" s="174" t="str">
        <f t="shared" si="1"/>
        <v>NORDESTE</v>
      </c>
    </row>
    <row r="4583" ht="14.25" customHeight="1">
      <c r="G4583" s="174" t="s">
        <v>6109</v>
      </c>
      <c r="H4583" s="174" t="s">
        <v>1750</v>
      </c>
      <c r="I4583" s="174" t="str">
        <f t="shared" si="1"/>
        <v>SUDESTE</v>
      </c>
    </row>
    <row r="4584" ht="14.25" customHeight="1">
      <c r="G4584" s="174" t="s">
        <v>6110</v>
      </c>
      <c r="H4584" s="174" t="s">
        <v>1750</v>
      </c>
      <c r="I4584" s="174" t="str">
        <f t="shared" si="1"/>
        <v>SUDESTE</v>
      </c>
    </row>
    <row r="4585" ht="14.25" customHeight="1">
      <c r="G4585" s="174" t="s">
        <v>6111</v>
      </c>
      <c r="H4585" s="174" t="s">
        <v>1666</v>
      </c>
      <c r="I4585" s="174" t="str">
        <f t="shared" si="1"/>
        <v>SUDESTE</v>
      </c>
    </row>
    <row r="4586" ht="14.25" customHeight="1">
      <c r="G4586" s="174" t="s">
        <v>6112</v>
      </c>
      <c r="H4586" s="174" t="s">
        <v>1690</v>
      </c>
      <c r="I4586" s="174" t="str">
        <f t="shared" si="1"/>
        <v>NORDESTE</v>
      </c>
    </row>
    <row r="4587" ht="14.25" customHeight="1">
      <c r="G4587" s="174" t="s">
        <v>6113</v>
      </c>
      <c r="H4587" s="174" t="s">
        <v>1704</v>
      </c>
      <c r="I4587" s="174" t="str">
        <f t="shared" si="1"/>
        <v>NORDESTE</v>
      </c>
    </row>
    <row r="4588" ht="14.25" customHeight="1">
      <c r="G4588" s="174" t="s">
        <v>6114</v>
      </c>
      <c r="H4588" s="174" t="s">
        <v>1717</v>
      </c>
      <c r="I4588" s="174" t="str">
        <f t="shared" si="1"/>
        <v>NORDESTE</v>
      </c>
    </row>
    <row r="4589" ht="14.25" customHeight="1">
      <c r="G4589" s="174" t="s">
        <v>6115</v>
      </c>
      <c r="H4589" s="174" t="s">
        <v>1719</v>
      </c>
      <c r="I4589" s="174" t="str">
        <f t="shared" si="1"/>
        <v>NORDESTE</v>
      </c>
    </row>
    <row r="4590" ht="14.25" customHeight="1">
      <c r="G4590" s="174" t="s">
        <v>6116</v>
      </c>
      <c r="H4590" s="174" t="s">
        <v>1704</v>
      </c>
      <c r="I4590" s="174" t="str">
        <f t="shared" si="1"/>
        <v>NORDESTE</v>
      </c>
    </row>
    <row r="4591" ht="14.25" customHeight="1">
      <c r="G4591" s="174" t="s">
        <v>6116</v>
      </c>
      <c r="H4591" s="174" t="s">
        <v>1719</v>
      </c>
      <c r="I4591" s="174" t="str">
        <f t="shared" si="1"/>
        <v>NORDESTE</v>
      </c>
    </row>
    <row r="4592" ht="14.25" customHeight="1">
      <c r="G4592" s="174" t="s">
        <v>6117</v>
      </c>
      <c r="H4592" s="174" t="s">
        <v>1666</v>
      </c>
      <c r="I4592" s="174" t="str">
        <f t="shared" si="1"/>
        <v>SUDESTE</v>
      </c>
    </row>
    <row r="4593" ht="14.25" customHeight="1">
      <c r="G4593" s="174" t="s">
        <v>6118</v>
      </c>
      <c r="H4593" s="174" t="s">
        <v>1733</v>
      </c>
      <c r="I4593" s="174" t="str">
        <f t="shared" si="1"/>
        <v>NORDESTE</v>
      </c>
    </row>
    <row r="4594" ht="14.25" customHeight="1">
      <c r="G4594" s="174" t="s">
        <v>6119</v>
      </c>
      <c r="H4594" s="174" t="s">
        <v>1750</v>
      </c>
      <c r="I4594" s="174" t="str">
        <f t="shared" si="1"/>
        <v>SUDESTE</v>
      </c>
    </row>
    <row r="4595" ht="14.25" customHeight="1">
      <c r="G4595" s="174" t="s">
        <v>6120</v>
      </c>
      <c r="H4595" s="174" t="s">
        <v>1706</v>
      </c>
      <c r="I4595" s="174" t="str">
        <f t="shared" si="1"/>
        <v>SUL</v>
      </c>
    </row>
    <row r="4596" ht="14.25" customHeight="1">
      <c r="G4596" s="174" t="s">
        <v>6121</v>
      </c>
      <c r="H4596" s="174" t="s">
        <v>1721</v>
      </c>
      <c r="I4596" s="174" t="str">
        <f t="shared" si="1"/>
        <v>NORTE</v>
      </c>
    </row>
    <row r="4597" ht="14.25" customHeight="1">
      <c r="G4597" s="174" t="s">
        <v>6122</v>
      </c>
      <c r="H4597" s="174" t="s">
        <v>1733</v>
      </c>
      <c r="I4597" s="174" t="str">
        <f t="shared" si="1"/>
        <v>NORDESTE</v>
      </c>
    </row>
    <row r="4598" ht="14.25" customHeight="1">
      <c r="G4598" s="174" t="s">
        <v>6123</v>
      </c>
      <c r="H4598" s="174" t="s">
        <v>1717</v>
      </c>
      <c r="I4598" s="174" t="str">
        <f t="shared" si="1"/>
        <v>NORDESTE</v>
      </c>
    </row>
    <row r="4599" ht="14.25" customHeight="1">
      <c r="G4599" s="174" t="s">
        <v>6124</v>
      </c>
      <c r="H4599" s="174" t="s">
        <v>1706</v>
      </c>
      <c r="I4599" s="174" t="str">
        <f t="shared" si="1"/>
        <v>SUL</v>
      </c>
    </row>
    <row r="4600" ht="14.25" customHeight="1">
      <c r="G4600" s="174" t="s">
        <v>6125</v>
      </c>
      <c r="H4600" s="174" t="s">
        <v>1704</v>
      </c>
      <c r="I4600" s="174" t="str">
        <f t="shared" si="1"/>
        <v>NORDESTE</v>
      </c>
    </row>
    <row r="4601" ht="14.25" customHeight="1">
      <c r="G4601" s="174" t="s">
        <v>6126</v>
      </c>
      <c r="H4601" s="174" t="s">
        <v>1750</v>
      </c>
      <c r="I4601" s="174" t="str">
        <f t="shared" si="1"/>
        <v>SUDESTE</v>
      </c>
    </row>
    <row r="4602" ht="14.25" customHeight="1">
      <c r="G4602" s="174" t="s">
        <v>6127</v>
      </c>
      <c r="H4602" s="174" t="s">
        <v>1706</v>
      </c>
      <c r="I4602" s="174" t="str">
        <f t="shared" si="1"/>
        <v>SUL</v>
      </c>
    </row>
    <row r="4603" ht="14.25" customHeight="1">
      <c r="G4603" s="174" t="s">
        <v>6128</v>
      </c>
      <c r="H4603" s="174" t="s">
        <v>1742</v>
      </c>
      <c r="I4603" s="174" t="str">
        <f t="shared" si="1"/>
        <v>SUL</v>
      </c>
    </row>
    <row r="4604" ht="14.25" customHeight="1">
      <c r="G4604" s="174" t="s">
        <v>6129</v>
      </c>
      <c r="H4604" s="174" t="s">
        <v>1664</v>
      </c>
      <c r="I4604" s="174" t="str">
        <f t="shared" si="1"/>
        <v>NORDESTE</v>
      </c>
    </row>
    <row r="4605" ht="14.25" customHeight="1">
      <c r="G4605" s="174" t="s">
        <v>6130</v>
      </c>
      <c r="H4605" s="174" t="s">
        <v>1666</v>
      </c>
      <c r="I4605" s="174" t="str">
        <f t="shared" si="1"/>
        <v>SUDESTE</v>
      </c>
    </row>
    <row r="4606" ht="14.25" customHeight="1">
      <c r="G4606" s="174" t="s">
        <v>6131</v>
      </c>
      <c r="H4606" s="174" t="s">
        <v>1725</v>
      </c>
      <c r="I4606" s="174" t="str">
        <f t="shared" si="1"/>
        <v>NORDESTE</v>
      </c>
    </row>
    <row r="4607" ht="14.25" customHeight="1">
      <c r="G4607" s="174" t="s">
        <v>6132</v>
      </c>
      <c r="H4607" s="174" t="s">
        <v>1687</v>
      </c>
      <c r="I4607" s="174" t="str">
        <f t="shared" si="1"/>
        <v>NORTE</v>
      </c>
    </row>
    <row r="4608" ht="14.25" customHeight="1">
      <c r="G4608" s="174" t="s">
        <v>6133</v>
      </c>
      <c r="H4608" s="174" t="s">
        <v>1750</v>
      </c>
      <c r="I4608" s="174" t="str">
        <f t="shared" si="1"/>
        <v>SUDESTE</v>
      </c>
    </row>
    <row r="4609" ht="14.25" customHeight="1">
      <c r="G4609" s="174" t="s">
        <v>6134</v>
      </c>
      <c r="H4609" s="174" t="s">
        <v>1717</v>
      </c>
      <c r="I4609" s="174" t="str">
        <f t="shared" si="1"/>
        <v>NORDESTE</v>
      </c>
    </row>
    <row r="4610" ht="14.25" customHeight="1">
      <c r="G4610" s="174" t="s">
        <v>6135</v>
      </c>
      <c r="H4610" s="174" t="s">
        <v>1750</v>
      </c>
      <c r="I4610" s="174" t="str">
        <f t="shared" si="1"/>
        <v>SUDESTE</v>
      </c>
    </row>
    <row r="4611" ht="14.25" customHeight="1">
      <c r="G4611" s="174" t="s">
        <v>6135</v>
      </c>
      <c r="H4611" s="174" t="s">
        <v>1706</v>
      </c>
      <c r="I4611" s="174" t="str">
        <f t="shared" si="1"/>
        <v>SUL</v>
      </c>
    </row>
    <row r="4612" ht="14.25" customHeight="1">
      <c r="G4612" s="174" t="s">
        <v>6136</v>
      </c>
      <c r="H4612" s="174" t="s">
        <v>1702</v>
      </c>
      <c r="I4612" s="174" t="str">
        <f t="shared" si="1"/>
        <v>SUL</v>
      </c>
    </row>
    <row r="4613" ht="14.25" customHeight="1">
      <c r="G4613" s="174" t="s">
        <v>6137</v>
      </c>
      <c r="H4613" s="174" t="s">
        <v>1747</v>
      </c>
      <c r="I4613" s="174" t="str">
        <f t="shared" si="1"/>
        <v>NORDESTE</v>
      </c>
    </row>
    <row r="4614" ht="14.25" customHeight="1">
      <c r="G4614" s="174" t="s">
        <v>6138</v>
      </c>
      <c r="H4614" s="174" t="s">
        <v>1706</v>
      </c>
      <c r="I4614" s="174" t="str">
        <f t="shared" si="1"/>
        <v>SUL</v>
      </c>
    </row>
    <row r="4615" ht="14.25" customHeight="1">
      <c r="G4615" s="174" t="s">
        <v>6139</v>
      </c>
      <c r="H4615" s="174" t="s">
        <v>1685</v>
      </c>
      <c r="I4615" s="174" t="str">
        <f t="shared" si="1"/>
        <v>NORDESTE</v>
      </c>
    </row>
    <row r="4616" ht="14.25" customHeight="1">
      <c r="G4616" s="174" t="s">
        <v>6140</v>
      </c>
      <c r="H4616" s="174" t="s">
        <v>1747</v>
      </c>
      <c r="I4616" s="174" t="str">
        <f t="shared" si="1"/>
        <v>NORDESTE</v>
      </c>
    </row>
    <row r="4617" ht="14.25" customHeight="1">
      <c r="G4617" s="174" t="s">
        <v>6140</v>
      </c>
      <c r="H4617" s="174" t="s">
        <v>1685</v>
      </c>
      <c r="I4617" s="174" t="str">
        <f t="shared" si="1"/>
        <v>NORDESTE</v>
      </c>
    </row>
    <row r="4618" ht="14.25" customHeight="1">
      <c r="G4618" s="174" t="s">
        <v>6140</v>
      </c>
      <c r="H4618" s="174" t="s">
        <v>1706</v>
      </c>
      <c r="I4618" s="174" t="str">
        <f t="shared" si="1"/>
        <v>SUL</v>
      </c>
    </row>
    <row r="4619" ht="14.25" customHeight="1">
      <c r="G4619" s="174" t="s">
        <v>6140</v>
      </c>
      <c r="H4619" s="174" t="s">
        <v>1658</v>
      </c>
      <c r="I4619" s="174" t="str">
        <f t="shared" si="1"/>
        <v>CENTRO OESTE</v>
      </c>
    </row>
    <row r="4620" ht="14.25" customHeight="1">
      <c r="G4620" s="174" t="s">
        <v>6141</v>
      </c>
      <c r="H4620" s="174" t="s">
        <v>1666</v>
      </c>
      <c r="I4620" s="174" t="str">
        <f t="shared" si="1"/>
        <v>SUDESTE</v>
      </c>
    </row>
    <row r="4621" ht="14.25" customHeight="1">
      <c r="G4621" s="174" t="s">
        <v>6142</v>
      </c>
      <c r="H4621" s="174" t="s">
        <v>1719</v>
      </c>
      <c r="I4621" s="174" t="str">
        <f t="shared" si="1"/>
        <v>NORDESTE</v>
      </c>
    </row>
    <row r="4622" ht="14.25" customHeight="1">
      <c r="G4622" s="174" t="s">
        <v>6143</v>
      </c>
      <c r="H4622" s="174" t="s">
        <v>1687</v>
      </c>
      <c r="I4622" s="174" t="str">
        <f t="shared" si="1"/>
        <v>NORTE</v>
      </c>
    </row>
    <row r="4623" ht="14.25" customHeight="1">
      <c r="G4623" s="174" t="s">
        <v>6144</v>
      </c>
      <c r="H4623" s="174" t="s">
        <v>1704</v>
      </c>
      <c r="I4623" s="174" t="str">
        <f t="shared" si="1"/>
        <v>NORDESTE</v>
      </c>
    </row>
    <row r="4624" ht="14.25" customHeight="1">
      <c r="G4624" s="174" t="s">
        <v>6145</v>
      </c>
      <c r="H4624" s="174" t="s">
        <v>1687</v>
      </c>
      <c r="I4624" s="174" t="str">
        <f t="shared" si="1"/>
        <v>NORTE</v>
      </c>
    </row>
    <row r="4625" ht="14.25" customHeight="1">
      <c r="G4625" s="174" t="s">
        <v>6146</v>
      </c>
      <c r="H4625" s="174" t="s">
        <v>1719</v>
      </c>
      <c r="I4625" s="174" t="str">
        <f t="shared" si="1"/>
        <v>NORDESTE</v>
      </c>
    </row>
    <row r="4626" ht="14.25" customHeight="1">
      <c r="G4626" s="174" t="s">
        <v>6147</v>
      </c>
      <c r="H4626" s="174" t="s">
        <v>1704</v>
      </c>
      <c r="I4626" s="174" t="str">
        <f t="shared" si="1"/>
        <v>NORDESTE</v>
      </c>
    </row>
    <row r="4627" ht="14.25" customHeight="1">
      <c r="G4627" s="174" t="s">
        <v>6148</v>
      </c>
      <c r="H4627" s="174" t="s">
        <v>1698</v>
      </c>
      <c r="I4627" s="174" t="str">
        <f t="shared" si="1"/>
        <v>SUDESTE</v>
      </c>
    </row>
    <row r="4628" ht="14.25" customHeight="1">
      <c r="G4628" s="174" t="s">
        <v>6149</v>
      </c>
      <c r="H4628" s="174" t="s">
        <v>1666</v>
      </c>
      <c r="I4628" s="174" t="str">
        <f t="shared" si="1"/>
        <v>SUDESTE</v>
      </c>
    </row>
    <row r="4629" ht="14.25" customHeight="1">
      <c r="G4629" s="174" t="s">
        <v>6150</v>
      </c>
      <c r="H4629" s="174" t="s">
        <v>1742</v>
      </c>
      <c r="I4629" s="174" t="str">
        <f t="shared" si="1"/>
        <v>SUL</v>
      </c>
    </row>
    <row r="4630" ht="14.25" customHeight="1">
      <c r="G4630" s="174" t="s">
        <v>6151</v>
      </c>
      <c r="H4630" s="174" t="s">
        <v>1685</v>
      </c>
      <c r="I4630" s="174" t="str">
        <f t="shared" si="1"/>
        <v>NORDESTE</v>
      </c>
    </row>
    <row r="4631" ht="14.25" customHeight="1">
      <c r="G4631" s="174" t="s">
        <v>6152</v>
      </c>
      <c r="H4631" s="174" t="s">
        <v>1736</v>
      </c>
      <c r="I4631" s="174" t="str">
        <f t="shared" si="1"/>
        <v>NORTE</v>
      </c>
    </row>
    <row r="4632" ht="14.25" customHeight="1">
      <c r="G4632" s="174" t="s">
        <v>6153</v>
      </c>
      <c r="H4632" s="174" t="s">
        <v>1685</v>
      </c>
      <c r="I4632" s="174" t="str">
        <f t="shared" si="1"/>
        <v>NORDESTE</v>
      </c>
    </row>
    <row r="4633" ht="14.25" customHeight="1">
      <c r="G4633" s="174" t="s">
        <v>6154</v>
      </c>
      <c r="H4633" s="174" t="s">
        <v>1704</v>
      </c>
      <c r="I4633" s="174" t="str">
        <f t="shared" si="1"/>
        <v>NORDESTE</v>
      </c>
    </row>
    <row r="4634" ht="14.25" customHeight="1">
      <c r="G4634" s="174" t="s">
        <v>6155</v>
      </c>
      <c r="H4634" s="174" t="s">
        <v>1666</v>
      </c>
      <c r="I4634" s="174" t="str">
        <f t="shared" si="1"/>
        <v>SUDESTE</v>
      </c>
    </row>
    <row r="4635" ht="14.25" customHeight="1">
      <c r="G4635" s="174" t="s">
        <v>6156</v>
      </c>
      <c r="H4635" s="174" t="s">
        <v>1713</v>
      </c>
      <c r="I4635" s="174" t="str">
        <f t="shared" si="1"/>
        <v>CENTRO OESTE</v>
      </c>
    </row>
    <row r="4636" ht="14.25" customHeight="1">
      <c r="G4636" s="174" t="s">
        <v>6157</v>
      </c>
      <c r="H4636" s="174" t="s">
        <v>1685</v>
      </c>
      <c r="I4636" s="174" t="str">
        <f t="shared" si="1"/>
        <v>NORDESTE</v>
      </c>
    </row>
    <row r="4637" ht="14.25" customHeight="1">
      <c r="G4637" s="174" t="s">
        <v>6158</v>
      </c>
      <c r="H4637" s="174" t="s">
        <v>1725</v>
      </c>
      <c r="I4637" s="174" t="str">
        <f t="shared" si="1"/>
        <v>NORDESTE</v>
      </c>
    </row>
    <row r="4638" ht="14.25" customHeight="1">
      <c r="G4638" s="174" t="s">
        <v>6159</v>
      </c>
      <c r="H4638" s="174" t="s">
        <v>1721</v>
      </c>
      <c r="I4638" s="174" t="str">
        <f t="shared" si="1"/>
        <v>NORTE</v>
      </c>
    </row>
    <row r="4639" ht="14.25" customHeight="1">
      <c r="G4639" s="174" t="s">
        <v>6160</v>
      </c>
      <c r="H4639" s="174" t="s">
        <v>1687</v>
      </c>
      <c r="I4639" s="174" t="str">
        <f t="shared" si="1"/>
        <v>NORTE</v>
      </c>
    </row>
    <row r="4640" ht="14.25" customHeight="1">
      <c r="G4640" s="174" t="s">
        <v>6161</v>
      </c>
      <c r="H4640" s="174" t="s">
        <v>1733</v>
      </c>
      <c r="I4640" s="174" t="str">
        <f t="shared" si="1"/>
        <v>NORDESTE</v>
      </c>
    </row>
    <row r="4641" ht="14.25" customHeight="1">
      <c r="G4641" s="174" t="s">
        <v>6162</v>
      </c>
      <c r="H4641" s="174" t="s">
        <v>1730</v>
      </c>
      <c r="I4641" s="174" t="str">
        <f t="shared" si="1"/>
        <v>SUDESTE</v>
      </c>
    </row>
    <row r="4642" ht="14.25" customHeight="1">
      <c r="G4642" s="174" t="s">
        <v>6163</v>
      </c>
      <c r="H4642" s="174" t="s">
        <v>1719</v>
      </c>
      <c r="I4642" s="174" t="str">
        <f t="shared" si="1"/>
        <v>NORDESTE</v>
      </c>
    </row>
    <row r="4643" ht="14.25" customHeight="1">
      <c r="G4643" s="174" t="s">
        <v>6163</v>
      </c>
      <c r="H4643" s="174" t="s">
        <v>1747</v>
      </c>
      <c r="I4643" s="174" t="str">
        <f t="shared" si="1"/>
        <v>NORDESTE</v>
      </c>
    </row>
    <row r="4644" ht="14.25" customHeight="1">
      <c r="G4644" s="174" t="s">
        <v>6163</v>
      </c>
      <c r="H4644" s="174" t="s">
        <v>1666</v>
      </c>
      <c r="I4644" s="174" t="str">
        <f t="shared" si="1"/>
        <v>SUDESTE</v>
      </c>
    </row>
    <row r="4645" ht="14.25" customHeight="1">
      <c r="G4645" s="174" t="s">
        <v>6163</v>
      </c>
      <c r="H4645" s="174" t="s">
        <v>1750</v>
      </c>
      <c r="I4645" s="174" t="str">
        <f t="shared" si="1"/>
        <v>SUDESTE</v>
      </c>
    </row>
    <row r="4646" ht="14.25" customHeight="1">
      <c r="G4646" s="174" t="s">
        <v>6164</v>
      </c>
      <c r="H4646" s="174" t="s">
        <v>1742</v>
      </c>
      <c r="I4646" s="174" t="str">
        <f t="shared" si="1"/>
        <v>SUL</v>
      </c>
    </row>
    <row r="4647" ht="14.25" customHeight="1">
      <c r="G4647" s="174" t="s">
        <v>6165</v>
      </c>
      <c r="H4647" s="174" t="s">
        <v>1725</v>
      </c>
      <c r="I4647" s="174" t="str">
        <f t="shared" si="1"/>
        <v>NORDESTE</v>
      </c>
    </row>
    <row r="4648" ht="14.25" customHeight="1">
      <c r="G4648" s="174" t="s">
        <v>6166</v>
      </c>
      <c r="H4648" s="174" t="s">
        <v>1658</v>
      </c>
      <c r="I4648" s="174" t="str">
        <f t="shared" si="1"/>
        <v>CENTRO OESTE</v>
      </c>
    </row>
    <row r="4649" ht="14.25" customHeight="1">
      <c r="G4649" s="174" t="s">
        <v>6167</v>
      </c>
      <c r="H4649" s="174" t="s">
        <v>1730</v>
      </c>
      <c r="I4649" s="174" t="str">
        <f t="shared" si="1"/>
        <v>SUDESTE</v>
      </c>
    </row>
    <row r="4650" ht="14.25" customHeight="1">
      <c r="G4650" s="174" t="s">
        <v>6168</v>
      </c>
      <c r="H4650" s="174" t="s">
        <v>1666</v>
      </c>
      <c r="I4650" s="174" t="str">
        <f t="shared" si="1"/>
        <v>SUDESTE</v>
      </c>
    </row>
    <row r="4651" ht="14.25" customHeight="1">
      <c r="G4651" s="174" t="s">
        <v>6168</v>
      </c>
      <c r="H4651" s="174" t="s">
        <v>1742</v>
      </c>
      <c r="I4651" s="174" t="str">
        <f t="shared" si="1"/>
        <v>SUL</v>
      </c>
    </row>
    <row r="4652" ht="14.25" customHeight="1">
      <c r="G4652" s="174" t="s">
        <v>6169</v>
      </c>
      <c r="H4652" s="174" t="s">
        <v>1666</v>
      </c>
      <c r="I4652" s="174" t="str">
        <f t="shared" si="1"/>
        <v>SUDESTE</v>
      </c>
    </row>
    <row r="4653" ht="14.25" customHeight="1">
      <c r="G4653" s="174" t="s">
        <v>6170</v>
      </c>
      <c r="H4653" s="174" t="s">
        <v>1704</v>
      </c>
      <c r="I4653" s="174" t="str">
        <f t="shared" si="1"/>
        <v>NORDESTE</v>
      </c>
    </row>
    <row r="4654" ht="14.25" customHeight="1">
      <c r="G4654" s="174" t="s">
        <v>6171</v>
      </c>
      <c r="H4654" s="174" t="s">
        <v>1685</v>
      </c>
      <c r="I4654" s="174" t="str">
        <f t="shared" si="1"/>
        <v>NORDESTE</v>
      </c>
    </row>
    <row r="4655" ht="14.25" customHeight="1">
      <c r="G4655" s="174" t="s">
        <v>6172</v>
      </c>
      <c r="H4655" s="174" t="s">
        <v>1666</v>
      </c>
      <c r="I4655" s="174" t="str">
        <f t="shared" si="1"/>
        <v>SUDESTE</v>
      </c>
    </row>
    <row r="4656" ht="14.25" customHeight="1">
      <c r="G4656" s="174" t="s">
        <v>6173</v>
      </c>
      <c r="H4656" s="174" t="s">
        <v>1736</v>
      </c>
      <c r="I4656" s="174" t="str">
        <f t="shared" si="1"/>
        <v>NORTE</v>
      </c>
    </row>
    <row r="4657" ht="14.25" customHeight="1">
      <c r="G4657" s="174" t="s">
        <v>6174</v>
      </c>
      <c r="H4657" s="174" t="s">
        <v>1704</v>
      </c>
      <c r="I4657" s="174" t="str">
        <f t="shared" si="1"/>
        <v>NORDESTE</v>
      </c>
    </row>
    <row r="4658" ht="14.25" customHeight="1">
      <c r="G4658" s="174" t="s">
        <v>6175</v>
      </c>
      <c r="H4658" s="174" t="s">
        <v>1733</v>
      </c>
      <c r="I4658" s="174" t="str">
        <f t="shared" si="1"/>
        <v>NORDESTE</v>
      </c>
    </row>
    <row r="4659" ht="14.25" customHeight="1">
      <c r="G4659" s="174" t="s">
        <v>6176</v>
      </c>
      <c r="H4659" s="174" t="s">
        <v>1687</v>
      </c>
      <c r="I4659" s="174" t="str">
        <f t="shared" si="1"/>
        <v>NORTE</v>
      </c>
    </row>
    <row r="4660" ht="14.25" customHeight="1">
      <c r="G4660" s="174" t="s">
        <v>6177</v>
      </c>
      <c r="H4660" s="174" t="s">
        <v>1725</v>
      </c>
      <c r="I4660" s="174" t="str">
        <f t="shared" si="1"/>
        <v>NORDESTE</v>
      </c>
    </row>
    <row r="4661" ht="14.25" customHeight="1">
      <c r="G4661" s="174" t="s">
        <v>6178</v>
      </c>
      <c r="H4661" s="174" t="s">
        <v>1706</v>
      </c>
      <c r="I4661" s="174" t="str">
        <f t="shared" si="1"/>
        <v>SUL</v>
      </c>
    </row>
    <row r="4662" ht="14.25" customHeight="1">
      <c r="G4662" s="174" t="s">
        <v>6179</v>
      </c>
      <c r="H4662" s="174" t="s">
        <v>1685</v>
      </c>
      <c r="I4662" s="174" t="str">
        <f t="shared" si="1"/>
        <v>NORDESTE</v>
      </c>
    </row>
    <row r="4663" ht="14.25" customHeight="1">
      <c r="G4663" s="174" t="s">
        <v>6179</v>
      </c>
      <c r="H4663" s="174" t="s">
        <v>1742</v>
      </c>
      <c r="I4663" s="174" t="str">
        <f t="shared" si="1"/>
        <v>SUL</v>
      </c>
    </row>
    <row r="4664" ht="14.25" customHeight="1">
      <c r="G4664" s="174" t="s">
        <v>6180</v>
      </c>
      <c r="H4664" s="174" t="s">
        <v>1672</v>
      </c>
      <c r="I4664" s="174" t="str">
        <f t="shared" si="1"/>
        <v>NORTE</v>
      </c>
    </row>
    <row r="4665" ht="14.25" customHeight="1">
      <c r="G4665" s="174" t="s">
        <v>6181</v>
      </c>
      <c r="H4665" s="174" t="s">
        <v>1698</v>
      </c>
      <c r="I4665" s="174" t="str">
        <f t="shared" si="1"/>
        <v>SUDESTE</v>
      </c>
    </row>
    <row r="4666" ht="14.25" customHeight="1">
      <c r="G4666" s="174" t="s">
        <v>6182</v>
      </c>
      <c r="H4666" s="174" t="s">
        <v>1710</v>
      </c>
      <c r="I4666" s="174" t="str">
        <f t="shared" si="1"/>
        <v>CENTRO OESTE</v>
      </c>
    </row>
    <row r="4667" ht="14.25" customHeight="1">
      <c r="G4667" s="174" t="s">
        <v>6183</v>
      </c>
      <c r="H4667" s="174" t="s">
        <v>1666</v>
      </c>
      <c r="I4667" s="174" t="str">
        <f t="shared" si="1"/>
        <v>SUDESTE</v>
      </c>
    </row>
    <row r="4668" ht="14.25" customHeight="1">
      <c r="G4668" s="174" t="s">
        <v>6184</v>
      </c>
      <c r="H4668" s="174" t="s">
        <v>1666</v>
      </c>
      <c r="I4668" s="174" t="str">
        <f t="shared" si="1"/>
        <v>SUDESTE</v>
      </c>
    </row>
    <row r="4669" ht="14.25" customHeight="1">
      <c r="G4669" s="174" t="s">
        <v>6185</v>
      </c>
      <c r="H4669" s="174" t="s">
        <v>1687</v>
      </c>
      <c r="I4669" s="174" t="str">
        <f t="shared" si="1"/>
        <v>NORTE</v>
      </c>
    </row>
    <row r="4670" ht="14.25" customHeight="1">
      <c r="G4670" s="174" t="s">
        <v>6186</v>
      </c>
      <c r="H4670" s="174" t="s">
        <v>1666</v>
      </c>
      <c r="I4670" s="174" t="str">
        <f t="shared" si="1"/>
        <v>SUDESTE</v>
      </c>
    </row>
    <row r="4671" ht="14.25" customHeight="1">
      <c r="G4671" s="174" t="s">
        <v>6187</v>
      </c>
      <c r="H4671" s="174" t="s">
        <v>1730</v>
      </c>
      <c r="I4671" s="174" t="str">
        <f t="shared" si="1"/>
        <v>SUDESTE</v>
      </c>
    </row>
    <row r="4672" ht="14.25" customHeight="1">
      <c r="G4672" s="174" t="s">
        <v>6188</v>
      </c>
      <c r="H4672" s="174" t="s">
        <v>1666</v>
      </c>
      <c r="I4672" s="174" t="str">
        <f t="shared" si="1"/>
        <v>SUDESTE</v>
      </c>
    </row>
    <row r="4673" ht="14.25" customHeight="1">
      <c r="G4673" s="174" t="s">
        <v>6189</v>
      </c>
      <c r="H4673" s="174" t="s">
        <v>1690</v>
      </c>
      <c r="I4673" s="174" t="str">
        <f t="shared" si="1"/>
        <v>NORDESTE</v>
      </c>
    </row>
    <row r="4674" ht="14.25" customHeight="1">
      <c r="G4674" s="174" t="s">
        <v>6189</v>
      </c>
      <c r="H4674" s="174" t="s">
        <v>1733</v>
      </c>
      <c r="I4674" s="174" t="str">
        <f t="shared" si="1"/>
        <v>NORDESTE</v>
      </c>
    </row>
    <row r="4675" ht="14.25" customHeight="1">
      <c r="G4675" s="174" t="s">
        <v>6190</v>
      </c>
      <c r="H4675" s="174" t="s">
        <v>1725</v>
      </c>
      <c r="I4675" s="174" t="str">
        <f t="shared" si="1"/>
        <v>NORDESTE</v>
      </c>
    </row>
    <row r="4676" ht="14.25" customHeight="1">
      <c r="G4676" s="174" t="s">
        <v>6191</v>
      </c>
      <c r="H4676" s="174" t="s">
        <v>1666</v>
      </c>
      <c r="I4676" s="174" t="str">
        <f t="shared" si="1"/>
        <v>SUDESTE</v>
      </c>
    </row>
    <row r="4677" ht="14.25" customHeight="1">
      <c r="G4677" s="174" t="s">
        <v>6192</v>
      </c>
      <c r="H4677" s="174" t="s">
        <v>1725</v>
      </c>
      <c r="I4677" s="174" t="str">
        <f t="shared" si="1"/>
        <v>NORDESTE</v>
      </c>
    </row>
    <row r="4678" ht="14.25" customHeight="1">
      <c r="G4678" s="174" t="s">
        <v>6193</v>
      </c>
      <c r="H4678" s="174" t="s">
        <v>1666</v>
      </c>
      <c r="I4678" s="174" t="str">
        <f t="shared" si="1"/>
        <v>SUDESTE</v>
      </c>
    </row>
    <row r="4679" ht="14.25" customHeight="1">
      <c r="G4679" s="174" t="s">
        <v>6194</v>
      </c>
      <c r="H4679" s="174" t="s">
        <v>1666</v>
      </c>
      <c r="I4679" s="174" t="str">
        <f t="shared" si="1"/>
        <v>SUDESTE</v>
      </c>
    </row>
    <row r="4680" ht="14.25" customHeight="1">
      <c r="G4680" s="174" t="s">
        <v>6195</v>
      </c>
      <c r="H4680" s="174" t="s">
        <v>1666</v>
      </c>
      <c r="I4680" s="174" t="str">
        <f t="shared" si="1"/>
        <v>SUDESTE</v>
      </c>
    </row>
    <row r="4681" ht="14.25" customHeight="1">
      <c r="G4681" s="174" t="s">
        <v>6196</v>
      </c>
      <c r="H4681" s="174" t="s">
        <v>1685</v>
      </c>
      <c r="I4681" s="174" t="str">
        <f t="shared" si="1"/>
        <v>NORDESTE</v>
      </c>
    </row>
    <row r="4682" ht="14.25" customHeight="1">
      <c r="G4682" s="174" t="s">
        <v>6197</v>
      </c>
      <c r="H4682" s="174" t="s">
        <v>1666</v>
      </c>
      <c r="I4682" s="174" t="str">
        <f t="shared" si="1"/>
        <v>SUDESTE</v>
      </c>
    </row>
    <row r="4683" ht="14.25" customHeight="1">
      <c r="G4683" s="174" t="s">
        <v>6198</v>
      </c>
      <c r="H4683" s="174" t="s">
        <v>1742</v>
      </c>
      <c r="I4683" s="174" t="str">
        <f t="shared" si="1"/>
        <v>SUL</v>
      </c>
    </row>
    <row r="4684" ht="14.25" customHeight="1">
      <c r="G4684" s="174" t="s">
        <v>6199</v>
      </c>
      <c r="H4684" s="174" t="s">
        <v>1702</v>
      </c>
      <c r="I4684" s="174" t="str">
        <f t="shared" si="1"/>
        <v>SUL</v>
      </c>
    </row>
    <row r="4685" ht="14.25" customHeight="1">
      <c r="G4685" s="174" t="s">
        <v>6200</v>
      </c>
      <c r="H4685" s="174" t="s">
        <v>1717</v>
      </c>
      <c r="I4685" s="174" t="str">
        <f t="shared" si="1"/>
        <v>NORDESTE</v>
      </c>
    </row>
    <row r="4686" ht="14.25" customHeight="1">
      <c r="G4686" s="174" t="s">
        <v>6200</v>
      </c>
      <c r="H4686" s="174" t="s">
        <v>1702</v>
      </c>
      <c r="I4686" s="174" t="str">
        <f t="shared" si="1"/>
        <v>SUL</v>
      </c>
    </row>
    <row r="4687" ht="14.25" customHeight="1">
      <c r="G4687" s="174" t="s">
        <v>6201</v>
      </c>
      <c r="H4687" s="174" t="s">
        <v>1704</v>
      </c>
      <c r="I4687" s="174" t="str">
        <f t="shared" si="1"/>
        <v>NORDESTE</v>
      </c>
    </row>
    <row r="4688" ht="14.25" customHeight="1">
      <c r="G4688" s="174" t="s">
        <v>6201</v>
      </c>
      <c r="H4688" s="174" t="s">
        <v>1706</v>
      </c>
      <c r="I4688" s="174" t="str">
        <f t="shared" si="1"/>
        <v>SUL</v>
      </c>
    </row>
    <row r="4689" ht="14.25" customHeight="1">
      <c r="G4689" s="174" t="s">
        <v>6202</v>
      </c>
      <c r="H4689" s="174" t="s">
        <v>1666</v>
      </c>
      <c r="I4689" s="174" t="str">
        <f t="shared" si="1"/>
        <v>SUDESTE</v>
      </c>
    </row>
    <row r="4690" ht="14.25" customHeight="1">
      <c r="G4690" s="174" t="s">
        <v>6203</v>
      </c>
      <c r="H4690" s="174" t="s">
        <v>1658</v>
      </c>
      <c r="I4690" s="174" t="str">
        <f t="shared" si="1"/>
        <v>CENTRO OESTE</v>
      </c>
    </row>
    <row r="4691" ht="14.25" customHeight="1">
      <c r="G4691" s="174" t="s">
        <v>6204</v>
      </c>
      <c r="H4691" s="174" t="s">
        <v>1739</v>
      </c>
      <c r="I4691" s="174" t="str">
        <f t="shared" si="1"/>
        <v>NORTE</v>
      </c>
    </row>
    <row r="4692" ht="14.25" customHeight="1">
      <c r="G4692" s="174" t="s">
        <v>6205</v>
      </c>
      <c r="H4692" s="174" t="s">
        <v>1730</v>
      </c>
      <c r="I4692" s="174" t="str">
        <f t="shared" si="1"/>
        <v>SUDESTE</v>
      </c>
    </row>
    <row r="4693" ht="14.25" customHeight="1">
      <c r="G4693" s="174" t="s">
        <v>6206</v>
      </c>
      <c r="H4693" s="174" t="s">
        <v>1750</v>
      </c>
      <c r="I4693" s="174" t="str">
        <f t="shared" si="1"/>
        <v>SUDESTE</v>
      </c>
    </row>
    <row r="4694" ht="14.25" customHeight="1">
      <c r="G4694" s="174" t="s">
        <v>6207</v>
      </c>
      <c r="H4694" s="174" t="s">
        <v>1725</v>
      </c>
      <c r="I4694" s="174" t="str">
        <f t="shared" si="1"/>
        <v>NORDESTE</v>
      </c>
    </row>
    <row r="4695" ht="14.25" customHeight="1">
      <c r="G4695" s="174" t="s">
        <v>6208</v>
      </c>
      <c r="H4695" s="174" t="s">
        <v>1725</v>
      </c>
      <c r="I4695" s="174" t="str">
        <f t="shared" si="1"/>
        <v>NORDESTE</v>
      </c>
    </row>
    <row r="4696" ht="14.25" customHeight="1">
      <c r="G4696" s="174" t="s">
        <v>6209</v>
      </c>
      <c r="H4696" s="174" t="s">
        <v>1666</v>
      </c>
      <c r="I4696" s="174" t="str">
        <f t="shared" si="1"/>
        <v>SUDESTE</v>
      </c>
    </row>
    <row r="4697" ht="14.25" customHeight="1">
      <c r="G4697" s="174" t="s">
        <v>6210</v>
      </c>
      <c r="H4697" s="174" t="s">
        <v>1666</v>
      </c>
      <c r="I4697" s="174" t="str">
        <f t="shared" si="1"/>
        <v>SUDESTE</v>
      </c>
    </row>
    <row r="4698" ht="14.25" customHeight="1">
      <c r="G4698" s="174" t="s">
        <v>6211</v>
      </c>
      <c r="H4698" s="174" t="s">
        <v>1658</v>
      </c>
      <c r="I4698" s="174" t="str">
        <f t="shared" si="1"/>
        <v>CENTRO OESTE</v>
      </c>
    </row>
    <row r="4699" ht="14.25" customHeight="1">
      <c r="G4699" s="174" t="s">
        <v>6212</v>
      </c>
      <c r="H4699" s="174" t="s">
        <v>1687</v>
      </c>
      <c r="I4699" s="174" t="str">
        <f t="shared" si="1"/>
        <v>NORTE</v>
      </c>
    </row>
    <row r="4700" ht="14.25" customHeight="1">
      <c r="G4700" s="174" t="s">
        <v>6213</v>
      </c>
      <c r="H4700" s="174" t="s">
        <v>1666</v>
      </c>
      <c r="I4700" s="174" t="str">
        <f t="shared" si="1"/>
        <v>SUDESTE</v>
      </c>
    </row>
    <row r="4701" ht="14.25" customHeight="1">
      <c r="G4701" s="174" t="s">
        <v>6214</v>
      </c>
      <c r="H4701" s="174" t="s">
        <v>1725</v>
      </c>
      <c r="I4701" s="174" t="str">
        <f t="shared" si="1"/>
        <v>NORDESTE</v>
      </c>
    </row>
    <row r="4702" ht="14.25" customHeight="1">
      <c r="G4702" s="174" t="s">
        <v>6215</v>
      </c>
      <c r="H4702" s="174" t="s">
        <v>1742</v>
      </c>
      <c r="I4702" s="174" t="str">
        <f t="shared" si="1"/>
        <v>SUL</v>
      </c>
    </row>
    <row r="4703" ht="14.25" customHeight="1">
      <c r="G4703" s="174" t="s">
        <v>6216</v>
      </c>
      <c r="H4703" s="174" t="s">
        <v>1725</v>
      </c>
      <c r="I4703" s="174" t="str">
        <f t="shared" si="1"/>
        <v>NORDESTE</v>
      </c>
    </row>
    <row r="4704" ht="14.25" customHeight="1">
      <c r="G4704" s="174" t="s">
        <v>6217</v>
      </c>
      <c r="H4704" s="174" t="s">
        <v>1750</v>
      </c>
      <c r="I4704" s="174" t="str">
        <f t="shared" si="1"/>
        <v>SUDESTE</v>
      </c>
    </row>
    <row r="4705" ht="14.25" customHeight="1">
      <c r="G4705" s="174" t="s">
        <v>6218</v>
      </c>
      <c r="H4705" s="174" t="s">
        <v>1666</v>
      </c>
      <c r="I4705" s="174" t="str">
        <f t="shared" si="1"/>
        <v>SUDESTE</v>
      </c>
    </row>
    <row r="4706" ht="14.25" customHeight="1">
      <c r="G4706" s="174" t="s">
        <v>6219</v>
      </c>
      <c r="H4706" s="174" t="s">
        <v>1750</v>
      </c>
      <c r="I4706" s="174" t="str">
        <f t="shared" si="1"/>
        <v>SUDESTE</v>
      </c>
    </row>
    <row r="4707" ht="14.25" customHeight="1">
      <c r="G4707" s="174" t="s">
        <v>6220</v>
      </c>
      <c r="H4707" s="174" t="s">
        <v>1730</v>
      </c>
      <c r="I4707" s="174" t="str">
        <f t="shared" si="1"/>
        <v>SUDESTE</v>
      </c>
    </row>
    <row r="4708" ht="14.25" customHeight="1">
      <c r="G4708" s="174" t="s">
        <v>6221</v>
      </c>
      <c r="H4708" s="174" t="s">
        <v>1687</v>
      </c>
      <c r="I4708" s="174" t="str">
        <f t="shared" si="1"/>
        <v>NORTE</v>
      </c>
    </row>
    <row r="4709" ht="14.25" customHeight="1">
      <c r="G4709" s="174" t="s">
        <v>6222</v>
      </c>
      <c r="H4709" s="174" t="s">
        <v>1666</v>
      </c>
      <c r="I4709" s="174" t="str">
        <f t="shared" si="1"/>
        <v>SUDESTE</v>
      </c>
    </row>
    <row r="4710" ht="14.25" customHeight="1">
      <c r="G4710" s="174" t="s">
        <v>6223</v>
      </c>
      <c r="H4710" s="174" t="s">
        <v>1687</v>
      </c>
      <c r="I4710" s="174" t="str">
        <f t="shared" si="1"/>
        <v>NORTE</v>
      </c>
    </row>
    <row r="4711" ht="14.25" customHeight="1">
      <c r="G4711" s="174" t="s">
        <v>6224</v>
      </c>
      <c r="H4711" s="174" t="s">
        <v>1725</v>
      </c>
      <c r="I4711" s="174" t="str">
        <f t="shared" si="1"/>
        <v>NORDESTE</v>
      </c>
    </row>
    <row r="4712" ht="14.25" customHeight="1">
      <c r="G4712" s="174" t="s">
        <v>6225</v>
      </c>
      <c r="H4712" s="174" t="s">
        <v>1702</v>
      </c>
      <c r="I4712" s="174" t="str">
        <f t="shared" si="1"/>
        <v>SUL</v>
      </c>
    </row>
    <row r="4713" ht="14.25" customHeight="1">
      <c r="G4713" s="174" t="s">
        <v>6226</v>
      </c>
      <c r="H4713" s="174" t="s">
        <v>1719</v>
      </c>
      <c r="I4713" s="174" t="str">
        <f t="shared" si="1"/>
        <v>NORDESTE</v>
      </c>
    </row>
    <row r="4714" ht="14.25" customHeight="1">
      <c r="G4714" s="174" t="s">
        <v>6227</v>
      </c>
      <c r="H4714" s="174" t="s">
        <v>1704</v>
      </c>
      <c r="I4714" s="174" t="str">
        <f t="shared" si="1"/>
        <v>NORDESTE</v>
      </c>
    </row>
    <row r="4715" ht="14.25" customHeight="1">
      <c r="G4715" s="174" t="s">
        <v>6228</v>
      </c>
      <c r="H4715" s="174" t="s">
        <v>1706</v>
      </c>
      <c r="I4715" s="174" t="str">
        <f t="shared" si="1"/>
        <v>SUL</v>
      </c>
    </row>
    <row r="4716" ht="14.25" customHeight="1">
      <c r="G4716" s="174" t="s">
        <v>6229</v>
      </c>
      <c r="H4716" s="174" t="s">
        <v>1702</v>
      </c>
      <c r="I4716" s="174" t="str">
        <f t="shared" si="1"/>
        <v>SUL</v>
      </c>
    </row>
    <row r="4717" ht="14.25" customHeight="1">
      <c r="G4717" s="174" t="s">
        <v>6230</v>
      </c>
      <c r="H4717" s="174" t="s">
        <v>1690</v>
      </c>
      <c r="I4717" s="174" t="str">
        <f t="shared" si="1"/>
        <v>NORDESTE</v>
      </c>
    </row>
    <row r="4718" ht="14.25" customHeight="1">
      <c r="G4718" s="174" t="s">
        <v>6231</v>
      </c>
      <c r="H4718" s="174" t="s">
        <v>1666</v>
      </c>
      <c r="I4718" s="174" t="str">
        <f t="shared" si="1"/>
        <v>SUDESTE</v>
      </c>
    </row>
    <row r="4719" ht="14.25" customHeight="1">
      <c r="G4719" s="174" t="s">
        <v>6232</v>
      </c>
      <c r="H4719" s="174" t="s">
        <v>1666</v>
      </c>
      <c r="I4719" s="174" t="str">
        <f t="shared" si="1"/>
        <v>SUDESTE</v>
      </c>
    </row>
    <row r="4720" ht="14.25" customHeight="1">
      <c r="G4720" s="174" t="s">
        <v>6233</v>
      </c>
      <c r="H4720" s="174" t="s">
        <v>1706</v>
      </c>
      <c r="I4720" s="174" t="str">
        <f t="shared" si="1"/>
        <v>SUL</v>
      </c>
    </row>
    <row r="4721" ht="14.25" customHeight="1">
      <c r="G4721" s="174" t="s">
        <v>6234</v>
      </c>
      <c r="H4721" s="174" t="s">
        <v>1666</v>
      </c>
      <c r="I4721" s="174" t="str">
        <f t="shared" si="1"/>
        <v>SUDESTE</v>
      </c>
    </row>
    <row r="4722" ht="14.25" customHeight="1">
      <c r="G4722" s="174" t="s">
        <v>6235</v>
      </c>
      <c r="H4722" s="174" t="s">
        <v>1666</v>
      </c>
      <c r="I4722" s="174" t="str">
        <f t="shared" si="1"/>
        <v>SUDESTE</v>
      </c>
    </row>
    <row r="4723" ht="14.25" customHeight="1">
      <c r="G4723" s="174" t="s">
        <v>6236</v>
      </c>
      <c r="H4723" s="174" t="s">
        <v>1704</v>
      </c>
      <c r="I4723" s="174" t="str">
        <f t="shared" si="1"/>
        <v>NORDESTE</v>
      </c>
    </row>
    <row r="4724" ht="14.25" customHeight="1">
      <c r="G4724" s="174" t="s">
        <v>6236</v>
      </c>
      <c r="H4724" s="174" t="s">
        <v>1666</v>
      </c>
      <c r="I4724" s="174" t="str">
        <f t="shared" si="1"/>
        <v>SUDESTE</v>
      </c>
    </row>
    <row r="4725" ht="14.25" customHeight="1">
      <c r="G4725" s="174" t="s">
        <v>6237</v>
      </c>
      <c r="H4725" s="174" t="s">
        <v>1750</v>
      </c>
      <c r="I4725" s="174" t="str">
        <f t="shared" si="1"/>
        <v>SUDESTE</v>
      </c>
    </row>
    <row r="4726" ht="14.25" customHeight="1">
      <c r="G4726" s="174" t="s">
        <v>6238</v>
      </c>
      <c r="H4726" s="174" t="s">
        <v>1725</v>
      </c>
      <c r="I4726" s="174" t="str">
        <f t="shared" si="1"/>
        <v>NORDESTE</v>
      </c>
    </row>
    <row r="4727" ht="14.25" customHeight="1">
      <c r="G4727" s="174" t="s">
        <v>6239</v>
      </c>
      <c r="H4727" s="174" t="s">
        <v>1742</v>
      </c>
      <c r="I4727" s="174" t="str">
        <f t="shared" si="1"/>
        <v>SUL</v>
      </c>
    </row>
    <row r="4728" ht="14.25" customHeight="1">
      <c r="G4728" s="174" t="s">
        <v>6240</v>
      </c>
      <c r="H4728" s="174" t="s">
        <v>1719</v>
      </c>
      <c r="I4728" s="174" t="str">
        <f t="shared" si="1"/>
        <v>NORDESTE</v>
      </c>
    </row>
    <row r="4729" ht="14.25" customHeight="1">
      <c r="G4729" s="174" t="s">
        <v>6241</v>
      </c>
      <c r="H4729" s="174" t="s">
        <v>1733</v>
      </c>
      <c r="I4729" s="174" t="str">
        <f t="shared" si="1"/>
        <v>NORDESTE</v>
      </c>
    </row>
    <row r="4730" ht="14.25" customHeight="1">
      <c r="G4730" s="174" t="s">
        <v>6242</v>
      </c>
      <c r="H4730" s="174" t="s">
        <v>1704</v>
      </c>
      <c r="I4730" s="174" t="str">
        <f t="shared" si="1"/>
        <v>NORDESTE</v>
      </c>
    </row>
    <row r="4731" ht="14.25" customHeight="1">
      <c r="G4731" s="174" t="s">
        <v>6243</v>
      </c>
      <c r="H4731" s="174" t="s">
        <v>1706</v>
      </c>
      <c r="I4731" s="174" t="str">
        <f t="shared" si="1"/>
        <v>SUL</v>
      </c>
    </row>
    <row r="4732" ht="14.25" customHeight="1">
      <c r="G4732" s="174" t="s">
        <v>6244</v>
      </c>
      <c r="H4732" s="174" t="s">
        <v>1719</v>
      </c>
      <c r="I4732" s="174" t="str">
        <f t="shared" si="1"/>
        <v>NORDESTE</v>
      </c>
    </row>
    <row r="4733" ht="14.25" customHeight="1">
      <c r="G4733" s="174" t="s">
        <v>6245</v>
      </c>
      <c r="H4733" s="174" t="s">
        <v>1702</v>
      </c>
      <c r="I4733" s="174" t="str">
        <f t="shared" si="1"/>
        <v>SUL</v>
      </c>
    </row>
    <row r="4734" ht="14.25" customHeight="1">
      <c r="G4734" s="174" t="s">
        <v>6246</v>
      </c>
      <c r="H4734" s="174" t="s">
        <v>1704</v>
      </c>
      <c r="I4734" s="174" t="str">
        <f t="shared" si="1"/>
        <v>NORDESTE</v>
      </c>
    </row>
    <row r="4735" ht="14.25" customHeight="1">
      <c r="G4735" s="174" t="s">
        <v>6247</v>
      </c>
      <c r="H4735" s="174" t="s">
        <v>1666</v>
      </c>
      <c r="I4735" s="174" t="str">
        <f t="shared" si="1"/>
        <v>SUDESTE</v>
      </c>
    </row>
    <row r="4736" ht="14.25" customHeight="1">
      <c r="G4736" s="174" t="s">
        <v>6248</v>
      </c>
      <c r="H4736" s="174" t="s">
        <v>1666</v>
      </c>
      <c r="I4736" s="174" t="str">
        <f t="shared" si="1"/>
        <v>SUDESTE</v>
      </c>
    </row>
    <row r="4737" ht="14.25" customHeight="1">
      <c r="G4737" s="174" t="s">
        <v>6249</v>
      </c>
      <c r="H4737" s="174" t="s">
        <v>1706</v>
      </c>
      <c r="I4737" s="174" t="str">
        <f t="shared" si="1"/>
        <v>SUL</v>
      </c>
    </row>
    <row r="4738" ht="14.25" customHeight="1">
      <c r="G4738" s="174" t="s">
        <v>6250</v>
      </c>
      <c r="H4738" s="174" t="s">
        <v>1750</v>
      </c>
      <c r="I4738" s="174" t="str">
        <f t="shared" si="1"/>
        <v>SUDESTE</v>
      </c>
    </row>
    <row r="4739" ht="14.25" customHeight="1">
      <c r="G4739" s="174" t="s">
        <v>6251</v>
      </c>
      <c r="H4739" s="174" t="s">
        <v>1666</v>
      </c>
      <c r="I4739" s="174" t="str">
        <f t="shared" si="1"/>
        <v>SUDESTE</v>
      </c>
    </row>
    <row r="4740" ht="14.25" customHeight="1">
      <c r="G4740" s="174" t="s">
        <v>6252</v>
      </c>
      <c r="H4740" s="174" t="s">
        <v>1717</v>
      </c>
      <c r="I4740" s="174" t="str">
        <f t="shared" si="1"/>
        <v>NORDESTE</v>
      </c>
    </row>
    <row r="4741" ht="14.25" customHeight="1">
      <c r="G4741" s="174" t="s">
        <v>6253</v>
      </c>
      <c r="H4741" s="174" t="s">
        <v>1742</v>
      </c>
      <c r="I4741" s="174" t="str">
        <f t="shared" si="1"/>
        <v>SUL</v>
      </c>
    </row>
    <row r="4742" ht="14.25" customHeight="1">
      <c r="G4742" s="174" t="s">
        <v>6254</v>
      </c>
      <c r="H4742" s="174" t="s">
        <v>1702</v>
      </c>
      <c r="I4742" s="174" t="str">
        <f t="shared" si="1"/>
        <v>SUL</v>
      </c>
    </row>
    <row r="4743" ht="14.25" customHeight="1">
      <c r="G4743" s="174" t="s">
        <v>6255</v>
      </c>
      <c r="H4743" s="174" t="s">
        <v>1702</v>
      </c>
      <c r="I4743" s="174" t="str">
        <f t="shared" si="1"/>
        <v>SUL</v>
      </c>
    </row>
    <row r="4744" ht="14.25" customHeight="1">
      <c r="G4744" s="174" t="s">
        <v>6256</v>
      </c>
      <c r="H4744" s="174" t="s">
        <v>1702</v>
      </c>
      <c r="I4744" s="174" t="str">
        <f t="shared" si="1"/>
        <v>SUL</v>
      </c>
    </row>
    <row r="4745" ht="14.25" customHeight="1">
      <c r="G4745" s="174" t="s">
        <v>6257</v>
      </c>
      <c r="H4745" s="174" t="s">
        <v>1706</v>
      </c>
      <c r="I4745" s="174" t="str">
        <f t="shared" si="1"/>
        <v>SUL</v>
      </c>
    </row>
    <row r="4746" ht="14.25" customHeight="1">
      <c r="G4746" s="174" t="s">
        <v>6258</v>
      </c>
      <c r="H4746" s="174" t="s">
        <v>1666</v>
      </c>
      <c r="I4746" s="174" t="str">
        <f t="shared" si="1"/>
        <v>SUDESTE</v>
      </c>
    </row>
    <row r="4747" ht="14.25" customHeight="1">
      <c r="G4747" s="174" t="s">
        <v>6259</v>
      </c>
      <c r="H4747" s="174" t="s">
        <v>1750</v>
      </c>
      <c r="I4747" s="174" t="str">
        <f t="shared" si="1"/>
        <v>SUDESTE</v>
      </c>
    </row>
    <row r="4748" ht="14.25" customHeight="1">
      <c r="G4748" s="174" t="s">
        <v>6260</v>
      </c>
      <c r="H4748" s="174" t="s">
        <v>1702</v>
      </c>
      <c r="I4748" s="174" t="str">
        <f t="shared" si="1"/>
        <v>SUL</v>
      </c>
    </row>
    <row r="4749" ht="14.25" customHeight="1">
      <c r="G4749" s="174" t="s">
        <v>6261</v>
      </c>
      <c r="H4749" s="174" t="s">
        <v>1717</v>
      </c>
      <c r="I4749" s="174" t="str">
        <f t="shared" si="1"/>
        <v>NORDESTE</v>
      </c>
    </row>
    <row r="4750" ht="14.25" customHeight="1">
      <c r="G4750" s="174" t="s">
        <v>6262</v>
      </c>
      <c r="H4750" s="174" t="s">
        <v>1719</v>
      </c>
      <c r="I4750" s="174" t="str">
        <f t="shared" si="1"/>
        <v>NORDESTE</v>
      </c>
    </row>
    <row r="4751" ht="14.25" customHeight="1">
      <c r="G4751" s="174" t="s">
        <v>6263</v>
      </c>
      <c r="H4751" s="174" t="s">
        <v>1664</v>
      </c>
      <c r="I4751" s="174" t="str">
        <f t="shared" si="1"/>
        <v>NORDESTE</v>
      </c>
    </row>
    <row r="4752" ht="14.25" customHeight="1">
      <c r="G4752" s="174" t="s">
        <v>6264</v>
      </c>
      <c r="H4752" s="174" t="s">
        <v>1666</v>
      </c>
      <c r="I4752" s="174" t="str">
        <f t="shared" si="1"/>
        <v>SUDESTE</v>
      </c>
    </row>
    <row r="4753" ht="14.25" customHeight="1">
      <c r="G4753" s="174" t="s">
        <v>6265</v>
      </c>
      <c r="H4753" s="174" t="s">
        <v>1666</v>
      </c>
      <c r="I4753" s="174" t="str">
        <f t="shared" si="1"/>
        <v>SUDESTE</v>
      </c>
    </row>
    <row r="4754" ht="14.25" customHeight="1">
      <c r="G4754" s="174" t="s">
        <v>6266</v>
      </c>
      <c r="H4754" s="174" t="s">
        <v>1664</v>
      </c>
      <c r="I4754" s="174" t="str">
        <f t="shared" si="1"/>
        <v>NORDESTE</v>
      </c>
    </row>
    <row r="4755" ht="14.25" customHeight="1">
      <c r="G4755" s="174" t="s">
        <v>6267</v>
      </c>
      <c r="H4755" s="174" t="s">
        <v>1666</v>
      </c>
      <c r="I4755" s="174" t="str">
        <f t="shared" si="1"/>
        <v>SUDESTE</v>
      </c>
    </row>
    <row r="4756" ht="14.25" customHeight="1">
      <c r="G4756" s="174" t="s">
        <v>6268</v>
      </c>
      <c r="H4756" s="174" t="s">
        <v>1685</v>
      </c>
      <c r="I4756" s="174" t="str">
        <f t="shared" si="1"/>
        <v>NORDESTE</v>
      </c>
    </row>
    <row r="4757" ht="14.25" customHeight="1">
      <c r="G4757" s="174" t="s">
        <v>6269</v>
      </c>
      <c r="H4757" s="174" t="s">
        <v>1742</v>
      </c>
      <c r="I4757" s="174" t="str">
        <f t="shared" si="1"/>
        <v>SUL</v>
      </c>
    </row>
    <row r="4758" ht="14.25" customHeight="1">
      <c r="G4758" s="174" t="s">
        <v>6270</v>
      </c>
      <c r="H4758" s="174" t="s">
        <v>1702</v>
      </c>
      <c r="I4758" s="174" t="str">
        <f t="shared" si="1"/>
        <v>SUL</v>
      </c>
    </row>
    <row r="4759" ht="14.25" customHeight="1">
      <c r="G4759" s="174" t="s">
        <v>6271</v>
      </c>
      <c r="H4759" s="174" t="s">
        <v>1719</v>
      </c>
      <c r="I4759" s="174" t="str">
        <f t="shared" si="1"/>
        <v>NORDESTE</v>
      </c>
    </row>
    <row r="4760" ht="14.25" customHeight="1">
      <c r="G4760" s="174" t="s">
        <v>6272</v>
      </c>
      <c r="H4760" s="174" t="s">
        <v>1719</v>
      </c>
      <c r="I4760" s="174" t="str">
        <f t="shared" si="1"/>
        <v>NORDESTE</v>
      </c>
    </row>
    <row r="4761" ht="14.25" customHeight="1">
      <c r="G4761" s="174" t="s">
        <v>6273</v>
      </c>
      <c r="H4761" s="174" t="s">
        <v>1733</v>
      </c>
      <c r="I4761" s="174" t="str">
        <f t="shared" si="1"/>
        <v>NORDESTE</v>
      </c>
    </row>
    <row r="4762" ht="14.25" customHeight="1">
      <c r="G4762" s="174" t="s">
        <v>6274</v>
      </c>
      <c r="H4762" s="174" t="s">
        <v>1719</v>
      </c>
      <c r="I4762" s="174" t="str">
        <f t="shared" si="1"/>
        <v>NORDESTE</v>
      </c>
    </row>
    <row r="4763" ht="14.25" customHeight="1">
      <c r="G4763" s="174" t="s">
        <v>6275</v>
      </c>
      <c r="H4763" s="174" t="s">
        <v>1719</v>
      </c>
      <c r="I4763" s="174" t="str">
        <f t="shared" si="1"/>
        <v>NORDESTE</v>
      </c>
    </row>
    <row r="4764" ht="14.25" customHeight="1">
      <c r="G4764" s="174" t="s">
        <v>6276</v>
      </c>
      <c r="H4764" s="174" t="s">
        <v>1704</v>
      </c>
      <c r="I4764" s="174" t="str">
        <f t="shared" si="1"/>
        <v>NORDESTE</v>
      </c>
    </row>
    <row r="4765" ht="14.25" customHeight="1">
      <c r="G4765" s="174" t="s">
        <v>6277</v>
      </c>
      <c r="H4765" s="174" t="s">
        <v>1730</v>
      </c>
      <c r="I4765" s="174" t="str">
        <f t="shared" si="1"/>
        <v>SUDESTE</v>
      </c>
    </row>
    <row r="4766" ht="14.25" customHeight="1">
      <c r="G4766" s="174" t="s">
        <v>6278</v>
      </c>
      <c r="H4766" s="174" t="s">
        <v>1666</v>
      </c>
      <c r="I4766" s="174" t="str">
        <f t="shared" si="1"/>
        <v>SUDESTE</v>
      </c>
    </row>
    <row r="4767" ht="14.25" customHeight="1">
      <c r="G4767" s="174" t="s">
        <v>6279</v>
      </c>
      <c r="H4767" s="174" t="s">
        <v>1750</v>
      </c>
      <c r="I4767" s="174" t="str">
        <f t="shared" si="1"/>
        <v>SUDESTE</v>
      </c>
    </row>
    <row r="4768" ht="14.25" customHeight="1">
      <c r="G4768" s="174" t="s">
        <v>6280</v>
      </c>
      <c r="H4768" s="174" t="s">
        <v>1717</v>
      </c>
      <c r="I4768" s="174" t="str">
        <f t="shared" si="1"/>
        <v>NORDESTE</v>
      </c>
    </row>
    <row r="4769" ht="14.25" customHeight="1">
      <c r="G4769" s="174" t="s">
        <v>6281</v>
      </c>
      <c r="H4769" s="174" t="s">
        <v>1719</v>
      </c>
      <c r="I4769" s="174" t="str">
        <f t="shared" si="1"/>
        <v>NORDESTE</v>
      </c>
    </row>
    <row r="4770" ht="14.25" customHeight="1">
      <c r="G4770" s="174" t="s">
        <v>6282</v>
      </c>
      <c r="H4770" s="174" t="s">
        <v>1719</v>
      </c>
      <c r="I4770" s="174" t="str">
        <f t="shared" si="1"/>
        <v>NORDESTE</v>
      </c>
    </row>
    <row r="4771" ht="14.25" customHeight="1">
      <c r="G4771" s="174" t="s">
        <v>6283</v>
      </c>
      <c r="H4771" s="174" t="s">
        <v>1698</v>
      </c>
      <c r="I4771" s="174" t="str">
        <f t="shared" si="1"/>
        <v>SUDESTE</v>
      </c>
    </row>
    <row r="4772" ht="14.25" customHeight="1">
      <c r="G4772" s="174" t="s">
        <v>6284</v>
      </c>
      <c r="H4772" s="174" t="s">
        <v>1733</v>
      </c>
      <c r="I4772" s="174" t="str">
        <f t="shared" si="1"/>
        <v>NORDESTE</v>
      </c>
    </row>
    <row r="4773" ht="14.25" customHeight="1">
      <c r="G4773" s="174" t="s">
        <v>6285</v>
      </c>
      <c r="H4773" s="174" t="s">
        <v>1706</v>
      </c>
      <c r="I4773" s="174" t="str">
        <f t="shared" si="1"/>
        <v>SUL</v>
      </c>
    </row>
    <row r="4774" ht="14.25" customHeight="1">
      <c r="G4774" s="174" t="s">
        <v>6286</v>
      </c>
      <c r="H4774" s="174" t="s">
        <v>1706</v>
      </c>
      <c r="I4774" s="174" t="str">
        <f t="shared" si="1"/>
        <v>SUL</v>
      </c>
    </row>
    <row r="4775" ht="14.25" customHeight="1">
      <c r="G4775" s="174" t="s">
        <v>6287</v>
      </c>
      <c r="H4775" s="174" t="s">
        <v>1725</v>
      </c>
      <c r="I4775" s="174" t="str">
        <f t="shared" si="1"/>
        <v>NORDESTE</v>
      </c>
    </row>
    <row r="4776" ht="14.25" customHeight="1">
      <c r="G4776" s="174" t="s">
        <v>6287</v>
      </c>
      <c r="H4776" s="174" t="s">
        <v>1666</v>
      </c>
      <c r="I4776" s="174" t="str">
        <f t="shared" si="1"/>
        <v>SUDESTE</v>
      </c>
    </row>
    <row r="4777" ht="14.25" customHeight="1">
      <c r="G4777" s="174" t="s">
        <v>6288</v>
      </c>
      <c r="H4777" s="174" t="s">
        <v>1717</v>
      </c>
      <c r="I4777" s="174" t="str">
        <f t="shared" si="1"/>
        <v>NORDESTE</v>
      </c>
    </row>
    <row r="4778" ht="14.25" customHeight="1">
      <c r="G4778" s="174" t="s">
        <v>6289</v>
      </c>
      <c r="H4778" s="174" t="s">
        <v>1666</v>
      </c>
      <c r="I4778" s="174" t="str">
        <f t="shared" si="1"/>
        <v>SUDESTE</v>
      </c>
    </row>
    <row r="4779" ht="14.25" customHeight="1">
      <c r="G4779" s="174" t="s">
        <v>6290</v>
      </c>
      <c r="H4779" s="174" t="s">
        <v>1742</v>
      </c>
      <c r="I4779" s="174" t="str">
        <f t="shared" si="1"/>
        <v>SUL</v>
      </c>
    </row>
    <row r="4780" ht="14.25" customHeight="1">
      <c r="G4780" s="174" t="s">
        <v>6291</v>
      </c>
      <c r="H4780" s="174" t="s">
        <v>1742</v>
      </c>
      <c r="I4780" s="174" t="str">
        <f t="shared" si="1"/>
        <v>SUL</v>
      </c>
    </row>
    <row r="4781" ht="14.25" customHeight="1">
      <c r="G4781" s="174" t="s">
        <v>6292</v>
      </c>
      <c r="H4781" s="174" t="s">
        <v>1742</v>
      </c>
      <c r="I4781" s="174" t="str">
        <f t="shared" si="1"/>
        <v>SUL</v>
      </c>
    </row>
    <row r="4782" ht="14.25" customHeight="1">
      <c r="G4782" s="174" t="s">
        <v>6293</v>
      </c>
      <c r="H4782" s="174" t="s">
        <v>1685</v>
      </c>
      <c r="I4782" s="174" t="str">
        <f t="shared" si="1"/>
        <v>NORDESTE</v>
      </c>
    </row>
    <row r="4783" ht="14.25" customHeight="1">
      <c r="G4783" s="174" t="s">
        <v>6294</v>
      </c>
      <c r="H4783" s="174" t="s">
        <v>1666</v>
      </c>
      <c r="I4783" s="174" t="str">
        <f t="shared" si="1"/>
        <v>SUDESTE</v>
      </c>
    </row>
    <row r="4784" ht="14.25" customHeight="1">
      <c r="G4784" s="174" t="s">
        <v>6295</v>
      </c>
      <c r="H4784" s="174" t="s">
        <v>1666</v>
      </c>
      <c r="I4784" s="174" t="str">
        <f t="shared" si="1"/>
        <v>SUDESTE</v>
      </c>
    </row>
    <row r="4785" ht="14.25" customHeight="1">
      <c r="G4785" s="174" t="s">
        <v>6296</v>
      </c>
      <c r="H4785" s="174" t="s">
        <v>1742</v>
      </c>
      <c r="I4785" s="174" t="str">
        <f t="shared" si="1"/>
        <v>SUL</v>
      </c>
    </row>
    <row r="4786" ht="14.25" customHeight="1">
      <c r="G4786" s="174" t="s">
        <v>6297</v>
      </c>
      <c r="H4786" s="174" t="s">
        <v>1742</v>
      </c>
      <c r="I4786" s="174" t="str">
        <f t="shared" si="1"/>
        <v>SUL</v>
      </c>
    </row>
    <row r="4787" ht="14.25" customHeight="1">
      <c r="G4787" s="174" t="s">
        <v>6298</v>
      </c>
      <c r="H4787" s="174" t="s">
        <v>1725</v>
      </c>
      <c r="I4787" s="174" t="str">
        <f t="shared" si="1"/>
        <v>NORDESTE</v>
      </c>
    </row>
    <row r="4788" ht="14.25" customHeight="1">
      <c r="G4788" s="174" t="s">
        <v>6299</v>
      </c>
      <c r="H4788" s="174" t="s">
        <v>1725</v>
      </c>
      <c r="I4788" s="174" t="str">
        <f t="shared" si="1"/>
        <v>NORDESTE</v>
      </c>
    </row>
    <row r="4789" ht="14.25" customHeight="1">
      <c r="G4789" s="174" t="s">
        <v>6300</v>
      </c>
      <c r="H4789" s="174" t="s">
        <v>1713</v>
      </c>
      <c r="I4789" s="174" t="str">
        <f t="shared" si="1"/>
        <v>CENTRO OESTE</v>
      </c>
    </row>
    <row r="4790" ht="14.25" customHeight="1">
      <c r="G4790" s="174" t="s">
        <v>6301</v>
      </c>
      <c r="H4790" s="174" t="s">
        <v>1713</v>
      </c>
      <c r="I4790" s="174" t="str">
        <f t="shared" si="1"/>
        <v>CENTRO OESTE</v>
      </c>
    </row>
    <row r="4791" ht="14.25" customHeight="1">
      <c r="G4791" s="174" t="s">
        <v>6302</v>
      </c>
      <c r="H4791" s="174" t="s">
        <v>1750</v>
      </c>
      <c r="I4791" s="174" t="str">
        <f t="shared" si="1"/>
        <v>SUDESTE</v>
      </c>
    </row>
    <row r="4792" ht="14.25" customHeight="1">
      <c r="G4792" s="174" t="s">
        <v>6303</v>
      </c>
      <c r="H4792" s="174" t="s">
        <v>1750</v>
      </c>
      <c r="I4792" s="174" t="str">
        <f t="shared" si="1"/>
        <v>SUDESTE</v>
      </c>
    </row>
    <row r="4793" ht="14.25" customHeight="1">
      <c r="G4793" s="174" t="s">
        <v>6304</v>
      </c>
      <c r="H4793" s="174" t="s">
        <v>1719</v>
      </c>
      <c r="I4793" s="174" t="str">
        <f t="shared" si="1"/>
        <v>NORDESTE</v>
      </c>
    </row>
    <row r="4794" ht="14.25" customHeight="1">
      <c r="G4794" s="174" t="s">
        <v>6305</v>
      </c>
      <c r="H4794" s="174" t="s">
        <v>1733</v>
      </c>
      <c r="I4794" s="174" t="str">
        <f t="shared" si="1"/>
        <v>NORDESTE</v>
      </c>
    </row>
    <row r="4795" ht="14.25" customHeight="1">
      <c r="G4795" s="174" t="s">
        <v>6306</v>
      </c>
      <c r="H4795" s="174" t="s">
        <v>1742</v>
      </c>
      <c r="I4795" s="174" t="str">
        <f t="shared" si="1"/>
        <v>SUL</v>
      </c>
    </row>
    <row r="4796" ht="14.25" customHeight="1">
      <c r="G4796" s="174" t="s">
        <v>6307</v>
      </c>
      <c r="H4796" s="174" t="s">
        <v>1730</v>
      </c>
      <c r="I4796" s="174" t="str">
        <f t="shared" si="1"/>
        <v>SUDESTE</v>
      </c>
    </row>
    <row r="4797" ht="14.25" customHeight="1">
      <c r="G4797" s="174" t="s">
        <v>6308</v>
      </c>
      <c r="H4797" s="174" t="s">
        <v>1713</v>
      </c>
      <c r="I4797" s="174" t="str">
        <f t="shared" si="1"/>
        <v>CENTRO OESTE</v>
      </c>
    </row>
    <row r="4798" ht="14.25" customHeight="1">
      <c r="G4798" s="174" t="s">
        <v>6309</v>
      </c>
      <c r="H4798" s="174" t="s">
        <v>1742</v>
      </c>
      <c r="I4798" s="174" t="str">
        <f t="shared" si="1"/>
        <v>SUL</v>
      </c>
    </row>
    <row r="4799" ht="14.25" customHeight="1">
      <c r="G4799" s="174" t="s">
        <v>6310</v>
      </c>
      <c r="H4799" s="174" t="s">
        <v>1704</v>
      </c>
      <c r="I4799" s="174" t="str">
        <f t="shared" si="1"/>
        <v>NORDESTE</v>
      </c>
    </row>
    <row r="4800" ht="14.25" customHeight="1">
      <c r="G4800" s="174" t="s">
        <v>6311</v>
      </c>
      <c r="H4800" s="174" t="s">
        <v>1750</v>
      </c>
      <c r="I4800" s="174" t="str">
        <f t="shared" si="1"/>
        <v>SUDESTE</v>
      </c>
    </row>
    <row r="4801" ht="14.25" customHeight="1">
      <c r="G4801" s="174" t="s">
        <v>6312</v>
      </c>
      <c r="H4801" s="174" t="s">
        <v>1719</v>
      </c>
      <c r="I4801" s="174" t="str">
        <f t="shared" si="1"/>
        <v>NORDESTE</v>
      </c>
    </row>
    <row r="4802" ht="14.25" customHeight="1">
      <c r="G4802" s="174" t="s">
        <v>6313</v>
      </c>
      <c r="H4802" s="174" t="s">
        <v>1702</v>
      </c>
      <c r="I4802" s="174" t="str">
        <f t="shared" si="1"/>
        <v>SUL</v>
      </c>
    </row>
    <row r="4803" ht="14.25" customHeight="1">
      <c r="G4803" s="174" t="s">
        <v>6314</v>
      </c>
      <c r="H4803" s="174" t="s">
        <v>1713</v>
      </c>
      <c r="I4803" s="174" t="str">
        <f t="shared" si="1"/>
        <v>CENTRO OESTE</v>
      </c>
    </row>
    <row r="4804" ht="14.25" customHeight="1">
      <c r="G4804" s="174" t="s">
        <v>6315</v>
      </c>
      <c r="H4804" s="174" t="s">
        <v>1719</v>
      </c>
      <c r="I4804" s="174" t="str">
        <f t="shared" si="1"/>
        <v>NORDESTE</v>
      </c>
    </row>
    <row r="4805" ht="14.25" customHeight="1">
      <c r="G4805" s="174" t="s">
        <v>6316</v>
      </c>
      <c r="H4805" s="174" t="s">
        <v>1725</v>
      </c>
      <c r="I4805" s="174" t="str">
        <f t="shared" si="1"/>
        <v>NORDESTE</v>
      </c>
    </row>
    <row r="4806" ht="14.25" customHeight="1">
      <c r="G4806" s="174" t="s">
        <v>6317</v>
      </c>
      <c r="H4806" s="174" t="s">
        <v>1742</v>
      </c>
      <c r="I4806" s="174" t="str">
        <f t="shared" si="1"/>
        <v>SUL</v>
      </c>
    </row>
    <row r="4807" ht="14.25" customHeight="1">
      <c r="G4807" s="174" t="s">
        <v>6318</v>
      </c>
      <c r="H4807" s="174" t="s">
        <v>1666</v>
      </c>
      <c r="I4807" s="174" t="str">
        <f t="shared" si="1"/>
        <v>SUDESTE</v>
      </c>
    </row>
    <row r="4808" ht="14.25" customHeight="1">
      <c r="G4808" s="174" t="s">
        <v>6319</v>
      </c>
      <c r="H4808" s="174" t="s">
        <v>1717</v>
      </c>
      <c r="I4808" s="174" t="str">
        <f t="shared" si="1"/>
        <v>NORDESTE</v>
      </c>
    </row>
    <row r="4809" ht="14.25" customHeight="1">
      <c r="G4809" s="174" t="s">
        <v>6320</v>
      </c>
      <c r="H4809" s="174" t="s">
        <v>1750</v>
      </c>
      <c r="I4809" s="174" t="str">
        <f t="shared" si="1"/>
        <v>SUDESTE</v>
      </c>
    </row>
    <row r="4810" ht="14.25" customHeight="1">
      <c r="G4810" s="174" t="s">
        <v>6321</v>
      </c>
      <c r="H4810" s="174" t="s">
        <v>1706</v>
      </c>
      <c r="I4810" s="174" t="str">
        <f t="shared" si="1"/>
        <v>SUL</v>
      </c>
    </row>
    <row r="4811" ht="14.25" customHeight="1">
      <c r="G4811" s="174" t="s">
        <v>6322</v>
      </c>
      <c r="H4811" s="174" t="s">
        <v>1725</v>
      </c>
      <c r="I4811" s="174" t="str">
        <f t="shared" si="1"/>
        <v>NORDESTE</v>
      </c>
    </row>
    <row r="4812" ht="14.25" customHeight="1">
      <c r="G4812" s="174" t="s">
        <v>6323</v>
      </c>
      <c r="H4812" s="174" t="s">
        <v>1742</v>
      </c>
      <c r="I4812" s="174" t="str">
        <f t="shared" si="1"/>
        <v>SUL</v>
      </c>
    </row>
    <row r="4813" ht="14.25" customHeight="1">
      <c r="G4813" s="174" t="s">
        <v>6324</v>
      </c>
      <c r="H4813" s="174" t="s">
        <v>1706</v>
      </c>
      <c r="I4813" s="174" t="str">
        <f t="shared" si="1"/>
        <v>SUL</v>
      </c>
    </row>
    <row r="4814" ht="14.25" customHeight="1">
      <c r="G4814" s="174" t="s">
        <v>6325</v>
      </c>
      <c r="H4814" s="174" t="s">
        <v>1704</v>
      </c>
      <c r="I4814" s="174" t="str">
        <f t="shared" si="1"/>
        <v>NORDESTE</v>
      </c>
    </row>
    <row r="4815" ht="14.25" customHeight="1">
      <c r="G4815" s="174" t="s">
        <v>6326</v>
      </c>
      <c r="H4815" s="174" t="s">
        <v>1658</v>
      </c>
      <c r="I4815" s="174" t="str">
        <f t="shared" si="1"/>
        <v>CENTRO OESTE</v>
      </c>
    </row>
    <row r="4816" ht="14.25" customHeight="1">
      <c r="G4816" s="174" t="s">
        <v>6327</v>
      </c>
      <c r="H4816" s="174" t="s">
        <v>1690</v>
      </c>
      <c r="I4816" s="174" t="str">
        <f t="shared" si="1"/>
        <v>NORDESTE</v>
      </c>
    </row>
    <row r="4817" ht="14.25" customHeight="1">
      <c r="G4817" s="174" t="s">
        <v>6328</v>
      </c>
      <c r="H4817" s="174" t="s">
        <v>1750</v>
      </c>
      <c r="I4817" s="174" t="str">
        <f t="shared" si="1"/>
        <v>SUDESTE</v>
      </c>
    </row>
    <row r="4818" ht="14.25" customHeight="1">
      <c r="G4818" s="174" t="s">
        <v>6329</v>
      </c>
      <c r="H4818" s="174" t="s">
        <v>1725</v>
      </c>
      <c r="I4818" s="174" t="str">
        <f t="shared" si="1"/>
        <v>NORDESTE</v>
      </c>
    </row>
    <row r="4819" ht="14.25" customHeight="1">
      <c r="G4819" s="174" t="s">
        <v>6330</v>
      </c>
      <c r="H4819" s="174" t="s">
        <v>1664</v>
      </c>
      <c r="I4819" s="174" t="str">
        <f t="shared" si="1"/>
        <v>NORDESTE</v>
      </c>
    </row>
    <row r="4820" ht="14.25" customHeight="1">
      <c r="G4820" s="174" t="s">
        <v>6331</v>
      </c>
      <c r="H4820" s="174" t="s">
        <v>1704</v>
      </c>
      <c r="I4820" s="174" t="str">
        <f t="shared" si="1"/>
        <v>NORDESTE</v>
      </c>
    </row>
    <row r="4821" ht="14.25" customHeight="1">
      <c r="G4821" s="174" t="s">
        <v>6332</v>
      </c>
      <c r="H4821" s="174" t="s">
        <v>1739</v>
      </c>
      <c r="I4821" s="174" t="str">
        <f t="shared" si="1"/>
        <v>NORTE</v>
      </c>
    </row>
    <row r="4822" ht="14.25" customHeight="1">
      <c r="G4822" s="174" t="s">
        <v>6333</v>
      </c>
      <c r="H4822" s="174" t="s">
        <v>1658</v>
      </c>
      <c r="I4822" s="174" t="str">
        <f t="shared" si="1"/>
        <v>CENTRO OESTE</v>
      </c>
    </row>
    <row r="4823" ht="14.25" customHeight="1">
      <c r="G4823" s="174" t="s">
        <v>6334</v>
      </c>
      <c r="H4823" s="174" t="s">
        <v>1742</v>
      </c>
      <c r="I4823" s="174" t="str">
        <f t="shared" si="1"/>
        <v>SUL</v>
      </c>
    </row>
    <row r="4824" ht="14.25" customHeight="1">
      <c r="G4824" s="174" t="s">
        <v>6335</v>
      </c>
      <c r="H4824" s="174" t="s">
        <v>1719</v>
      </c>
      <c r="I4824" s="174" t="str">
        <f t="shared" si="1"/>
        <v>NORDESTE</v>
      </c>
    </row>
    <row r="4825" ht="14.25" customHeight="1">
      <c r="G4825" s="174" t="s">
        <v>6336</v>
      </c>
      <c r="H4825" s="174" t="s">
        <v>1702</v>
      </c>
      <c r="I4825" s="174" t="str">
        <f t="shared" si="1"/>
        <v>SUL</v>
      </c>
    </row>
    <row r="4826" ht="14.25" customHeight="1">
      <c r="G4826" s="174" t="s">
        <v>6337</v>
      </c>
      <c r="H4826" s="174" t="s">
        <v>1750</v>
      </c>
      <c r="I4826" s="174" t="str">
        <f t="shared" si="1"/>
        <v>SUDESTE</v>
      </c>
    </row>
    <row r="4827" ht="14.25" customHeight="1">
      <c r="G4827" s="174" t="s">
        <v>6338</v>
      </c>
      <c r="H4827" s="174" t="s">
        <v>1742</v>
      </c>
      <c r="I4827" s="174" t="str">
        <f t="shared" si="1"/>
        <v>SUL</v>
      </c>
    </row>
    <row r="4828" ht="14.25" customHeight="1">
      <c r="G4828" s="174" t="s">
        <v>6339</v>
      </c>
      <c r="H4828" s="174" t="s">
        <v>1706</v>
      </c>
      <c r="I4828" s="174" t="str">
        <f t="shared" si="1"/>
        <v>SUL</v>
      </c>
    </row>
    <row r="4829" ht="14.25" customHeight="1">
      <c r="G4829" s="174" t="s">
        <v>6339</v>
      </c>
      <c r="H4829" s="174" t="s">
        <v>1742</v>
      </c>
      <c r="I4829" s="174" t="str">
        <f t="shared" si="1"/>
        <v>SUL</v>
      </c>
    </row>
    <row r="4830" ht="14.25" customHeight="1">
      <c r="G4830" s="174" t="s">
        <v>6340</v>
      </c>
      <c r="H4830" s="174" t="s">
        <v>1742</v>
      </c>
      <c r="I4830" s="174" t="str">
        <f t="shared" si="1"/>
        <v>SUL</v>
      </c>
    </row>
    <row r="4831" ht="14.25" customHeight="1">
      <c r="G4831" s="174" t="s">
        <v>6341</v>
      </c>
      <c r="H4831" s="174" t="s">
        <v>1698</v>
      </c>
      <c r="I4831" s="174" t="str">
        <f t="shared" si="1"/>
        <v>SUDESTE</v>
      </c>
    </row>
    <row r="4832" ht="14.25" customHeight="1">
      <c r="G4832" s="174" t="s">
        <v>6342</v>
      </c>
      <c r="H4832" s="174" t="s">
        <v>1704</v>
      </c>
      <c r="I4832" s="174" t="str">
        <f t="shared" si="1"/>
        <v>NORDESTE</v>
      </c>
    </row>
    <row r="4833" ht="14.25" customHeight="1">
      <c r="G4833" s="174" t="s">
        <v>6343</v>
      </c>
      <c r="H4833" s="174" t="s">
        <v>1702</v>
      </c>
      <c r="I4833" s="174" t="str">
        <f t="shared" si="1"/>
        <v>SUL</v>
      </c>
    </row>
    <row r="4834" ht="14.25" customHeight="1">
      <c r="G4834" s="174" t="s">
        <v>6344</v>
      </c>
      <c r="H4834" s="174" t="s">
        <v>1733</v>
      </c>
      <c r="I4834" s="174" t="str">
        <f t="shared" si="1"/>
        <v>NORDESTE</v>
      </c>
    </row>
    <row r="4835" ht="14.25" customHeight="1">
      <c r="G4835" s="174" t="s">
        <v>6345</v>
      </c>
      <c r="H4835" s="174" t="s">
        <v>1750</v>
      </c>
      <c r="I4835" s="174" t="str">
        <f t="shared" si="1"/>
        <v>SUDESTE</v>
      </c>
    </row>
    <row r="4836" ht="14.25" customHeight="1">
      <c r="G4836" s="174" t="s">
        <v>6346</v>
      </c>
      <c r="H4836" s="174" t="s">
        <v>1725</v>
      </c>
      <c r="I4836" s="174" t="str">
        <f t="shared" si="1"/>
        <v>NORDESTE</v>
      </c>
    </row>
    <row r="4837" ht="14.25" customHeight="1">
      <c r="G4837" s="174" t="s">
        <v>6347</v>
      </c>
      <c r="H4837" s="174" t="s">
        <v>1706</v>
      </c>
      <c r="I4837" s="174" t="str">
        <f t="shared" si="1"/>
        <v>SUL</v>
      </c>
    </row>
    <row r="4838" ht="14.25" customHeight="1">
      <c r="G4838" s="174" t="s">
        <v>6348</v>
      </c>
      <c r="H4838" s="174" t="s">
        <v>1685</v>
      </c>
      <c r="I4838" s="174" t="str">
        <f t="shared" si="1"/>
        <v>NORDESTE</v>
      </c>
    </row>
    <row r="4839" ht="14.25" customHeight="1">
      <c r="G4839" s="174" t="s">
        <v>6349</v>
      </c>
      <c r="H4839" s="174" t="s">
        <v>1742</v>
      </c>
      <c r="I4839" s="174" t="str">
        <f t="shared" si="1"/>
        <v>SUL</v>
      </c>
    </row>
    <row r="4840" ht="14.25" customHeight="1">
      <c r="G4840" s="174" t="s">
        <v>6350</v>
      </c>
      <c r="H4840" s="174" t="s">
        <v>1719</v>
      </c>
      <c r="I4840" s="174" t="str">
        <f t="shared" si="1"/>
        <v>NORDESTE</v>
      </c>
    </row>
    <row r="4841" ht="14.25" customHeight="1">
      <c r="G4841" s="174" t="s">
        <v>6351</v>
      </c>
      <c r="H4841" s="174" t="s">
        <v>1747</v>
      </c>
      <c r="I4841" s="174" t="str">
        <f t="shared" si="1"/>
        <v>NORDESTE</v>
      </c>
    </row>
    <row r="4842" ht="14.25" customHeight="1">
      <c r="G4842" s="174" t="s">
        <v>6352</v>
      </c>
      <c r="H4842" s="174" t="s">
        <v>1666</v>
      </c>
      <c r="I4842" s="174" t="str">
        <f t="shared" si="1"/>
        <v>SUDESTE</v>
      </c>
    </row>
    <row r="4843" ht="14.25" customHeight="1">
      <c r="G4843" s="174" t="s">
        <v>6353</v>
      </c>
      <c r="H4843" s="174" t="s">
        <v>1658</v>
      </c>
      <c r="I4843" s="174" t="str">
        <f t="shared" si="1"/>
        <v>CENTRO OESTE</v>
      </c>
    </row>
    <row r="4844" ht="14.25" customHeight="1">
      <c r="G4844" s="174" t="s">
        <v>6354</v>
      </c>
      <c r="H4844" s="174" t="s">
        <v>1725</v>
      </c>
      <c r="I4844" s="174" t="str">
        <f t="shared" si="1"/>
        <v>NORDESTE</v>
      </c>
    </row>
    <row r="4845" ht="14.25" customHeight="1">
      <c r="G4845" s="174" t="s">
        <v>6355</v>
      </c>
      <c r="H4845" s="174" t="s">
        <v>1733</v>
      </c>
      <c r="I4845" s="174" t="str">
        <f t="shared" si="1"/>
        <v>NORDESTE</v>
      </c>
    </row>
    <row r="4846" ht="14.25" customHeight="1">
      <c r="G4846" s="174" t="s">
        <v>6356</v>
      </c>
      <c r="H4846" s="174" t="s">
        <v>1687</v>
      </c>
      <c r="I4846" s="174" t="str">
        <f t="shared" si="1"/>
        <v>NORTE</v>
      </c>
    </row>
    <row r="4847" ht="14.25" customHeight="1">
      <c r="G4847" s="174" t="s">
        <v>6357</v>
      </c>
      <c r="H4847" s="174" t="s">
        <v>1736</v>
      </c>
      <c r="I4847" s="174" t="str">
        <f t="shared" si="1"/>
        <v>NORTE</v>
      </c>
    </row>
    <row r="4848" ht="14.25" customHeight="1">
      <c r="G4848" s="174" t="s">
        <v>6358</v>
      </c>
      <c r="H4848" s="174" t="s">
        <v>1702</v>
      </c>
      <c r="I4848" s="174" t="str">
        <f t="shared" si="1"/>
        <v>SUL</v>
      </c>
    </row>
    <row r="4849" ht="14.25" customHeight="1">
      <c r="G4849" s="174" t="s">
        <v>6359</v>
      </c>
      <c r="H4849" s="174" t="s">
        <v>1706</v>
      </c>
      <c r="I4849" s="174" t="str">
        <f t="shared" si="1"/>
        <v>SUL</v>
      </c>
    </row>
    <row r="4850" ht="14.25" customHeight="1">
      <c r="G4850" s="174" t="s">
        <v>6360</v>
      </c>
      <c r="H4850" s="174" t="s">
        <v>1658</v>
      </c>
      <c r="I4850" s="174" t="str">
        <f t="shared" si="1"/>
        <v>CENTRO OESTE</v>
      </c>
    </row>
    <row r="4851" ht="14.25" customHeight="1">
      <c r="G4851" s="174" t="s">
        <v>6361</v>
      </c>
      <c r="H4851" s="174" t="s">
        <v>1725</v>
      </c>
      <c r="I4851" s="174" t="str">
        <f t="shared" si="1"/>
        <v>NORDESTE</v>
      </c>
    </row>
    <row r="4852" ht="14.25" customHeight="1">
      <c r="G4852" s="174" t="s">
        <v>6362</v>
      </c>
      <c r="H4852" s="174" t="s">
        <v>1721</v>
      </c>
      <c r="I4852" s="174" t="str">
        <f t="shared" si="1"/>
        <v>NORTE</v>
      </c>
    </row>
    <row r="4853" ht="14.25" customHeight="1">
      <c r="G4853" s="174" t="s">
        <v>6363</v>
      </c>
      <c r="H4853" s="174" t="s">
        <v>1664</v>
      </c>
      <c r="I4853" s="174" t="str">
        <f t="shared" si="1"/>
        <v>NORDESTE</v>
      </c>
    </row>
    <row r="4854" ht="14.25" customHeight="1">
      <c r="G4854" s="174" t="s">
        <v>6364</v>
      </c>
      <c r="H4854" s="174" t="s">
        <v>1664</v>
      </c>
      <c r="I4854" s="174" t="str">
        <f t="shared" si="1"/>
        <v>NORDESTE</v>
      </c>
    </row>
    <row r="4855" ht="14.25" customHeight="1">
      <c r="G4855" s="174" t="s">
        <v>6365</v>
      </c>
      <c r="H4855" s="174" t="s">
        <v>1742</v>
      </c>
      <c r="I4855" s="174" t="str">
        <f t="shared" si="1"/>
        <v>SUL</v>
      </c>
    </row>
    <row r="4856" ht="14.25" customHeight="1">
      <c r="G4856" s="174" t="s">
        <v>6366</v>
      </c>
      <c r="H4856" s="174" t="s">
        <v>1658</v>
      </c>
      <c r="I4856" s="174" t="str">
        <f t="shared" si="1"/>
        <v>CENTRO OESTE</v>
      </c>
    </row>
    <row r="4857" ht="14.25" customHeight="1">
      <c r="G4857" s="174" t="s">
        <v>6367</v>
      </c>
      <c r="H4857" s="174" t="s">
        <v>1750</v>
      </c>
      <c r="I4857" s="174" t="str">
        <f t="shared" si="1"/>
        <v>SUDESTE</v>
      </c>
    </row>
    <row r="4858" ht="14.25" customHeight="1">
      <c r="G4858" s="174" t="s">
        <v>6368</v>
      </c>
      <c r="H4858" s="174" t="s">
        <v>1742</v>
      </c>
      <c r="I4858" s="174" t="str">
        <f t="shared" si="1"/>
        <v>SUL</v>
      </c>
    </row>
    <row r="4859" ht="14.25" customHeight="1">
      <c r="G4859" s="174" t="s">
        <v>6369</v>
      </c>
      <c r="H4859" s="174" t="s">
        <v>1672</v>
      </c>
      <c r="I4859" s="174" t="str">
        <f t="shared" si="1"/>
        <v>NORTE</v>
      </c>
    </row>
    <row r="4860" ht="14.25" customHeight="1">
      <c r="G4860" s="174" t="s">
        <v>6370</v>
      </c>
      <c r="H4860" s="174" t="s">
        <v>1733</v>
      </c>
      <c r="I4860" s="174" t="str">
        <f t="shared" si="1"/>
        <v>NORDESTE</v>
      </c>
    </row>
    <row r="4861" ht="14.25" customHeight="1">
      <c r="G4861" s="174" t="s">
        <v>6371</v>
      </c>
      <c r="H4861" s="174" t="s">
        <v>1733</v>
      </c>
      <c r="I4861" s="174" t="str">
        <f t="shared" si="1"/>
        <v>NORDESTE</v>
      </c>
    </row>
    <row r="4862" ht="14.25" customHeight="1">
      <c r="G4862" s="174" t="s">
        <v>6371</v>
      </c>
      <c r="H4862" s="174" t="s">
        <v>1750</v>
      </c>
      <c r="I4862" s="174" t="str">
        <f t="shared" si="1"/>
        <v>SUDESTE</v>
      </c>
    </row>
    <row r="4863" ht="14.25" customHeight="1">
      <c r="G4863" s="174" t="s">
        <v>6372</v>
      </c>
      <c r="H4863" s="174" t="s">
        <v>1704</v>
      </c>
      <c r="I4863" s="174" t="str">
        <f t="shared" si="1"/>
        <v>NORDESTE</v>
      </c>
    </row>
    <row r="4864" ht="14.25" customHeight="1">
      <c r="G4864" s="174" t="s">
        <v>6373</v>
      </c>
      <c r="H4864" s="174" t="s">
        <v>1730</v>
      </c>
      <c r="I4864" s="174" t="str">
        <f t="shared" si="1"/>
        <v>SUDESTE</v>
      </c>
    </row>
    <row r="4865" ht="14.25" customHeight="1">
      <c r="G4865" s="174" t="s">
        <v>6374</v>
      </c>
      <c r="H4865" s="174" t="s">
        <v>1713</v>
      </c>
      <c r="I4865" s="174" t="str">
        <f t="shared" si="1"/>
        <v>CENTRO OESTE</v>
      </c>
    </row>
    <row r="4866" ht="14.25" customHeight="1">
      <c r="G4866" s="174" t="s">
        <v>6375</v>
      </c>
      <c r="H4866" s="174" t="s">
        <v>1742</v>
      </c>
      <c r="I4866" s="174" t="str">
        <f t="shared" si="1"/>
        <v>SUL</v>
      </c>
    </row>
    <row r="4867" ht="14.25" customHeight="1">
      <c r="G4867" s="174" t="s">
        <v>6376</v>
      </c>
      <c r="H4867" s="174" t="s">
        <v>1666</v>
      </c>
      <c r="I4867" s="174" t="str">
        <f t="shared" si="1"/>
        <v>SUDESTE</v>
      </c>
    </row>
    <row r="4868" ht="14.25" customHeight="1">
      <c r="G4868" s="174" t="s">
        <v>6377</v>
      </c>
      <c r="H4868" s="174" t="s">
        <v>1742</v>
      </c>
      <c r="I4868" s="174" t="str">
        <f t="shared" si="1"/>
        <v>SUL</v>
      </c>
    </row>
    <row r="4869" ht="14.25" customHeight="1">
      <c r="G4869" s="174" t="s">
        <v>6378</v>
      </c>
      <c r="H4869" s="174" t="s">
        <v>1706</v>
      </c>
      <c r="I4869" s="174" t="str">
        <f t="shared" si="1"/>
        <v>SUL</v>
      </c>
    </row>
    <row r="4870" ht="14.25" customHeight="1">
      <c r="G4870" s="174" t="s">
        <v>6379</v>
      </c>
      <c r="H4870" s="174" t="s">
        <v>1742</v>
      </c>
      <c r="I4870" s="174" t="str">
        <f t="shared" si="1"/>
        <v>SUL</v>
      </c>
    </row>
    <row r="4871" ht="14.25" customHeight="1">
      <c r="G4871" s="174" t="s">
        <v>6380</v>
      </c>
      <c r="H4871" s="174" t="s">
        <v>1702</v>
      </c>
      <c r="I4871" s="174" t="str">
        <f t="shared" si="1"/>
        <v>SUL</v>
      </c>
    </row>
    <row r="4872" ht="14.25" customHeight="1">
      <c r="G4872" s="174" t="s">
        <v>6381</v>
      </c>
      <c r="H4872" s="174" t="s">
        <v>1702</v>
      </c>
      <c r="I4872" s="174" t="str">
        <f t="shared" si="1"/>
        <v>SUL</v>
      </c>
    </row>
    <row r="4873" ht="14.25" customHeight="1">
      <c r="G4873" s="174" t="s">
        <v>6382</v>
      </c>
      <c r="H4873" s="174" t="s">
        <v>1702</v>
      </c>
      <c r="I4873" s="174" t="str">
        <f t="shared" si="1"/>
        <v>SUL</v>
      </c>
    </row>
    <row r="4874" ht="14.25" customHeight="1">
      <c r="G4874" s="174" t="s">
        <v>6383</v>
      </c>
      <c r="H4874" s="174" t="s">
        <v>1725</v>
      </c>
      <c r="I4874" s="174" t="str">
        <f t="shared" si="1"/>
        <v>NORDESTE</v>
      </c>
    </row>
    <row r="4875" ht="14.25" customHeight="1">
      <c r="G4875" s="174" t="s">
        <v>6384</v>
      </c>
      <c r="H4875" s="174" t="s">
        <v>1666</v>
      </c>
      <c r="I4875" s="174" t="str">
        <f t="shared" si="1"/>
        <v>SUDESTE</v>
      </c>
    </row>
    <row r="4876" ht="14.25" customHeight="1">
      <c r="G4876" s="174" t="s">
        <v>6385</v>
      </c>
      <c r="H4876" s="174" t="s">
        <v>1742</v>
      </c>
      <c r="I4876" s="174" t="str">
        <f t="shared" si="1"/>
        <v>SUL</v>
      </c>
    </row>
    <row r="4877" ht="14.25" customHeight="1">
      <c r="G4877" s="174" t="s">
        <v>6386</v>
      </c>
      <c r="H4877" s="174" t="s">
        <v>1750</v>
      </c>
      <c r="I4877" s="174" t="str">
        <f t="shared" si="1"/>
        <v>SUDESTE</v>
      </c>
    </row>
    <row r="4878" ht="14.25" customHeight="1">
      <c r="G4878" s="174" t="s">
        <v>6387</v>
      </c>
      <c r="H4878" s="174" t="s">
        <v>1704</v>
      </c>
      <c r="I4878" s="174" t="str">
        <f t="shared" si="1"/>
        <v>NORDESTE</v>
      </c>
    </row>
    <row r="4879" ht="14.25" customHeight="1">
      <c r="G4879" s="174" t="s">
        <v>6388</v>
      </c>
      <c r="H4879" s="174" t="s">
        <v>1666</v>
      </c>
      <c r="I4879" s="174" t="str">
        <f t="shared" si="1"/>
        <v>SUDESTE</v>
      </c>
    </row>
    <row r="4880" ht="14.25" customHeight="1">
      <c r="G4880" s="174" t="s">
        <v>6389</v>
      </c>
      <c r="H4880" s="174" t="s">
        <v>1733</v>
      </c>
      <c r="I4880" s="174" t="str">
        <f t="shared" si="1"/>
        <v>NORDESTE</v>
      </c>
    </row>
    <row r="4881" ht="14.25" customHeight="1">
      <c r="G4881" s="174" t="s">
        <v>6390</v>
      </c>
      <c r="H4881" s="174" t="s">
        <v>1704</v>
      </c>
      <c r="I4881" s="174" t="str">
        <f t="shared" si="1"/>
        <v>NORDESTE</v>
      </c>
    </row>
    <row r="4882" ht="14.25" customHeight="1">
      <c r="G4882" s="174" t="s">
        <v>6391</v>
      </c>
      <c r="H4882" s="174" t="s">
        <v>1704</v>
      </c>
      <c r="I4882" s="174" t="str">
        <f t="shared" si="1"/>
        <v>NORDESTE</v>
      </c>
    </row>
    <row r="4883" ht="14.25" customHeight="1">
      <c r="G4883" s="174" t="s">
        <v>6392</v>
      </c>
      <c r="H4883" s="174" t="s">
        <v>1725</v>
      </c>
      <c r="I4883" s="174" t="str">
        <f t="shared" si="1"/>
        <v>NORDESTE</v>
      </c>
    </row>
    <row r="4884" ht="14.25" customHeight="1">
      <c r="G4884" s="174" t="s">
        <v>6393</v>
      </c>
      <c r="H4884" s="174" t="s">
        <v>1704</v>
      </c>
      <c r="I4884" s="174" t="str">
        <f t="shared" si="1"/>
        <v>NORDESTE</v>
      </c>
    </row>
    <row r="4885" ht="14.25" customHeight="1">
      <c r="G4885" s="174" t="s">
        <v>6394</v>
      </c>
      <c r="H4885" s="174" t="s">
        <v>1666</v>
      </c>
      <c r="I4885" s="174" t="str">
        <f t="shared" si="1"/>
        <v>SUDESTE</v>
      </c>
    </row>
    <row r="4886" ht="14.25" customHeight="1">
      <c r="G4886" s="174" t="s">
        <v>6395</v>
      </c>
      <c r="H4886" s="174" t="s">
        <v>1750</v>
      </c>
      <c r="I4886" s="174" t="str">
        <f t="shared" si="1"/>
        <v>SUDESTE</v>
      </c>
    </row>
    <row r="4887" ht="14.25" customHeight="1">
      <c r="G4887" s="174" t="s">
        <v>6396</v>
      </c>
      <c r="H4887" s="174" t="s">
        <v>1666</v>
      </c>
      <c r="I4887" s="174" t="str">
        <f t="shared" si="1"/>
        <v>SUDESTE</v>
      </c>
    </row>
    <row r="4888" ht="14.25" customHeight="1">
      <c r="G4888" s="174" t="s">
        <v>6397</v>
      </c>
      <c r="H4888" s="174" t="s">
        <v>1698</v>
      </c>
      <c r="I4888" s="174" t="str">
        <f t="shared" si="1"/>
        <v>SUDESTE</v>
      </c>
    </row>
    <row r="4889" ht="14.25" customHeight="1">
      <c r="G4889" s="174" t="s">
        <v>6398</v>
      </c>
      <c r="H4889" s="174" t="s">
        <v>1721</v>
      </c>
      <c r="I4889" s="174" t="str">
        <f t="shared" si="1"/>
        <v>NORTE</v>
      </c>
    </row>
    <row r="4890" ht="14.25" customHeight="1">
      <c r="G4890" s="174" t="s">
        <v>6399</v>
      </c>
      <c r="H4890" s="174" t="s">
        <v>1664</v>
      </c>
      <c r="I4890" s="174" t="str">
        <f t="shared" si="1"/>
        <v>NORDESTE</v>
      </c>
    </row>
    <row r="4891" ht="14.25" customHeight="1">
      <c r="G4891" s="174" t="s">
        <v>6399</v>
      </c>
      <c r="H4891" s="174" t="s">
        <v>1750</v>
      </c>
      <c r="I4891" s="174" t="str">
        <f t="shared" si="1"/>
        <v>SUDESTE</v>
      </c>
    </row>
    <row r="4892" ht="14.25" customHeight="1">
      <c r="G4892" s="174" t="s">
        <v>6400</v>
      </c>
      <c r="H4892" s="174" t="s">
        <v>1702</v>
      </c>
      <c r="I4892" s="174" t="str">
        <f t="shared" si="1"/>
        <v>SUL</v>
      </c>
    </row>
    <row r="4893" ht="14.25" customHeight="1">
      <c r="G4893" s="174" t="s">
        <v>6401</v>
      </c>
      <c r="H4893" s="174" t="s">
        <v>1666</v>
      </c>
      <c r="I4893" s="174" t="str">
        <f t="shared" si="1"/>
        <v>SUDESTE</v>
      </c>
    </row>
    <row r="4894" ht="14.25" customHeight="1">
      <c r="G4894" s="174" t="s">
        <v>6402</v>
      </c>
      <c r="H4894" s="174" t="s">
        <v>1687</v>
      </c>
      <c r="I4894" s="174" t="str">
        <f t="shared" si="1"/>
        <v>NORTE</v>
      </c>
    </row>
    <row r="4895" ht="14.25" customHeight="1">
      <c r="G4895" s="174" t="s">
        <v>6403</v>
      </c>
      <c r="H4895" s="174" t="s">
        <v>1750</v>
      </c>
      <c r="I4895" s="174" t="str">
        <f t="shared" si="1"/>
        <v>SUDESTE</v>
      </c>
    </row>
    <row r="4896" ht="14.25" customHeight="1">
      <c r="G4896" s="174" t="s">
        <v>6404</v>
      </c>
      <c r="H4896" s="174" t="s">
        <v>1666</v>
      </c>
      <c r="I4896" s="174" t="str">
        <f t="shared" si="1"/>
        <v>SUDESTE</v>
      </c>
    </row>
    <row r="4897" ht="14.25" customHeight="1">
      <c r="G4897" s="174" t="s">
        <v>6405</v>
      </c>
      <c r="H4897" s="174" t="s">
        <v>1719</v>
      </c>
      <c r="I4897" s="174" t="str">
        <f t="shared" si="1"/>
        <v>NORDESTE</v>
      </c>
    </row>
    <row r="4898" ht="14.25" customHeight="1">
      <c r="G4898" s="174" t="s">
        <v>6406</v>
      </c>
      <c r="H4898" s="174" t="s">
        <v>1730</v>
      </c>
      <c r="I4898" s="174" t="str">
        <f t="shared" si="1"/>
        <v>SUDESTE</v>
      </c>
    </row>
    <row r="4899" ht="14.25" customHeight="1">
      <c r="G4899" s="174" t="s">
        <v>6407</v>
      </c>
      <c r="H4899" s="174" t="s">
        <v>1666</v>
      </c>
      <c r="I4899" s="174" t="str">
        <f t="shared" si="1"/>
        <v>SUDESTE</v>
      </c>
    </row>
    <row r="4900" ht="14.25" customHeight="1">
      <c r="G4900" s="174" t="s">
        <v>6408</v>
      </c>
      <c r="H4900" s="174" t="s">
        <v>1742</v>
      </c>
      <c r="I4900" s="174" t="str">
        <f t="shared" si="1"/>
        <v>SUL</v>
      </c>
    </row>
    <row r="4901" ht="14.25" customHeight="1">
      <c r="G4901" s="174" t="s">
        <v>6409</v>
      </c>
      <c r="H4901" s="174" t="s">
        <v>1666</v>
      </c>
      <c r="I4901" s="174" t="str">
        <f t="shared" si="1"/>
        <v>SUDESTE</v>
      </c>
    </row>
    <row r="4902" ht="14.25" customHeight="1">
      <c r="G4902" s="174" t="s">
        <v>6410</v>
      </c>
      <c r="H4902" s="174" t="s">
        <v>1666</v>
      </c>
      <c r="I4902" s="174" t="str">
        <f t="shared" si="1"/>
        <v>SUDESTE</v>
      </c>
    </row>
    <row r="4903" ht="14.25" customHeight="1">
      <c r="G4903" s="174" t="s">
        <v>6411</v>
      </c>
      <c r="H4903" s="174" t="s">
        <v>1666</v>
      </c>
      <c r="I4903" s="174" t="str">
        <f t="shared" si="1"/>
        <v>SUDESTE</v>
      </c>
    </row>
    <row r="4904" ht="14.25" customHeight="1">
      <c r="G4904" s="174" t="s">
        <v>6412</v>
      </c>
      <c r="H4904" s="174" t="s">
        <v>1685</v>
      </c>
      <c r="I4904" s="174" t="str">
        <f t="shared" si="1"/>
        <v>NORDESTE</v>
      </c>
    </row>
    <row r="4905" ht="14.25" customHeight="1">
      <c r="G4905" s="174" t="s">
        <v>6413</v>
      </c>
      <c r="H4905" s="174" t="s">
        <v>1666</v>
      </c>
      <c r="I4905" s="174" t="str">
        <f t="shared" si="1"/>
        <v>SUDESTE</v>
      </c>
    </row>
    <row r="4906" ht="14.25" customHeight="1">
      <c r="G4906" s="174" t="s">
        <v>6414</v>
      </c>
      <c r="H4906" s="174" t="s">
        <v>1666</v>
      </c>
      <c r="I4906" s="174" t="str">
        <f t="shared" si="1"/>
        <v>SUDESTE</v>
      </c>
    </row>
    <row r="4907" ht="14.25" customHeight="1">
      <c r="G4907" s="174" t="s">
        <v>6415</v>
      </c>
      <c r="H4907" s="174" t="s">
        <v>1721</v>
      </c>
      <c r="I4907" s="174" t="str">
        <f t="shared" si="1"/>
        <v>NORTE</v>
      </c>
    </row>
    <row r="4908" ht="14.25" customHeight="1">
      <c r="G4908" s="174" t="s">
        <v>6416</v>
      </c>
      <c r="H4908" s="174" t="s">
        <v>1672</v>
      </c>
      <c r="I4908" s="174" t="str">
        <f t="shared" si="1"/>
        <v>NORTE</v>
      </c>
    </row>
    <row r="4909" ht="14.25" customHeight="1">
      <c r="G4909" s="174" t="s">
        <v>6417</v>
      </c>
      <c r="H4909" s="174" t="s">
        <v>1719</v>
      </c>
      <c r="I4909" s="174" t="str">
        <f t="shared" si="1"/>
        <v>NORDESTE</v>
      </c>
    </row>
    <row r="4910" ht="14.25" customHeight="1">
      <c r="G4910" s="174" t="s">
        <v>6418</v>
      </c>
      <c r="H4910" s="174" t="s">
        <v>1742</v>
      </c>
      <c r="I4910" s="174" t="str">
        <f t="shared" si="1"/>
        <v>SUL</v>
      </c>
    </row>
    <row r="4911" ht="14.25" customHeight="1">
      <c r="G4911" s="174" t="s">
        <v>6419</v>
      </c>
      <c r="H4911" s="174" t="s">
        <v>1750</v>
      </c>
      <c r="I4911" s="174" t="str">
        <f t="shared" si="1"/>
        <v>SUDESTE</v>
      </c>
    </row>
    <row r="4912" ht="14.25" customHeight="1">
      <c r="G4912" s="174" t="s">
        <v>6419</v>
      </c>
      <c r="H4912" s="174" t="s">
        <v>1658</v>
      </c>
      <c r="I4912" s="174" t="str">
        <f t="shared" si="1"/>
        <v>CENTRO OESTE</v>
      </c>
    </row>
    <row r="4913" ht="14.25" customHeight="1">
      <c r="G4913" s="174" t="s">
        <v>6420</v>
      </c>
      <c r="H4913" s="174" t="s">
        <v>1666</v>
      </c>
      <c r="I4913" s="174" t="str">
        <f t="shared" si="1"/>
        <v>SUDESTE</v>
      </c>
    </row>
    <row r="4914" ht="14.25" customHeight="1">
      <c r="G4914" s="174" t="s">
        <v>6421</v>
      </c>
      <c r="H4914" s="174" t="s">
        <v>1666</v>
      </c>
      <c r="I4914" s="174" t="str">
        <f t="shared" si="1"/>
        <v>SUDESTE</v>
      </c>
    </row>
    <row r="4915" ht="14.25" customHeight="1">
      <c r="G4915" s="174" t="s">
        <v>6422</v>
      </c>
      <c r="H4915" s="174" t="s">
        <v>1666</v>
      </c>
      <c r="I4915" s="174" t="str">
        <f t="shared" si="1"/>
        <v>SUDESTE</v>
      </c>
    </row>
    <row r="4916" ht="14.25" customHeight="1">
      <c r="G4916" s="174" t="s">
        <v>6423</v>
      </c>
      <c r="H4916" s="174" t="s">
        <v>1733</v>
      </c>
      <c r="I4916" s="174" t="str">
        <f t="shared" si="1"/>
        <v>NORDESTE</v>
      </c>
    </row>
    <row r="4917" ht="14.25" customHeight="1">
      <c r="G4917" s="174" t="s">
        <v>6423</v>
      </c>
      <c r="H4917" s="174" t="s">
        <v>1702</v>
      </c>
      <c r="I4917" s="174" t="str">
        <f t="shared" si="1"/>
        <v>SUL</v>
      </c>
    </row>
    <row r="4918" ht="14.25" customHeight="1">
      <c r="G4918" s="174" t="s">
        <v>6424</v>
      </c>
      <c r="H4918" s="174" t="s">
        <v>1742</v>
      </c>
      <c r="I4918" s="174" t="str">
        <f t="shared" si="1"/>
        <v>SUL</v>
      </c>
    </row>
    <row r="4919" ht="14.25" customHeight="1">
      <c r="G4919" s="174" t="s">
        <v>6425</v>
      </c>
      <c r="H4919" s="174" t="s">
        <v>1742</v>
      </c>
      <c r="I4919" s="174" t="str">
        <f t="shared" si="1"/>
        <v>SUL</v>
      </c>
    </row>
    <row r="4920" ht="14.25" customHeight="1">
      <c r="G4920" s="174" t="s">
        <v>6426</v>
      </c>
      <c r="H4920" s="174" t="s">
        <v>1721</v>
      </c>
      <c r="I4920" s="174" t="str">
        <f t="shared" si="1"/>
        <v>NORTE</v>
      </c>
    </row>
    <row r="4921" ht="14.25" customHeight="1">
      <c r="G4921" s="174" t="s">
        <v>6427</v>
      </c>
      <c r="H4921" s="174" t="s">
        <v>1742</v>
      </c>
      <c r="I4921" s="174" t="str">
        <f t="shared" si="1"/>
        <v>SUL</v>
      </c>
    </row>
    <row r="4922" ht="14.25" customHeight="1">
      <c r="G4922" s="174" t="s">
        <v>6428</v>
      </c>
      <c r="H4922" s="174" t="s">
        <v>1742</v>
      </c>
      <c r="I4922" s="174" t="str">
        <f t="shared" si="1"/>
        <v>SUL</v>
      </c>
    </row>
    <row r="4923" ht="14.25" customHeight="1">
      <c r="G4923" s="174" t="s">
        <v>6429</v>
      </c>
      <c r="H4923" s="174" t="s">
        <v>1733</v>
      </c>
      <c r="I4923" s="174" t="str">
        <f t="shared" si="1"/>
        <v>NORDESTE</v>
      </c>
    </row>
    <row r="4924" ht="14.25" customHeight="1">
      <c r="G4924" s="174" t="s">
        <v>6429</v>
      </c>
      <c r="H4924" s="174" t="s">
        <v>1750</v>
      </c>
      <c r="I4924" s="174" t="str">
        <f t="shared" si="1"/>
        <v>SUDESTE</v>
      </c>
    </row>
    <row r="4925" ht="14.25" customHeight="1">
      <c r="G4925" s="174" t="s">
        <v>6430</v>
      </c>
      <c r="H4925" s="174" t="s">
        <v>1666</v>
      </c>
      <c r="I4925" s="174" t="str">
        <f t="shared" si="1"/>
        <v>SUDESTE</v>
      </c>
    </row>
    <row r="4926" ht="14.25" customHeight="1">
      <c r="G4926" s="174" t="s">
        <v>6431</v>
      </c>
      <c r="H4926" s="174" t="s">
        <v>1742</v>
      </c>
      <c r="I4926" s="174" t="str">
        <f t="shared" si="1"/>
        <v>SUL</v>
      </c>
    </row>
    <row r="4927" ht="14.25" customHeight="1">
      <c r="G4927" s="174" t="s">
        <v>6432</v>
      </c>
      <c r="H4927" s="174" t="s">
        <v>1704</v>
      </c>
      <c r="I4927" s="174" t="str">
        <f t="shared" si="1"/>
        <v>NORDESTE</v>
      </c>
    </row>
    <row r="4928" ht="14.25" customHeight="1">
      <c r="G4928" s="174" t="s">
        <v>6432</v>
      </c>
      <c r="H4928" s="174" t="s">
        <v>1717</v>
      </c>
      <c r="I4928" s="174" t="str">
        <f t="shared" si="1"/>
        <v>NORDESTE</v>
      </c>
    </row>
    <row r="4929" ht="14.25" customHeight="1">
      <c r="G4929" s="174" t="s">
        <v>6433</v>
      </c>
      <c r="H4929" s="174" t="s">
        <v>1719</v>
      </c>
      <c r="I4929" s="174" t="str">
        <f t="shared" si="1"/>
        <v>NORDESTE</v>
      </c>
    </row>
    <row r="4930" ht="14.25" customHeight="1">
      <c r="G4930" s="174" t="s">
        <v>6434</v>
      </c>
      <c r="H4930" s="174" t="s">
        <v>1685</v>
      </c>
      <c r="I4930" s="174" t="str">
        <f t="shared" si="1"/>
        <v>NORDESTE</v>
      </c>
    </row>
    <row r="4931" ht="14.25" customHeight="1">
      <c r="G4931" s="174" t="s">
        <v>6435</v>
      </c>
      <c r="H4931" s="174" t="s">
        <v>1713</v>
      </c>
      <c r="I4931" s="174" t="str">
        <f t="shared" si="1"/>
        <v>CENTRO OESTE</v>
      </c>
    </row>
    <row r="4932" ht="14.25" customHeight="1">
      <c r="G4932" s="174" t="s">
        <v>6436</v>
      </c>
      <c r="H4932" s="174" t="s">
        <v>1742</v>
      </c>
      <c r="I4932" s="174" t="str">
        <f t="shared" si="1"/>
        <v>SUL</v>
      </c>
    </row>
    <row r="4933" ht="14.25" customHeight="1">
      <c r="G4933" s="174" t="s">
        <v>6437</v>
      </c>
      <c r="H4933" s="174" t="s">
        <v>1702</v>
      </c>
      <c r="I4933" s="174" t="str">
        <f t="shared" si="1"/>
        <v>SUL</v>
      </c>
    </row>
    <row r="4934" ht="14.25" customHeight="1">
      <c r="G4934" s="174" t="s">
        <v>6438</v>
      </c>
      <c r="H4934" s="174" t="s">
        <v>1687</v>
      </c>
      <c r="I4934" s="174" t="str">
        <f t="shared" si="1"/>
        <v>NORTE</v>
      </c>
    </row>
    <row r="4935" ht="14.25" customHeight="1">
      <c r="G4935" s="174" t="s">
        <v>6438</v>
      </c>
      <c r="H4935" s="174" t="s">
        <v>1730</v>
      </c>
      <c r="I4935" s="174" t="str">
        <f t="shared" si="1"/>
        <v>SUDESTE</v>
      </c>
    </row>
    <row r="4936" ht="14.25" customHeight="1">
      <c r="G4936" s="174" t="s">
        <v>6439</v>
      </c>
      <c r="H4936" s="174" t="s">
        <v>1742</v>
      </c>
      <c r="I4936" s="174" t="str">
        <f t="shared" si="1"/>
        <v>SUL</v>
      </c>
    </row>
    <row r="4937" ht="14.25" customHeight="1">
      <c r="G4937" s="174" t="s">
        <v>6440</v>
      </c>
      <c r="H4937" s="174" t="s">
        <v>1666</v>
      </c>
      <c r="I4937" s="174" t="str">
        <f t="shared" si="1"/>
        <v>SUDESTE</v>
      </c>
    </row>
    <row r="4938" ht="14.25" customHeight="1">
      <c r="G4938" s="174" t="s">
        <v>6441</v>
      </c>
      <c r="H4938" s="174" t="s">
        <v>1730</v>
      </c>
      <c r="I4938" s="174" t="str">
        <f t="shared" si="1"/>
        <v>SUDESTE</v>
      </c>
    </row>
    <row r="4939" ht="14.25" customHeight="1">
      <c r="G4939" s="174" t="s">
        <v>6442</v>
      </c>
      <c r="H4939" s="174" t="s">
        <v>1702</v>
      </c>
      <c r="I4939" s="174" t="str">
        <f t="shared" si="1"/>
        <v>SUL</v>
      </c>
    </row>
    <row r="4940" ht="14.25" customHeight="1">
      <c r="G4940" s="174" t="s">
        <v>6442</v>
      </c>
      <c r="H4940" s="174" t="s">
        <v>1742</v>
      </c>
      <c r="I4940" s="174" t="str">
        <f t="shared" si="1"/>
        <v>SUL</v>
      </c>
    </row>
    <row r="4941" ht="14.25" customHeight="1">
      <c r="G4941" s="174" t="s">
        <v>6443</v>
      </c>
      <c r="H4941" s="174" t="s">
        <v>1750</v>
      </c>
      <c r="I4941" s="174" t="str">
        <f t="shared" si="1"/>
        <v>SUDESTE</v>
      </c>
    </row>
    <row r="4942" ht="14.25" customHeight="1">
      <c r="G4942" s="174" t="s">
        <v>6444</v>
      </c>
      <c r="H4942" s="174" t="s">
        <v>1666</v>
      </c>
      <c r="I4942" s="174" t="str">
        <f t="shared" si="1"/>
        <v>SUDESTE</v>
      </c>
    </row>
    <row r="4943" ht="14.25" customHeight="1">
      <c r="G4943" s="174" t="s">
        <v>6445</v>
      </c>
      <c r="H4943" s="174" t="s">
        <v>1750</v>
      </c>
      <c r="I4943" s="174" t="str">
        <f t="shared" si="1"/>
        <v>SUDESTE</v>
      </c>
    </row>
    <row r="4944" ht="14.25" customHeight="1">
      <c r="G4944" s="174" t="s">
        <v>6446</v>
      </c>
      <c r="H4944" s="174" t="s">
        <v>1666</v>
      </c>
      <c r="I4944" s="174" t="str">
        <f t="shared" si="1"/>
        <v>SUDESTE</v>
      </c>
    </row>
    <row r="4945" ht="14.25" customHeight="1">
      <c r="G4945" s="174" t="s">
        <v>6447</v>
      </c>
      <c r="H4945" s="174" t="s">
        <v>1685</v>
      </c>
      <c r="I4945" s="174" t="str">
        <f t="shared" si="1"/>
        <v>NORDESTE</v>
      </c>
    </row>
    <row r="4946" ht="14.25" customHeight="1">
      <c r="G4946" s="174" t="s">
        <v>6448</v>
      </c>
      <c r="H4946" s="174" t="s">
        <v>1664</v>
      </c>
      <c r="I4946" s="174" t="str">
        <f t="shared" si="1"/>
        <v>NORDESTE</v>
      </c>
    </row>
    <row r="4947" ht="14.25" customHeight="1">
      <c r="G4947" s="174" t="s">
        <v>6449</v>
      </c>
      <c r="H4947" s="174" t="s">
        <v>1704</v>
      </c>
      <c r="I4947" s="174" t="str">
        <f t="shared" si="1"/>
        <v>NORDESTE</v>
      </c>
    </row>
    <row r="4948" ht="14.25" customHeight="1">
      <c r="G4948" s="174" t="s">
        <v>6450</v>
      </c>
      <c r="H4948" s="174" t="s">
        <v>1685</v>
      </c>
      <c r="I4948" s="174" t="str">
        <f t="shared" si="1"/>
        <v>NORDESTE</v>
      </c>
    </row>
    <row r="4949" ht="14.25" customHeight="1">
      <c r="G4949" s="174" t="s">
        <v>6451</v>
      </c>
      <c r="H4949" s="174" t="s">
        <v>1702</v>
      </c>
      <c r="I4949" s="174" t="str">
        <f t="shared" si="1"/>
        <v>SUL</v>
      </c>
    </row>
    <row r="4950" ht="14.25" customHeight="1">
      <c r="G4950" s="174" t="s">
        <v>6452</v>
      </c>
      <c r="H4950" s="174" t="s">
        <v>1706</v>
      </c>
      <c r="I4950" s="174" t="str">
        <f t="shared" si="1"/>
        <v>SUL</v>
      </c>
    </row>
    <row r="4951" ht="14.25" customHeight="1">
      <c r="G4951" s="174" t="s">
        <v>6453</v>
      </c>
      <c r="H4951" s="174" t="s">
        <v>1685</v>
      </c>
      <c r="I4951" s="174" t="str">
        <f t="shared" si="1"/>
        <v>NORDESTE</v>
      </c>
    </row>
    <row r="4952" ht="14.25" customHeight="1">
      <c r="G4952" s="174" t="s">
        <v>6454</v>
      </c>
      <c r="H4952" s="174" t="s">
        <v>1706</v>
      </c>
      <c r="I4952" s="174" t="str">
        <f t="shared" si="1"/>
        <v>SUL</v>
      </c>
    </row>
    <row r="4953" ht="14.25" customHeight="1">
      <c r="G4953" s="174" t="s">
        <v>6455</v>
      </c>
      <c r="H4953" s="174" t="s">
        <v>1685</v>
      </c>
      <c r="I4953" s="174" t="str">
        <f t="shared" si="1"/>
        <v>NORDESTE</v>
      </c>
    </row>
    <row r="4954" ht="14.25" customHeight="1">
      <c r="G4954" s="174" t="s">
        <v>6456</v>
      </c>
      <c r="H4954" s="174" t="s">
        <v>1706</v>
      </c>
      <c r="I4954" s="174" t="str">
        <f t="shared" si="1"/>
        <v>SUL</v>
      </c>
    </row>
    <row r="4955" ht="14.25" customHeight="1">
      <c r="G4955" s="174" t="s">
        <v>6457</v>
      </c>
      <c r="H4955" s="174" t="s">
        <v>1750</v>
      </c>
      <c r="I4955" s="174" t="str">
        <f t="shared" si="1"/>
        <v>SUDESTE</v>
      </c>
    </row>
    <row r="4956" ht="14.25" customHeight="1">
      <c r="G4956" s="174" t="s">
        <v>6458</v>
      </c>
      <c r="H4956" s="174" t="s">
        <v>1725</v>
      </c>
      <c r="I4956" s="174" t="str">
        <f t="shared" si="1"/>
        <v>NORDESTE</v>
      </c>
    </row>
    <row r="4957" ht="14.25" customHeight="1">
      <c r="G4957" s="174" t="s">
        <v>6459</v>
      </c>
      <c r="H4957" s="174" t="s">
        <v>1685</v>
      </c>
      <c r="I4957" s="174" t="str">
        <f t="shared" si="1"/>
        <v>NORDESTE</v>
      </c>
    </row>
    <row r="4958" ht="14.25" customHeight="1">
      <c r="G4958" s="174" t="s">
        <v>6460</v>
      </c>
      <c r="H4958" s="174" t="s">
        <v>1725</v>
      </c>
      <c r="I4958" s="174" t="str">
        <f t="shared" si="1"/>
        <v>NORDESTE</v>
      </c>
    </row>
    <row r="4959" ht="14.25" customHeight="1">
      <c r="G4959" s="174" t="s">
        <v>6461</v>
      </c>
      <c r="H4959" s="174" t="s">
        <v>1742</v>
      </c>
      <c r="I4959" s="174" t="str">
        <f t="shared" si="1"/>
        <v>SUL</v>
      </c>
    </row>
    <row r="4960" ht="14.25" customHeight="1">
      <c r="G4960" s="174" t="s">
        <v>6462</v>
      </c>
      <c r="H4960" s="174" t="s">
        <v>1742</v>
      </c>
      <c r="I4960" s="174" t="str">
        <f t="shared" si="1"/>
        <v>SUL</v>
      </c>
    </row>
    <row r="4961" ht="14.25" customHeight="1">
      <c r="G4961" s="174" t="s">
        <v>6463</v>
      </c>
      <c r="H4961" s="174" t="s">
        <v>1742</v>
      </c>
      <c r="I4961" s="174" t="str">
        <f t="shared" si="1"/>
        <v>SUL</v>
      </c>
    </row>
    <row r="4962" ht="14.25" customHeight="1">
      <c r="G4962" s="174" t="s">
        <v>6464</v>
      </c>
      <c r="H4962" s="174" t="s">
        <v>1742</v>
      </c>
      <c r="I4962" s="174" t="str">
        <f t="shared" si="1"/>
        <v>SUL</v>
      </c>
    </row>
    <row r="4963" ht="14.25" customHeight="1">
      <c r="G4963" s="174" t="s">
        <v>6465</v>
      </c>
      <c r="H4963" s="174" t="s">
        <v>1710</v>
      </c>
      <c r="I4963" s="174" t="str">
        <f t="shared" si="1"/>
        <v>CENTRO OESTE</v>
      </c>
    </row>
    <row r="4964" ht="14.25" customHeight="1">
      <c r="G4964" s="174" t="s">
        <v>6466</v>
      </c>
      <c r="H4964" s="174" t="s">
        <v>1666</v>
      </c>
      <c r="I4964" s="174" t="str">
        <f t="shared" si="1"/>
        <v>SUDESTE</v>
      </c>
    </row>
    <row r="4965" ht="14.25" customHeight="1">
      <c r="G4965" s="174" t="s">
        <v>6467</v>
      </c>
      <c r="H4965" s="174" t="s">
        <v>1656</v>
      </c>
      <c r="I4965" s="174" t="str">
        <f t="shared" si="1"/>
        <v>NORTE</v>
      </c>
    </row>
    <row r="4966" ht="14.25" customHeight="1">
      <c r="G4966" s="174" t="s">
        <v>6468</v>
      </c>
      <c r="H4966" s="174" t="s">
        <v>1704</v>
      </c>
      <c r="I4966" s="174" t="str">
        <f t="shared" si="1"/>
        <v>NORDESTE</v>
      </c>
    </row>
    <row r="4967" ht="14.25" customHeight="1">
      <c r="G4967" s="174" t="s">
        <v>6469</v>
      </c>
      <c r="H4967" s="174" t="s">
        <v>1666</v>
      </c>
      <c r="I4967" s="174" t="str">
        <f t="shared" si="1"/>
        <v>SUDESTE</v>
      </c>
    </row>
    <row r="4968" ht="14.25" customHeight="1">
      <c r="G4968" s="174" t="s">
        <v>6470</v>
      </c>
      <c r="H4968" s="174" t="s">
        <v>1658</v>
      </c>
      <c r="I4968" s="174" t="str">
        <f t="shared" si="1"/>
        <v>CENTRO OESTE</v>
      </c>
    </row>
    <row r="4969" ht="14.25" customHeight="1">
      <c r="G4969" s="174" t="s">
        <v>6471</v>
      </c>
      <c r="H4969" s="174" t="s">
        <v>1666</v>
      </c>
      <c r="I4969" s="174" t="str">
        <f t="shared" si="1"/>
        <v>SUDESTE</v>
      </c>
    </row>
    <row r="4970" ht="14.25" customHeight="1">
      <c r="G4970" s="174" t="s">
        <v>6472</v>
      </c>
      <c r="H4970" s="174" t="s">
        <v>1733</v>
      </c>
      <c r="I4970" s="174" t="str">
        <f t="shared" si="1"/>
        <v>NORDESTE</v>
      </c>
    </row>
    <row r="4971" ht="14.25" customHeight="1">
      <c r="G4971" s="174" t="s">
        <v>6473</v>
      </c>
      <c r="H4971" s="174" t="s">
        <v>1666</v>
      </c>
      <c r="I4971" s="174" t="str">
        <f t="shared" si="1"/>
        <v>SUDESTE</v>
      </c>
    </row>
    <row r="4972" ht="14.25" customHeight="1">
      <c r="G4972" s="174" t="s">
        <v>6474</v>
      </c>
      <c r="H4972" s="174" t="s">
        <v>1733</v>
      </c>
      <c r="I4972" s="174" t="str">
        <f t="shared" si="1"/>
        <v>NORDESTE</v>
      </c>
    </row>
    <row r="4973" ht="14.25" customHeight="1">
      <c r="G4973" s="174" t="s">
        <v>6475</v>
      </c>
      <c r="H4973" s="174" t="s">
        <v>1656</v>
      </c>
      <c r="I4973" s="174" t="str">
        <f t="shared" si="1"/>
        <v>NORTE</v>
      </c>
    </row>
    <row r="4974" ht="14.25" customHeight="1">
      <c r="G4974" s="174" t="s">
        <v>6476</v>
      </c>
      <c r="H4974" s="174" t="s">
        <v>1666</v>
      </c>
      <c r="I4974" s="174" t="str">
        <f t="shared" si="1"/>
        <v>SUDESTE</v>
      </c>
    </row>
    <row r="4975" ht="14.25" customHeight="1">
      <c r="G4975" s="174" t="s">
        <v>6477</v>
      </c>
      <c r="H4975" s="174" t="s">
        <v>1687</v>
      </c>
      <c r="I4975" s="174" t="str">
        <f t="shared" si="1"/>
        <v>NORTE</v>
      </c>
    </row>
    <row r="4976" ht="14.25" customHeight="1">
      <c r="G4976" s="174" t="s">
        <v>6478</v>
      </c>
      <c r="H4976" s="174" t="s">
        <v>1704</v>
      </c>
      <c r="I4976" s="174" t="str">
        <f t="shared" si="1"/>
        <v>NORDESTE</v>
      </c>
    </row>
    <row r="4977" ht="14.25" customHeight="1">
      <c r="G4977" s="174" t="s">
        <v>6479</v>
      </c>
      <c r="H4977" s="174" t="s">
        <v>1666</v>
      </c>
      <c r="I4977" s="174" t="str">
        <f t="shared" si="1"/>
        <v>SUDESTE</v>
      </c>
    </row>
    <row r="4978" ht="14.25" customHeight="1">
      <c r="G4978" s="174" t="s">
        <v>6480</v>
      </c>
      <c r="H4978" s="174" t="s">
        <v>1690</v>
      </c>
      <c r="I4978" s="174" t="str">
        <f t="shared" si="1"/>
        <v>NORDESTE</v>
      </c>
    </row>
    <row r="4979" ht="14.25" customHeight="1">
      <c r="G4979" s="174" t="s">
        <v>6481</v>
      </c>
      <c r="H4979" s="174" t="s">
        <v>1664</v>
      </c>
      <c r="I4979" s="174" t="str">
        <f t="shared" si="1"/>
        <v>NORDESTE</v>
      </c>
    </row>
    <row r="4980" ht="14.25" customHeight="1">
      <c r="G4980" s="174" t="s">
        <v>6482</v>
      </c>
      <c r="H4980" s="174" t="s">
        <v>1690</v>
      </c>
      <c r="I4980" s="174" t="str">
        <f t="shared" si="1"/>
        <v>NORDESTE</v>
      </c>
    </row>
    <row r="4981" ht="14.25" customHeight="1">
      <c r="G4981" s="174" t="s">
        <v>6483</v>
      </c>
      <c r="H4981" s="174" t="s">
        <v>1742</v>
      </c>
      <c r="I4981" s="174" t="str">
        <f t="shared" si="1"/>
        <v>SUL</v>
      </c>
    </row>
    <row r="4982" ht="14.25" customHeight="1">
      <c r="G4982" s="174" t="s">
        <v>6484</v>
      </c>
      <c r="H4982" s="174" t="s">
        <v>1702</v>
      </c>
      <c r="I4982" s="174" t="str">
        <f t="shared" si="1"/>
        <v>SUL</v>
      </c>
    </row>
    <row r="4983" ht="14.25" customHeight="1">
      <c r="G4983" s="174" t="s">
        <v>6485</v>
      </c>
      <c r="H4983" s="174" t="s">
        <v>1685</v>
      </c>
      <c r="I4983" s="174" t="str">
        <f t="shared" si="1"/>
        <v>NORDESTE</v>
      </c>
    </row>
    <row r="4984" ht="14.25" customHeight="1">
      <c r="G4984" s="174" t="s">
        <v>6486</v>
      </c>
      <c r="H4984" s="174" t="s">
        <v>1666</v>
      </c>
      <c r="I4984" s="174" t="str">
        <f t="shared" si="1"/>
        <v>SUDESTE</v>
      </c>
    </row>
    <row r="4985" ht="14.25" customHeight="1">
      <c r="G4985" s="174" t="s">
        <v>6487</v>
      </c>
      <c r="H4985" s="174" t="s">
        <v>1666</v>
      </c>
      <c r="I4985" s="174" t="str">
        <f t="shared" si="1"/>
        <v>SUDESTE</v>
      </c>
    </row>
    <row r="4986" ht="14.25" customHeight="1">
      <c r="G4986" s="174" t="s">
        <v>6488</v>
      </c>
      <c r="H4986" s="174" t="s">
        <v>1666</v>
      </c>
      <c r="I4986" s="174" t="str">
        <f t="shared" si="1"/>
        <v>SUDESTE</v>
      </c>
    </row>
    <row r="4987" ht="14.25" customHeight="1">
      <c r="G4987" s="174" t="s">
        <v>6489</v>
      </c>
      <c r="H4987" s="174" t="s">
        <v>1742</v>
      </c>
      <c r="I4987" s="174" t="str">
        <f t="shared" si="1"/>
        <v>SUL</v>
      </c>
    </row>
    <row r="4988" ht="14.25" customHeight="1">
      <c r="G4988" s="174" t="s">
        <v>6490</v>
      </c>
      <c r="H4988" s="174" t="s">
        <v>1685</v>
      </c>
      <c r="I4988" s="174" t="str">
        <f t="shared" si="1"/>
        <v>NORDESTE</v>
      </c>
    </row>
    <row r="4989" ht="14.25" customHeight="1">
      <c r="G4989" s="174" t="s">
        <v>6491</v>
      </c>
      <c r="H4989" s="174" t="s">
        <v>1742</v>
      </c>
      <c r="I4989" s="174" t="str">
        <f t="shared" si="1"/>
        <v>SUL</v>
      </c>
    </row>
    <row r="4990" ht="14.25" customHeight="1">
      <c r="G4990" s="174" t="s">
        <v>6492</v>
      </c>
      <c r="H4990" s="174" t="s">
        <v>1666</v>
      </c>
      <c r="I4990" s="174" t="str">
        <f t="shared" si="1"/>
        <v>SUDESTE</v>
      </c>
    </row>
    <row r="4991" ht="14.25" customHeight="1">
      <c r="G4991" s="174" t="s">
        <v>6493</v>
      </c>
      <c r="H4991" s="174" t="s">
        <v>1719</v>
      </c>
      <c r="I4991" s="174" t="str">
        <f t="shared" si="1"/>
        <v>NORDESTE</v>
      </c>
    </row>
    <row r="4992" ht="14.25" customHeight="1">
      <c r="G4992" s="174" t="s">
        <v>6494</v>
      </c>
      <c r="H4992" s="174" t="s">
        <v>1736</v>
      </c>
      <c r="I4992" s="174" t="str">
        <f t="shared" si="1"/>
        <v>NORTE</v>
      </c>
    </row>
    <row r="4993" ht="14.25" customHeight="1">
      <c r="G4993" s="174" t="s">
        <v>6495</v>
      </c>
      <c r="H4993" s="174" t="s">
        <v>1742</v>
      </c>
      <c r="I4993" s="174" t="str">
        <f t="shared" si="1"/>
        <v>SUL</v>
      </c>
    </row>
    <row r="4994" ht="14.25" customHeight="1">
      <c r="G4994" s="174" t="s">
        <v>6496</v>
      </c>
      <c r="H4994" s="174" t="s">
        <v>1666</v>
      </c>
      <c r="I4994" s="174" t="str">
        <f t="shared" si="1"/>
        <v>SUDESTE</v>
      </c>
    </row>
    <row r="4995" ht="14.25" customHeight="1">
      <c r="G4995" s="174" t="s">
        <v>6497</v>
      </c>
      <c r="H4995" s="174" t="s">
        <v>1730</v>
      </c>
      <c r="I4995" s="174" t="str">
        <f t="shared" si="1"/>
        <v>SUDESTE</v>
      </c>
    </row>
    <row r="4996" ht="14.25" customHeight="1">
      <c r="G4996" s="174" t="s">
        <v>6498</v>
      </c>
      <c r="H4996" s="174" t="s">
        <v>1698</v>
      </c>
      <c r="I4996" s="174" t="str">
        <f t="shared" si="1"/>
        <v>SUDESTE</v>
      </c>
    </row>
    <row r="4997" ht="14.25" customHeight="1">
      <c r="G4997" s="174" t="s">
        <v>6499</v>
      </c>
      <c r="H4997" s="174" t="s">
        <v>1706</v>
      </c>
      <c r="I4997" s="174" t="str">
        <f t="shared" si="1"/>
        <v>SUL</v>
      </c>
    </row>
    <row r="4998" ht="14.25" customHeight="1">
      <c r="G4998" s="174" t="s">
        <v>6500</v>
      </c>
      <c r="H4998" s="174" t="s">
        <v>1750</v>
      </c>
      <c r="I4998" s="174" t="str">
        <f t="shared" si="1"/>
        <v>SUDESTE</v>
      </c>
    </row>
    <row r="4999" ht="14.25" customHeight="1">
      <c r="G4999" s="174" t="s">
        <v>6501</v>
      </c>
      <c r="H4999" s="174" t="s">
        <v>1666</v>
      </c>
      <c r="I4999" s="174" t="str">
        <f t="shared" si="1"/>
        <v>SUDESTE</v>
      </c>
    </row>
    <row r="5000" ht="14.25" customHeight="1">
      <c r="G5000" s="174" t="s">
        <v>6502</v>
      </c>
      <c r="H5000" s="174" t="s">
        <v>1719</v>
      </c>
      <c r="I5000" s="174" t="str">
        <f t="shared" si="1"/>
        <v>NORDESTE</v>
      </c>
    </row>
    <row r="5001" ht="14.25" customHeight="1">
      <c r="G5001" s="174" t="s">
        <v>6503</v>
      </c>
      <c r="H5001" s="174" t="s">
        <v>1719</v>
      </c>
      <c r="I5001" s="174" t="str">
        <f t="shared" si="1"/>
        <v>NORDESTE</v>
      </c>
    </row>
    <row r="5002" ht="14.25" customHeight="1">
      <c r="G5002" s="174" t="s">
        <v>6504</v>
      </c>
      <c r="H5002" s="174" t="s">
        <v>1666</v>
      </c>
      <c r="I5002" s="174" t="str">
        <f t="shared" si="1"/>
        <v>SUDESTE</v>
      </c>
    </row>
    <row r="5003" ht="14.25" customHeight="1">
      <c r="G5003" s="174" t="s">
        <v>6505</v>
      </c>
      <c r="H5003" s="174" t="s">
        <v>1733</v>
      </c>
      <c r="I5003" s="174" t="str">
        <f t="shared" si="1"/>
        <v>NORDESTE</v>
      </c>
    </row>
    <row r="5004" ht="14.25" customHeight="1">
      <c r="G5004" s="174" t="s">
        <v>6506</v>
      </c>
      <c r="H5004" s="174" t="s">
        <v>1733</v>
      </c>
      <c r="I5004" s="174" t="str">
        <f t="shared" si="1"/>
        <v>NORDESTE</v>
      </c>
    </row>
    <row r="5005" ht="14.25" customHeight="1">
      <c r="G5005" s="174" t="s">
        <v>6507</v>
      </c>
      <c r="H5005" s="174" t="s">
        <v>1679</v>
      </c>
      <c r="I5005" s="174" t="str">
        <f t="shared" si="1"/>
        <v>NORTE</v>
      </c>
    </row>
    <row r="5006" ht="14.25" customHeight="1">
      <c r="G5006" s="174" t="s">
        <v>6508</v>
      </c>
      <c r="H5006" s="174" t="s">
        <v>1685</v>
      </c>
      <c r="I5006" s="174" t="str">
        <f t="shared" si="1"/>
        <v>NORDESTE</v>
      </c>
    </row>
    <row r="5007" ht="14.25" customHeight="1">
      <c r="G5007" s="174" t="s">
        <v>6509</v>
      </c>
      <c r="H5007" s="174" t="s">
        <v>1666</v>
      </c>
      <c r="I5007" s="174" t="str">
        <f t="shared" si="1"/>
        <v>SUDESTE</v>
      </c>
    </row>
    <row r="5008" ht="14.25" customHeight="1">
      <c r="G5008" s="174" t="s">
        <v>6510</v>
      </c>
      <c r="H5008" s="174" t="s">
        <v>1666</v>
      </c>
      <c r="I5008" s="174" t="str">
        <f t="shared" si="1"/>
        <v>SUDESTE</v>
      </c>
    </row>
    <row r="5009" ht="14.25" customHeight="1">
      <c r="G5009" s="174" t="s">
        <v>6511</v>
      </c>
      <c r="H5009" s="174" t="s">
        <v>1685</v>
      </c>
      <c r="I5009" s="174" t="str">
        <f t="shared" si="1"/>
        <v>NORDESTE</v>
      </c>
    </row>
    <row r="5010" ht="14.25" customHeight="1">
      <c r="G5010" s="174" t="s">
        <v>6512</v>
      </c>
      <c r="H5010" s="174" t="s">
        <v>1719</v>
      </c>
      <c r="I5010" s="174" t="str">
        <f t="shared" si="1"/>
        <v>NORDESTE</v>
      </c>
    </row>
    <row r="5011" ht="14.25" customHeight="1">
      <c r="G5011" s="174" t="s">
        <v>6513</v>
      </c>
      <c r="H5011" s="174" t="s">
        <v>1750</v>
      </c>
      <c r="I5011" s="174" t="str">
        <f t="shared" si="1"/>
        <v>SUDESTE</v>
      </c>
    </row>
    <row r="5012" ht="14.25" customHeight="1">
      <c r="G5012" s="174" t="s">
        <v>6514</v>
      </c>
      <c r="H5012" s="174" t="s">
        <v>1733</v>
      </c>
      <c r="I5012" s="174" t="str">
        <f t="shared" si="1"/>
        <v>NORDESTE</v>
      </c>
    </row>
    <row r="5013" ht="14.25" customHeight="1">
      <c r="G5013" s="174" t="s">
        <v>6515</v>
      </c>
      <c r="H5013" s="174" t="s">
        <v>1713</v>
      </c>
      <c r="I5013" s="174" t="str">
        <f t="shared" si="1"/>
        <v>CENTRO OESTE</v>
      </c>
    </row>
    <row r="5014" ht="14.25" customHeight="1">
      <c r="G5014" s="174" t="s">
        <v>6516</v>
      </c>
      <c r="H5014" s="174" t="s">
        <v>1685</v>
      </c>
      <c r="I5014" s="174" t="str">
        <f t="shared" si="1"/>
        <v>NORDESTE</v>
      </c>
    </row>
    <row r="5015" ht="14.25" customHeight="1">
      <c r="G5015" s="174" t="s">
        <v>6517</v>
      </c>
      <c r="H5015" s="174" t="s">
        <v>1719</v>
      </c>
      <c r="I5015" s="174" t="str">
        <f t="shared" si="1"/>
        <v>NORDESTE</v>
      </c>
    </row>
    <row r="5016" ht="14.25" customHeight="1">
      <c r="G5016" s="174" t="s">
        <v>6518</v>
      </c>
      <c r="H5016" s="174" t="s">
        <v>1717</v>
      </c>
      <c r="I5016" s="174" t="str">
        <f t="shared" si="1"/>
        <v>NORDESTE</v>
      </c>
    </row>
    <row r="5017" ht="14.25" customHeight="1">
      <c r="G5017" s="174" t="s">
        <v>6519</v>
      </c>
      <c r="H5017" s="174" t="s">
        <v>1750</v>
      </c>
      <c r="I5017" s="174" t="str">
        <f t="shared" si="1"/>
        <v>SUDESTE</v>
      </c>
    </row>
    <row r="5018" ht="14.25" customHeight="1">
      <c r="G5018" s="174" t="s">
        <v>6520</v>
      </c>
      <c r="H5018" s="174" t="s">
        <v>1666</v>
      </c>
      <c r="I5018" s="174" t="str">
        <f t="shared" si="1"/>
        <v>SUDESTE</v>
      </c>
    </row>
    <row r="5019" ht="14.25" customHeight="1">
      <c r="G5019" s="174" t="s">
        <v>6521</v>
      </c>
      <c r="H5019" s="174" t="s">
        <v>1704</v>
      </c>
      <c r="I5019" s="174" t="str">
        <f t="shared" si="1"/>
        <v>NORDESTE</v>
      </c>
    </row>
    <row r="5020" ht="14.25" customHeight="1">
      <c r="G5020" s="174" t="s">
        <v>6522</v>
      </c>
      <c r="H5020" s="174" t="s">
        <v>1658</v>
      </c>
      <c r="I5020" s="174" t="str">
        <f t="shared" si="1"/>
        <v>CENTRO OESTE</v>
      </c>
    </row>
    <row r="5021" ht="14.25" customHeight="1">
      <c r="G5021" s="174" t="s">
        <v>6523</v>
      </c>
      <c r="H5021" s="174" t="s">
        <v>1666</v>
      </c>
      <c r="I5021" s="174" t="str">
        <f t="shared" si="1"/>
        <v>SUDESTE</v>
      </c>
    </row>
    <row r="5022" ht="14.25" customHeight="1">
      <c r="G5022" s="174" t="s">
        <v>6524</v>
      </c>
      <c r="H5022" s="174" t="s">
        <v>1702</v>
      </c>
      <c r="I5022" s="174" t="str">
        <f t="shared" si="1"/>
        <v>SUL</v>
      </c>
    </row>
    <row r="5023" ht="14.25" customHeight="1">
      <c r="G5023" s="174" t="s">
        <v>6525</v>
      </c>
      <c r="H5023" s="174" t="s">
        <v>1666</v>
      </c>
      <c r="I5023" s="174" t="str">
        <f t="shared" si="1"/>
        <v>SUDESTE</v>
      </c>
    </row>
    <row r="5024" ht="14.25" customHeight="1">
      <c r="G5024" s="174" t="s">
        <v>6526</v>
      </c>
      <c r="H5024" s="174" t="s">
        <v>1719</v>
      </c>
      <c r="I5024" s="174" t="str">
        <f t="shared" si="1"/>
        <v>NORDESTE</v>
      </c>
    </row>
    <row r="5025" ht="14.25" customHeight="1">
      <c r="G5025" s="174" t="s">
        <v>6527</v>
      </c>
      <c r="H5025" s="174" t="s">
        <v>1733</v>
      </c>
      <c r="I5025" s="174" t="str">
        <f t="shared" si="1"/>
        <v>NORDESTE</v>
      </c>
    </row>
    <row r="5026" ht="14.25" customHeight="1">
      <c r="G5026" s="174" t="s">
        <v>6527</v>
      </c>
      <c r="H5026" s="174" t="s">
        <v>1685</v>
      </c>
      <c r="I5026" s="174" t="str">
        <f t="shared" si="1"/>
        <v>NORDESTE</v>
      </c>
    </row>
    <row r="5027" ht="14.25" customHeight="1">
      <c r="G5027" s="174" t="s">
        <v>6528</v>
      </c>
      <c r="H5027" s="174" t="s">
        <v>1733</v>
      </c>
      <c r="I5027" s="174" t="str">
        <f t="shared" si="1"/>
        <v>NORDESTE</v>
      </c>
    </row>
    <row r="5028" ht="14.25" customHeight="1">
      <c r="G5028" s="174" t="s">
        <v>6529</v>
      </c>
      <c r="H5028" s="174" t="s">
        <v>1717</v>
      </c>
      <c r="I5028" s="174" t="str">
        <f t="shared" si="1"/>
        <v>NORDESTE</v>
      </c>
    </row>
    <row r="5029" ht="14.25" customHeight="1">
      <c r="G5029" s="174" t="s">
        <v>6530</v>
      </c>
      <c r="H5029" s="174" t="s">
        <v>1666</v>
      </c>
      <c r="I5029" s="174" t="str">
        <f t="shared" si="1"/>
        <v>SUDESTE</v>
      </c>
    </row>
    <row r="5030" ht="14.25" customHeight="1">
      <c r="G5030" s="174" t="s">
        <v>6531</v>
      </c>
      <c r="H5030" s="174" t="s">
        <v>1685</v>
      </c>
      <c r="I5030" s="174" t="str">
        <f t="shared" si="1"/>
        <v>NORDESTE</v>
      </c>
    </row>
    <row r="5031" ht="14.25" customHeight="1">
      <c r="G5031" s="174" t="s">
        <v>6532</v>
      </c>
      <c r="H5031" s="174" t="s">
        <v>1702</v>
      </c>
      <c r="I5031" s="174" t="str">
        <f t="shared" si="1"/>
        <v>SUL</v>
      </c>
    </row>
    <row r="5032" ht="14.25" customHeight="1">
      <c r="G5032" s="174" t="s">
        <v>6533</v>
      </c>
      <c r="H5032" s="174" t="s">
        <v>1717</v>
      </c>
      <c r="I5032" s="174" t="str">
        <f t="shared" si="1"/>
        <v>NORDESTE</v>
      </c>
    </row>
    <row r="5033" ht="14.25" customHeight="1">
      <c r="G5033" s="174" t="s">
        <v>6534</v>
      </c>
      <c r="H5033" s="174" t="s">
        <v>1702</v>
      </c>
      <c r="I5033" s="174" t="str">
        <f t="shared" si="1"/>
        <v>SUL</v>
      </c>
    </row>
    <row r="5034" ht="14.25" customHeight="1">
      <c r="G5034" s="174" t="s">
        <v>6535</v>
      </c>
      <c r="H5034" s="174" t="s">
        <v>1742</v>
      </c>
      <c r="I5034" s="174" t="str">
        <f t="shared" si="1"/>
        <v>SUL</v>
      </c>
    </row>
    <row r="5035" ht="14.25" customHeight="1">
      <c r="G5035" s="174" t="s">
        <v>6536</v>
      </c>
      <c r="H5035" s="174" t="s">
        <v>1742</v>
      </c>
      <c r="I5035" s="174" t="str">
        <f t="shared" si="1"/>
        <v>SUL</v>
      </c>
    </row>
    <row r="5036" ht="14.25" customHeight="1">
      <c r="G5036" s="174" t="s">
        <v>6537</v>
      </c>
      <c r="H5036" s="174" t="s">
        <v>1719</v>
      </c>
      <c r="I5036" s="174" t="str">
        <f t="shared" si="1"/>
        <v>NORDESTE</v>
      </c>
    </row>
    <row r="5037" ht="14.25" customHeight="1">
      <c r="G5037" s="174" t="s">
        <v>6537</v>
      </c>
      <c r="H5037" s="174" t="s">
        <v>1750</v>
      </c>
      <c r="I5037" s="174" t="str">
        <f t="shared" si="1"/>
        <v>SUDESTE</v>
      </c>
    </row>
    <row r="5038" ht="14.25" customHeight="1">
      <c r="G5038" s="174" t="s">
        <v>6538</v>
      </c>
      <c r="H5038" s="174" t="s">
        <v>1750</v>
      </c>
      <c r="I5038" s="174" t="str">
        <f t="shared" si="1"/>
        <v>SUDESTE</v>
      </c>
    </row>
    <row r="5039" ht="14.25" customHeight="1">
      <c r="G5039" s="174" t="s">
        <v>6539</v>
      </c>
      <c r="H5039" s="174" t="s">
        <v>1742</v>
      </c>
      <c r="I5039" s="174" t="str">
        <f t="shared" si="1"/>
        <v>SUL</v>
      </c>
    </row>
    <row r="5040" ht="14.25" customHeight="1">
      <c r="G5040" s="174" t="s">
        <v>6540</v>
      </c>
      <c r="H5040" s="174" t="s">
        <v>1666</v>
      </c>
      <c r="I5040" s="174" t="str">
        <f t="shared" si="1"/>
        <v>SUDESTE</v>
      </c>
    </row>
    <row r="5041" ht="14.25" customHeight="1">
      <c r="G5041" s="174" t="s">
        <v>6541</v>
      </c>
      <c r="H5041" s="174" t="s">
        <v>1710</v>
      </c>
      <c r="I5041" s="174" t="str">
        <f t="shared" si="1"/>
        <v>CENTRO OESTE</v>
      </c>
    </row>
    <row r="5042" ht="14.25" customHeight="1">
      <c r="G5042" s="174" t="s">
        <v>6542</v>
      </c>
      <c r="H5042" s="174" t="s">
        <v>1666</v>
      </c>
      <c r="I5042" s="174" t="str">
        <f t="shared" si="1"/>
        <v>SUDESTE</v>
      </c>
    </row>
    <row r="5043" ht="14.25" customHeight="1">
      <c r="G5043" s="174" t="s">
        <v>6543</v>
      </c>
      <c r="H5043" s="174" t="s">
        <v>1742</v>
      </c>
      <c r="I5043" s="174" t="str">
        <f t="shared" si="1"/>
        <v>SUL</v>
      </c>
    </row>
    <row r="5044" ht="14.25" customHeight="1">
      <c r="G5044" s="174" t="s">
        <v>6544</v>
      </c>
      <c r="H5044" s="174" t="s">
        <v>1733</v>
      </c>
      <c r="I5044" s="174" t="str">
        <f t="shared" si="1"/>
        <v>NORDESTE</v>
      </c>
    </row>
    <row r="5045" ht="14.25" customHeight="1">
      <c r="G5045" s="174" t="s">
        <v>6545</v>
      </c>
      <c r="H5045" s="174" t="s">
        <v>1750</v>
      </c>
      <c r="I5045" s="174" t="str">
        <f t="shared" si="1"/>
        <v>SUDESTE</v>
      </c>
    </row>
    <row r="5046" ht="14.25" customHeight="1">
      <c r="G5046" s="174" t="s">
        <v>6546</v>
      </c>
      <c r="H5046" s="174" t="s">
        <v>1706</v>
      </c>
      <c r="I5046" s="174" t="str">
        <f t="shared" si="1"/>
        <v>SUL</v>
      </c>
    </row>
    <row r="5047" ht="14.25" customHeight="1">
      <c r="G5047" s="174" t="s">
        <v>6547</v>
      </c>
      <c r="H5047" s="174" t="s">
        <v>1710</v>
      </c>
      <c r="I5047" s="174" t="str">
        <f t="shared" si="1"/>
        <v>CENTRO OESTE</v>
      </c>
    </row>
    <row r="5048" ht="14.25" customHeight="1">
      <c r="G5048" s="174" t="s">
        <v>6548</v>
      </c>
      <c r="H5048" s="174" t="s">
        <v>1725</v>
      </c>
      <c r="I5048" s="174" t="str">
        <f t="shared" si="1"/>
        <v>NORDESTE</v>
      </c>
    </row>
    <row r="5049" ht="14.25" customHeight="1">
      <c r="G5049" s="174" t="s">
        <v>6549</v>
      </c>
      <c r="H5049" s="174" t="s">
        <v>1730</v>
      </c>
      <c r="I5049" s="174" t="str">
        <f t="shared" si="1"/>
        <v>SUDESTE</v>
      </c>
    </row>
    <row r="5050" ht="14.25" customHeight="1">
      <c r="G5050" s="174" t="s">
        <v>6550</v>
      </c>
      <c r="H5050" s="174" t="s">
        <v>1658</v>
      </c>
      <c r="I5050" s="174" t="str">
        <f t="shared" si="1"/>
        <v>CENTRO OESTE</v>
      </c>
    </row>
    <row r="5051" ht="14.25" customHeight="1">
      <c r="G5051" s="174" t="s">
        <v>6551</v>
      </c>
      <c r="H5051" s="174" t="s">
        <v>1721</v>
      </c>
      <c r="I5051" s="174" t="str">
        <f t="shared" si="1"/>
        <v>NORTE</v>
      </c>
    </row>
    <row r="5052" ht="14.25" customHeight="1">
      <c r="G5052" s="174" t="s">
        <v>6552</v>
      </c>
      <c r="H5052" s="174" t="s">
        <v>1742</v>
      </c>
      <c r="I5052" s="174" t="str">
        <f t="shared" si="1"/>
        <v>SUL</v>
      </c>
    </row>
    <row r="5053" ht="14.25" customHeight="1">
      <c r="G5053" s="174" t="s">
        <v>6553</v>
      </c>
      <c r="H5053" s="174" t="s">
        <v>1666</v>
      </c>
      <c r="I5053" s="174" t="str">
        <f t="shared" si="1"/>
        <v>SUDESTE</v>
      </c>
    </row>
    <row r="5054" ht="14.25" customHeight="1">
      <c r="G5054" s="174" t="s">
        <v>6554</v>
      </c>
      <c r="H5054" s="174" t="s">
        <v>1750</v>
      </c>
      <c r="I5054" s="174" t="str">
        <f t="shared" si="1"/>
        <v>SUDESTE</v>
      </c>
    </row>
    <row r="5055" ht="14.25" customHeight="1">
      <c r="G5055" s="174" t="s">
        <v>6555</v>
      </c>
      <c r="H5055" s="174" t="s">
        <v>1672</v>
      </c>
      <c r="I5055" s="174" t="str">
        <f t="shared" si="1"/>
        <v>NORTE</v>
      </c>
    </row>
    <row r="5056" ht="14.25" customHeight="1">
      <c r="G5056" s="174" t="s">
        <v>6556</v>
      </c>
      <c r="H5056" s="174" t="s">
        <v>1666</v>
      </c>
      <c r="I5056" s="174" t="str">
        <f t="shared" si="1"/>
        <v>SUDESTE</v>
      </c>
    </row>
    <row r="5057" ht="14.25" customHeight="1">
      <c r="G5057" s="174" t="s">
        <v>6557</v>
      </c>
      <c r="H5057" s="174" t="s">
        <v>1747</v>
      </c>
      <c r="I5057" s="174" t="str">
        <f t="shared" si="1"/>
        <v>NORDESTE</v>
      </c>
    </row>
    <row r="5058" ht="14.25" customHeight="1">
      <c r="G5058" s="174" t="s">
        <v>6558</v>
      </c>
      <c r="H5058" s="174" t="s">
        <v>1666</v>
      </c>
      <c r="I5058" s="174" t="str">
        <f t="shared" si="1"/>
        <v>SUDESTE</v>
      </c>
    </row>
    <row r="5059" ht="14.25" customHeight="1">
      <c r="G5059" s="174" t="s">
        <v>6559</v>
      </c>
      <c r="H5059" s="174" t="s">
        <v>1725</v>
      </c>
      <c r="I5059" s="174" t="str">
        <f t="shared" si="1"/>
        <v>NORDESTE</v>
      </c>
    </row>
    <row r="5060" ht="14.25" customHeight="1">
      <c r="G5060" s="174" t="s">
        <v>6560</v>
      </c>
      <c r="H5060" s="174" t="s">
        <v>1685</v>
      </c>
      <c r="I5060" s="174" t="str">
        <f t="shared" si="1"/>
        <v>NORDESTE</v>
      </c>
    </row>
    <row r="5061" ht="14.25" customHeight="1">
      <c r="G5061" s="174" t="s">
        <v>6561</v>
      </c>
      <c r="H5061" s="174" t="s">
        <v>1658</v>
      </c>
      <c r="I5061" s="174" t="str">
        <f t="shared" si="1"/>
        <v>CENTRO OESTE</v>
      </c>
    </row>
    <row r="5062" ht="14.25" customHeight="1">
      <c r="G5062" s="174" t="s">
        <v>6562</v>
      </c>
      <c r="H5062" s="174" t="s">
        <v>1666</v>
      </c>
      <c r="I5062" s="174" t="str">
        <f t="shared" si="1"/>
        <v>SUDESTE</v>
      </c>
    </row>
    <row r="5063" ht="14.25" customHeight="1">
      <c r="G5063" s="174" t="s">
        <v>6563</v>
      </c>
      <c r="H5063" s="174" t="s">
        <v>1725</v>
      </c>
      <c r="I5063" s="174" t="str">
        <f t="shared" si="1"/>
        <v>NORDESTE</v>
      </c>
    </row>
    <row r="5064" ht="14.25" customHeight="1">
      <c r="G5064" s="174" t="s">
        <v>6564</v>
      </c>
      <c r="H5064" s="174" t="s">
        <v>1742</v>
      </c>
      <c r="I5064" s="174" t="str">
        <f t="shared" si="1"/>
        <v>SUL</v>
      </c>
    </row>
    <row r="5065" ht="14.25" customHeight="1">
      <c r="G5065" s="174" t="s">
        <v>6565</v>
      </c>
      <c r="H5065" s="174" t="s">
        <v>1713</v>
      </c>
      <c r="I5065" s="174" t="str">
        <f t="shared" si="1"/>
        <v>CENTRO OESTE</v>
      </c>
    </row>
    <row r="5066" ht="14.25" customHeight="1">
      <c r="G5066" s="174" t="s">
        <v>6566</v>
      </c>
      <c r="H5066" s="174" t="s">
        <v>1702</v>
      </c>
      <c r="I5066" s="174" t="str">
        <f t="shared" si="1"/>
        <v>SUL</v>
      </c>
    </row>
    <row r="5067" ht="14.25" customHeight="1">
      <c r="G5067" s="174" t="s">
        <v>6567</v>
      </c>
      <c r="H5067" s="174" t="s">
        <v>1717</v>
      </c>
      <c r="I5067" s="174" t="str">
        <f t="shared" si="1"/>
        <v>NORDESTE</v>
      </c>
    </row>
    <row r="5068" ht="14.25" customHeight="1">
      <c r="G5068" s="174" t="s">
        <v>6568</v>
      </c>
      <c r="H5068" s="174" t="s">
        <v>1747</v>
      </c>
      <c r="I5068" s="174" t="str">
        <f t="shared" si="1"/>
        <v>NORDESTE</v>
      </c>
    </row>
    <row r="5069" ht="14.25" customHeight="1">
      <c r="G5069" s="174" t="s">
        <v>6569</v>
      </c>
      <c r="H5069" s="174" t="s">
        <v>1658</v>
      </c>
      <c r="I5069" s="174" t="str">
        <f t="shared" si="1"/>
        <v>CENTRO OESTE</v>
      </c>
    </row>
    <row r="5070" ht="14.25" customHeight="1">
      <c r="G5070" s="174" t="s">
        <v>6570</v>
      </c>
      <c r="H5070" s="174" t="s">
        <v>1685</v>
      </c>
      <c r="I5070" s="174" t="str">
        <f t="shared" si="1"/>
        <v>NORDESTE</v>
      </c>
    </row>
    <row r="5071" ht="14.25" customHeight="1">
      <c r="G5071" s="174" t="s">
        <v>6571</v>
      </c>
      <c r="H5071" s="174" t="s">
        <v>1685</v>
      </c>
      <c r="I5071" s="174" t="str">
        <f t="shared" si="1"/>
        <v>NORDESTE</v>
      </c>
    </row>
    <row r="5072" ht="14.25" customHeight="1">
      <c r="G5072" s="174" t="s">
        <v>6572</v>
      </c>
      <c r="H5072" s="174" t="s">
        <v>1704</v>
      </c>
      <c r="I5072" s="174" t="str">
        <f t="shared" si="1"/>
        <v>NORDESTE</v>
      </c>
    </row>
    <row r="5073" ht="14.25" customHeight="1">
      <c r="G5073" s="174" t="s">
        <v>6572</v>
      </c>
      <c r="H5073" s="174" t="s">
        <v>1733</v>
      </c>
      <c r="I5073" s="174" t="str">
        <f t="shared" si="1"/>
        <v>NORDESTE</v>
      </c>
    </row>
    <row r="5074" ht="14.25" customHeight="1">
      <c r="G5074" s="174" t="s">
        <v>6573</v>
      </c>
      <c r="H5074" s="174" t="s">
        <v>1721</v>
      </c>
      <c r="I5074" s="174" t="str">
        <f t="shared" si="1"/>
        <v>NORTE</v>
      </c>
    </row>
    <row r="5075" ht="14.25" customHeight="1">
      <c r="G5075" s="174" t="s">
        <v>6574</v>
      </c>
      <c r="H5075" s="174" t="s">
        <v>1685</v>
      </c>
      <c r="I5075" s="174" t="str">
        <f t="shared" si="1"/>
        <v>NORDESTE</v>
      </c>
    </row>
    <row r="5076" ht="14.25" customHeight="1">
      <c r="G5076" s="174" t="s">
        <v>6574</v>
      </c>
      <c r="H5076" s="174" t="s">
        <v>1742</v>
      </c>
      <c r="I5076" s="174" t="str">
        <f t="shared" si="1"/>
        <v>SUL</v>
      </c>
    </row>
    <row r="5077" ht="14.25" customHeight="1">
      <c r="G5077" s="174" t="s">
        <v>6575</v>
      </c>
      <c r="H5077" s="174" t="s">
        <v>1719</v>
      </c>
      <c r="I5077" s="174" t="str">
        <f t="shared" si="1"/>
        <v>NORDESTE</v>
      </c>
    </row>
    <row r="5078" ht="14.25" customHeight="1">
      <c r="G5078" s="174" t="s">
        <v>6576</v>
      </c>
      <c r="H5078" s="174" t="s">
        <v>1690</v>
      </c>
      <c r="I5078" s="174" t="str">
        <f t="shared" si="1"/>
        <v>NORDESTE</v>
      </c>
    </row>
    <row r="5079" ht="14.25" customHeight="1">
      <c r="G5079" s="174" t="s">
        <v>6577</v>
      </c>
      <c r="H5079" s="174" t="s">
        <v>1666</v>
      </c>
      <c r="I5079" s="174" t="str">
        <f t="shared" si="1"/>
        <v>SUDESTE</v>
      </c>
    </row>
    <row r="5080" ht="14.25" customHeight="1">
      <c r="G5080" s="174" t="s">
        <v>6578</v>
      </c>
      <c r="H5080" s="174" t="s">
        <v>1750</v>
      </c>
      <c r="I5080" s="174" t="str">
        <f t="shared" si="1"/>
        <v>SUDESTE</v>
      </c>
    </row>
    <row r="5081" ht="14.25" customHeight="1">
      <c r="G5081" s="174" t="s">
        <v>6579</v>
      </c>
      <c r="H5081" s="174" t="s">
        <v>1725</v>
      </c>
      <c r="I5081" s="174" t="str">
        <f t="shared" si="1"/>
        <v>NORDESTE</v>
      </c>
    </row>
    <row r="5082" ht="14.25" customHeight="1">
      <c r="G5082" s="174" t="s">
        <v>6580</v>
      </c>
      <c r="H5082" s="174" t="s">
        <v>1719</v>
      </c>
      <c r="I5082" s="174" t="str">
        <f t="shared" si="1"/>
        <v>NORDESTE</v>
      </c>
    </row>
    <row r="5083" ht="14.25" customHeight="1">
      <c r="G5083" s="174" t="s">
        <v>6581</v>
      </c>
      <c r="H5083" s="174" t="s">
        <v>1719</v>
      </c>
      <c r="I5083" s="174" t="str">
        <f t="shared" si="1"/>
        <v>NORDESTE</v>
      </c>
    </row>
    <row r="5084" ht="14.25" customHeight="1">
      <c r="G5084" s="174" t="s">
        <v>6581</v>
      </c>
      <c r="H5084" s="174" t="s">
        <v>1742</v>
      </c>
      <c r="I5084" s="174" t="str">
        <f t="shared" si="1"/>
        <v>SUL</v>
      </c>
    </row>
    <row r="5085" ht="14.25" customHeight="1">
      <c r="G5085" s="174" t="s">
        <v>6582</v>
      </c>
      <c r="H5085" s="174" t="s">
        <v>1666</v>
      </c>
      <c r="I5085" s="174" t="str">
        <f t="shared" si="1"/>
        <v>SUDESTE</v>
      </c>
    </row>
    <row r="5086" ht="14.25" customHeight="1">
      <c r="G5086" s="174" t="s">
        <v>6583</v>
      </c>
      <c r="H5086" s="174" t="s">
        <v>1717</v>
      </c>
      <c r="I5086" s="174" t="str">
        <f t="shared" si="1"/>
        <v>NORDESTE</v>
      </c>
    </row>
    <row r="5087" ht="14.25" customHeight="1">
      <c r="G5087" s="174" t="s">
        <v>6584</v>
      </c>
      <c r="H5087" s="174" t="s">
        <v>1690</v>
      </c>
      <c r="I5087" s="174" t="str">
        <f t="shared" si="1"/>
        <v>NORDESTE</v>
      </c>
    </row>
    <row r="5088" ht="14.25" customHeight="1">
      <c r="G5088" s="174" t="s">
        <v>6585</v>
      </c>
      <c r="H5088" s="174" t="s">
        <v>1706</v>
      </c>
      <c r="I5088" s="174" t="str">
        <f t="shared" si="1"/>
        <v>SUL</v>
      </c>
    </row>
    <row r="5089" ht="14.25" customHeight="1">
      <c r="G5089" s="174" t="s">
        <v>6586</v>
      </c>
      <c r="H5089" s="174" t="s">
        <v>1710</v>
      </c>
      <c r="I5089" s="174" t="str">
        <f t="shared" si="1"/>
        <v>CENTRO OESTE</v>
      </c>
    </row>
    <row r="5090" ht="14.25" customHeight="1">
      <c r="G5090" s="174" t="s">
        <v>6587</v>
      </c>
      <c r="H5090" s="174" t="s">
        <v>1698</v>
      </c>
      <c r="I5090" s="174" t="str">
        <f t="shared" si="1"/>
        <v>SUDESTE</v>
      </c>
    </row>
    <row r="5091" ht="14.25" customHeight="1">
      <c r="G5091" s="174" t="s">
        <v>6588</v>
      </c>
      <c r="H5091" s="174" t="s">
        <v>1750</v>
      </c>
      <c r="I5091" s="174" t="str">
        <f t="shared" si="1"/>
        <v>SUDESTE</v>
      </c>
    </row>
    <row r="5092" ht="14.25" customHeight="1">
      <c r="G5092" s="174" t="s">
        <v>6589</v>
      </c>
      <c r="H5092" s="174" t="s">
        <v>1713</v>
      </c>
      <c r="I5092" s="174" t="str">
        <f t="shared" si="1"/>
        <v>CENTRO OESTE</v>
      </c>
    </row>
    <row r="5093" ht="14.25" customHeight="1">
      <c r="G5093" s="174" t="s">
        <v>6590</v>
      </c>
      <c r="H5093" s="174" t="s">
        <v>1719</v>
      </c>
      <c r="I5093" s="174" t="str">
        <f t="shared" si="1"/>
        <v>NORDESTE</v>
      </c>
    </row>
    <row r="5094" ht="14.25" customHeight="1">
      <c r="G5094" s="174" t="s">
        <v>6591</v>
      </c>
      <c r="H5094" s="174" t="s">
        <v>1687</v>
      </c>
      <c r="I5094" s="174" t="str">
        <f t="shared" si="1"/>
        <v>NORTE</v>
      </c>
    </row>
    <row r="5095" ht="14.25" customHeight="1">
      <c r="G5095" s="174" t="s">
        <v>6592</v>
      </c>
      <c r="H5095" s="174" t="s">
        <v>1719</v>
      </c>
      <c r="I5095" s="174" t="str">
        <f t="shared" si="1"/>
        <v>NORDESTE</v>
      </c>
    </row>
    <row r="5096" ht="14.25" customHeight="1">
      <c r="G5096" s="174" t="s">
        <v>6593</v>
      </c>
      <c r="H5096" s="174" t="s">
        <v>1685</v>
      </c>
      <c r="I5096" s="174" t="str">
        <f t="shared" si="1"/>
        <v>NORDESTE</v>
      </c>
    </row>
    <row r="5097" ht="14.25" customHeight="1">
      <c r="G5097" s="174" t="s">
        <v>6594</v>
      </c>
      <c r="H5097" s="174" t="s">
        <v>1721</v>
      </c>
      <c r="I5097" s="174" t="str">
        <f t="shared" si="1"/>
        <v>NORTE</v>
      </c>
    </row>
    <row r="5098" ht="14.25" customHeight="1">
      <c r="G5098" s="174" t="s">
        <v>6595</v>
      </c>
      <c r="H5098" s="174" t="s">
        <v>1704</v>
      </c>
      <c r="I5098" s="174" t="str">
        <f t="shared" si="1"/>
        <v>NORDESTE</v>
      </c>
    </row>
    <row r="5099" ht="14.25" customHeight="1">
      <c r="G5099" s="174" t="s">
        <v>6596</v>
      </c>
      <c r="H5099" s="174" t="s">
        <v>1704</v>
      </c>
      <c r="I5099" s="174" t="str">
        <f t="shared" si="1"/>
        <v>NORDESTE</v>
      </c>
    </row>
    <row r="5100" ht="14.25" customHeight="1">
      <c r="G5100" s="174" t="s">
        <v>6597</v>
      </c>
      <c r="H5100" s="174" t="s">
        <v>1750</v>
      </c>
      <c r="I5100" s="174" t="str">
        <f t="shared" si="1"/>
        <v>SUDESTE</v>
      </c>
    </row>
    <row r="5101" ht="14.25" customHeight="1">
      <c r="G5101" s="174" t="s">
        <v>6598</v>
      </c>
      <c r="H5101" s="174" t="s">
        <v>1706</v>
      </c>
      <c r="I5101" s="174" t="str">
        <f t="shared" si="1"/>
        <v>SUL</v>
      </c>
    </row>
    <row r="5102" ht="14.25" customHeight="1">
      <c r="G5102" s="174" t="s">
        <v>6599</v>
      </c>
      <c r="H5102" s="174" t="s">
        <v>1702</v>
      </c>
      <c r="I5102" s="174" t="str">
        <f t="shared" si="1"/>
        <v>SUL</v>
      </c>
    </row>
    <row r="5103" ht="14.25" customHeight="1">
      <c r="G5103" s="174" t="s">
        <v>6600</v>
      </c>
      <c r="H5103" s="174" t="s">
        <v>1750</v>
      </c>
      <c r="I5103" s="174" t="str">
        <f t="shared" si="1"/>
        <v>SUDESTE</v>
      </c>
    </row>
    <row r="5104" ht="14.25" customHeight="1">
      <c r="G5104" s="174" t="s">
        <v>6601</v>
      </c>
      <c r="H5104" s="174" t="s">
        <v>1719</v>
      </c>
      <c r="I5104" s="174" t="str">
        <f t="shared" si="1"/>
        <v>NORDESTE</v>
      </c>
    </row>
    <row r="5105" ht="14.25" customHeight="1">
      <c r="G5105" s="174" t="s">
        <v>6602</v>
      </c>
      <c r="H5105" s="174" t="s">
        <v>1730</v>
      </c>
      <c r="I5105" s="174" t="str">
        <f t="shared" si="1"/>
        <v>SUDESTE</v>
      </c>
    </row>
    <row r="5106" ht="14.25" customHeight="1">
      <c r="G5106" s="174" t="s">
        <v>6603</v>
      </c>
      <c r="H5106" s="174" t="s">
        <v>1717</v>
      </c>
      <c r="I5106" s="174" t="str">
        <f t="shared" si="1"/>
        <v>NORDESTE</v>
      </c>
    </row>
    <row r="5107" ht="14.25" customHeight="1">
      <c r="G5107" s="174" t="s">
        <v>6604</v>
      </c>
      <c r="H5107" s="174" t="s">
        <v>1725</v>
      </c>
      <c r="I5107" s="174" t="str">
        <f t="shared" si="1"/>
        <v>NORDESTE</v>
      </c>
    </row>
    <row r="5108" ht="14.25" customHeight="1">
      <c r="G5108" s="174" t="s">
        <v>6605</v>
      </c>
      <c r="H5108" s="174" t="s">
        <v>1750</v>
      </c>
      <c r="I5108" s="174" t="str">
        <f t="shared" si="1"/>
        <v>SUDESTE</v>
      </c>
    </row>
    <row r="5109" ht="14.25" customHeight="1">
      <c r="G5109" s="174" t="s">
        <v>6606</v>
      </c>
      <c r="H5109" s="174" t="s">
        <v>1750</v>
      </c>
      <c r="I5109" s="174" t="str">
        <f t="shared" si="1"/>
        <v>SUDESTE</v>
      </c>
    </row>
    <row r="5110" ht="14.25" customHeight="1">
      <c r="G5110" s="174" t="s">
        <v>6607</v>
      </c>
      <c r="H5110" s="174" t="s">
        <v>1742</v>
      </c>
      <c r="I5110" s="174" t="str">
        <f t="shared" si="1"/>
        <v>SUL</v>
      </c>
    </row>
    <row r="5111" ht="14.25" customHeight="1">
      <c r="G5111" s="174" t="s">
        <v>6608</v>
      </c>
      <c r="H5111" s="174" t="s">
        <v>1713</v>
      </c>
      <c r="I5111" s="174" t="str">
        <f t="shared" si="1"/>
        <v>CENTRO OESTE</v>
      </c>
    </row>
    <row r="5112" ht="14.25" customHeight="1">
      <c r="G5112" s="174" t="s">
        <v>6609</v>
      </c>
      <c r="H5112" s="174" t="s">
        <v>1750</v>
      </c>
      <c r="I5112" s="174" t="str">
        <f t="shared" si="1"/>
        <v>SUDESTE</v>
      </c>
    </row>
    <row r="5113" ht="14.25" customHeight="1">
      <c r="G5113" s="174" t="s">
        <v>6610</v>
      </c>
      <c r="H5113" s="174" t="s">
        <v>1672</v>
      </c>
      <c r="I5113" s="174" t="str">
        <f t="shared" si="1"/>
        <v>NORTE</v>
      </c>
    </row>
    <row r="5114" ht="14.25" customHeight="1">
      <c r="G5114" s="174" t="s">
        <v>6610</v>
      </c>
      <c r="H5114" s="174" t="s">
        <v>1750</v>
      </c>
      <c r="I5114" s="174" t="str">
        <f t="shared" si="1"/>
        <v>SUDESTE</v>
      </c>
    </row>
    <row r="5115" ht="14.25" customHeight="1">
      <c r="G5115" s="174" t="s">
        <v>6611</v>
      </c>
      <c r="H5115" s="174" t="s">
        <v>1717</v>
      </c>
      <c r="I5115" s="174" t="str">
        <f t="shared" si="1"/>
        <v>NORDESTE</v>
      </c>
    </row>
    <row r="5116" ht="14.25" customHeight="1">
      <c r="G5116" s="174" t="s">
        <v>6612</v>
      </c>
      <c r="H5116" s="174" t="s">
        <v>1750</v>
      </c>
      <c r="I5116" s="174" t="str">
        <f t="shared" si="1"/>
        <v>SUDESTE</v>
      </c>
    </row>
    <row r="5117" ht="14.25" customHeight="1">
      <c r="G5117" s="174" t="s">
        <v>6613</v>
      </c>
      <c r="H5117" s="174" t="s">
        <v>1685</v>
      </c>
      <c r="I5117" s="174" t="str">
        <f t="shared" si="1"/>
        <v>NORDESTE</v>
      </c>
    </row>
    <row r="5118" ht="14.25" customHeight="1">
      <c r="G5118" s="174" t="s">
        <v>6614</v>
      </c>
      <c r="H5118" s="174" t="s">
        <v>1733</v>
      </c>
      <c r="I5118" s="174" t="str">
        <f t="shared" si="1"/>
        <v>NORDESTE</v>
      </c>
    </row>
    <row r="5119" ht="14.25" customHeight="1">
      <c r="G5119" s="174" t="s">
        <v>6615</v>
      </c>
      <c r="H5119" s="174" t="s">
        <v>1666</v>
      </c>
      <c r="I5119" s="174" t="str">
        <f t="shared" si="1"/>
        <v>SUDESTE</v>
      </c>
    </row>
    <row r="5120" ht="14.25" customHeight="1">
      <c r="G5120" s="174" t="s">
        <v>6616</v>
      </c>
      <c r="H5120" s="174" t="s">
        <v>1690</v>
      </c>
      <c r="I5120" s="174" t="str">
        <f t="shared" si="1"/>
        <v>NORDESTE</v>
      </c>
    </row>
    <row r="5121" ht="14.25" customHeight="1">
      <c r="G5121" s="174" t="s">
        <v>6617</v>
      </c>
      <c r="H5121" s="174" t="s">
        <v>1717</v>
      </c>
      <c r="I5121" s="174" t="str">
        <f t="shared" si="1"/>
        <v>NORDESTE</v>
      </c>
    </row>
    <row r="5122" ht="14.25" customHeight="1">
      <c r="G5122" s="174" t="s">
        <v>6618</v>
      </c>
      <c r="H5122" s="174" t="s">
        <v>1717</v>
      </c>
      <c r="I5122" s="174" t="str">
        <f t="shared" si="1"/>
        <v>NORDESTE</v>
      </c>
    </row>
    <row r="5123" ht="14.25" customHeight="1">
      <c r="G5123" s="174" t="s">
        <v>6619</v>
      </c>
      <c r="H5123" s="174" t="s">
        <v>1750</v>
      </c>
      <c r="I5123" s="174" t="str">
        <f t="shared" si="1"/>
        <v>SUDESTE</v>
      </c>
    </row>
    <row r="5124" ht="14.25" customHeight="1">
      <c r="G5124" s="174" t="s">
        <v>6620</v>
      </c>
      <c r="H5124" s="174" t="s">
        <v>1710</v>
      </c>
      <c r="I5124" s="174" t="str">
        <f t="shared" si="1"/>
        <v>CENTRO OESTE</v>
      </c>
    </row>
    <row r="5125" ht="14.25" customHeight="1">
      <c r="G5125" s="174" t="s">
        <v>6621</v>
      </c>
      <c r="H5125" s="174" t="s">
        <v>1750</v>
      </c>
      <c r="I5125" s="174" t="str">
        <f t="shared" si="1"/>
        <v>SUDESTE</v>
      </c>
    </row>
    <row r="5126" ht="14.25" customHeight="1">
      <c r="G5126" s="174" t="s">
        <v>6622</v>
      </c>
      <c r="H5126" s="174" t="s">
        <v>1721</v>
      </c>
      <c r="I5126" s="174" t="str">
        <f t="shared" si="1"/>
        <v>NORTE</v>
      </c>
    </row>
    <row r="5127" ht="14.25" customHeight="1">
      <c r="G5127" s="174" t="s">
        <v>6623</v>
      </c>
      <c r="H5127" s="174" t="s">
        <v>1750</v>
      </c>
      <c r="I5127" s="174" t="str">
        <f t="shared" si="1"/>
        <v>SUDESTE</v>
      </c>
    </row>
    <row r="5128" ht="14.25" customHeight="1">
      <c r="G5128" s="174" t="s">
        <v>6624</v>
      </c>
      <c r="H5128" s="174" t="s">
        <v>1687</v>
      </c>
      <c r="I5128" s="174" t="str">
        <f t="shared" si="1"/>
        <v>NORTE</v>
      </c>
    </row>
    <row r="5129" ht="14.25" customHeight="1">
      <c r="G5129" s="174" t="s">
        <v>6625</v>
      </c>
      <c r="H5129" s="174" t="s">
        <v>1706</v>
      </c>
      <c r="I5129" s="174" t="str">
        <f t="shared" si="1"/>
        <v>SUL</v>
      </c>
    </row>
    <row r="5130" ht="14.25" customHeight="1">
      <c r="G5130" s="174" t="s">
        <v>6626</v>
      </c>
      <c r="H5130" s="174" t="s">
        <v>1666</v>
      </c>
      <c r="I5130" s="174" t="str">
        <f t="shared" si="1"/>
        <v>SUDESTE</v>
      </c>
    </row>
    <row r="5131" ht="14.25" customHeight="1">
      <c r="G5131" s="174" t="s">
        <v>6627</v>
      </c>
      <c r="H5131" s="174" t="s">
        <v>1721</v>
      </c>
      <c r="I5131" s="174" t="str">
        <f t="shared" si="1"/>
        <v>NORTE</v>
      </c>
    </row>
    <row r="5132" ht="14.25" customHeight="1">
      <c r="G5132" s="174" t="s">
        <v>6628</v>
      </c>
      <c r="H5132" s="174" t="s">
        <v>1733</v>
      </c>
      <c r="I5132" s="174" t="str">
        <f t="shared" si="1"/>
        <v>NORDESTE</v>
      </c>
    </row>
    <row r="5133" ht="14.25" customHeight="1">
      <c r="G5133" s="174" t="s">
        <v>6629</v>
      </c>
      <c r="H5133" s="174" t="s">
        <v>1750</v>
      </c>
      <c r="I5133" s="174" t="str">
        <f t="shared" si="1"/>
        <v>SUDESTE</v>
      </c>
    </row>
    <row r="5134" ht="14.25" customHeight="1">
      <c r="G5134" s="174" t="s">
        <v>6630</v>
      </c>
      <c r="H5134" s="174" t="s">
        <v>1721</v>
      </c>
      <c r="I5134" s="174" t="str">
        <f t="shared" si="1"/>
        <v>NORTE</v>
      </c>
    </row>
    <row r="5135" ht="14.25" customHeight="1">
      <c r="G5135" s="174" t="s">
        <v>6631</v>
      </c>
      <c r="H5135" s="174" t="s">
        <v>1717</v>
      </c>
      <c r="I5135" s="174" t="str">
        <f t="shared" si="1"/>
        <v>NORDESTE</v>
      </c>
    </row>
    <row r="5136" ht="14.25" customHeight="1">
      <c r="G5136" s="174" t="s">
        <v>6632</v>
      </c>
      <c r="H5136" s="174" t="s">
        <v>1702</v>
      </c>
      <c r="I5136" s="174" t="str">
        <f t="shared" si="1"/>
        <v>SUL</v>
      </c>
    </row>
    <row r="5137" ht="14.25" customHeight="1">
      <c r="G5137" s="174" t="s">
        <v>6633</v>
      </c>
      <c r="H5137" s="174" t="s">
        <v>1750</v>
      </c>
      <c r="I5137" s="174" t="str">
        <f t="shared" si="1"/>
        <v>SUDESTE</v>
      </c>
    </row>
    <row r="5138" ht="14.25" customHeight="1">
      <c r="G5138" s="174" t="s">
        <v>6634</v>
      </c>
      <c r="H5138" s="174" t="s">
        <v>1702</v>
      </c>
      <c r="I5138" s="174" t="str">
        <f t="shared" si="1"/>
        <v>SUL</v>
      </c>
    </row>
    <row r="5139" ht="14.25" customHeight="1">
      <c r="G5139" s="174" t="s">
        <v>6635</v>
      </c>
      <c r="H5139" s="174" t="s">
        <v>1690</v>
      </c>
      <c r="I5139" s="174" t="str">
        <f t="shared" si="1"/>
        <v>NORDESTE</v>
      </c>
    </row>
    <row r="5140" ht="14.25" customHeight="1">
      <c r="G5140" s="174" t="s">
        <v>6636</v>
      </c>
      <c r="H5140" s="174" t="s">
        <v>1725</v>
      </c>
      <c r="I5140" s="174" t="str">
        <f t="shared" si="1"/>
        <v>NORDESTE</v>
      </c>
    </row>
    <row r="5141" ht="14.25" customHeight="1">
      <c r="G5141" s="174" t="s">
        <v>6637</v>
      </c>
      <c r="H5141" s="174" t="s">
        <v>1750</v>
      </c>
      <c r="I5141" s="174" t="str">
        <f t="shared" si="1"/>
        <v>SUDESTE</v>
      </c>
    </row>
    <row r="5142" ht="14.25" customHeight="1">
      <c r="G5142" s="174" t="s">
        <v>6638</v>
      </c>
      <c r="H5142" s="174" t="s">
        <v>1733</v>
      </c>
      <c r="I5142" s="174" t="str">
        <f t="shared" si="1"/>
        <v>NORDESTE</v>
      </c>
    </row>
    <row r="5143" ht="14.25" customHeight="1">
      <c r="G5143" s="174" t="s">
        <v>6638</v>
      </c>
      <c r="H5143" s="174" t="s">
        <v>1706</v>
      </c>
      <c r="I5143" s="174" t="str">
        <f t="shared" si="1"/>
        <v>SUL</v>
      </c>
    </row>
    <row r="5144" ht="14.25" customHeight="1">
      <c r="G5144" s="174" t="s">
        <v>6639</v>
      </c>
      <c r="H5144" s="174" t="s">
        <v>1713</v>
      </c>
      <c r="I5144" s="174" t="str">
        <f t="shared" si="1"/>
        <v>CENTRO OESTE</v>
      </c>
    </row>
    <row r="5145" ht="14.25" customHeight="1">
      <c r="G5145" s="174" t="s">
        <v>6640</v>
      </c>
      <c r="H5145" s="174" t="s">
        <v>1730</v>
      </c>
      <c r="I5145" s="174" t="str">
        <f t="shared" si="1"/>
        <v>SUDESTE</v>
      </c>
    </row>
    <row r="5146" ht="14.25" customHeight="1">
      <c r="G5146" s="174" t="s">
        <v>6641</v>
      </c>
      <c r="H5146" s="174" t="s">
        <v>1685</v>
      </c>
      <c r="I5146" s="174" t="str">
        <f t="shared" si="1"/>
        <v>NORDESTE</v>
      </c>
    </row>
    <row r="5147" ht="14.25" customHeight="1">
      <c r="G5147" s="174" t="s">
        <v>6642</v>
      </c>
      <c r="H5147" s="174" t="s">
        <v>1664</v>
      </c>
      <c r="I5147" s="174" t="str">
        <f t="shared" si="1"/>
        <v>NORDESTE</v>
      </c>
    </row>
    <row r="5148" ht="14.25" customHeight="1">
      <c r="G5148" s="174" t="s">
        <v>6643</v>
      </c>
      <c r="H5148" s="174" t="s">
        <v>1725</v>
      </c>
      <c r="I5148" s="174" t="str">
        <f t="shared" si="1"/>
        <v>NORDESTE</v>
      </c>
    </row>
    <row r="5149" ht="14.25" customHeight="1">
      <c r="G5149" s="174" t="s">
        <v>6644</v>
      </c>
      <c r="H5149" s="174" t="s">
        <v>1685</v>
      </c>
      <c r="I5149" s="174" t="str">
        <f t="shared" si="1"/>
        <v>NORDESTE</v>
      </c>
    </row>
    <row r="5150" ht="14.25" customHeight="1">
      <c r="G5150" s="174" t="s">
        <v>6645</v>
      </c>
      <c r="H5150" s="174" t="s">
        <v>1685</v>
      </c>
      <c r="I5150" s="174" t="str">
        <f t="shared" si="1"/>
        <v>NORDESTE</v>
      </c>
    </row>
    <row r="5151" ht="14.25" customHeight="1">
      <c r="G5151" s="174" t="s">
        <v>6646</v>
      </c>
      <c r="H5151" s="174" t="s">
        <v>1666</v>
      </c>
      <c r="I5151" s="174" t="str">
        <f t="shared" si="1"/>
        <v>SUDESTE</v>
      </c>
    </row>
    <row r="5152" ht="14.25" customHeight="1">
      <c r="G5152" s="174" t="s">
        <v>6647</v>
      </c>
      <c r="H5152" s="174" t="s">
        <v>1672</v>
      </c>
      <c r="I5152" s="174" t="str">
        <f t="shared" si="1"/>
        <v>NORTE</v>
      </c>
    </row>
    <row r="5153" ht="14.25" customHeight="1">
      <c r="G5153" s="174" t="s">
        <v>6648</v>
      </c>
      <c r="H5153" s="174" t="s">
        <v>1702</v>
      </c>
      <c r="I5153" s="174" t="str">
        <f t="shared" si="1"/>
        <v>SUL</v>
      </c>
    </row>
    <row r="5154" ht="14.25" customHeight="1">
      <c r="G5154" s="174" t="s">
        <v>6648</v>
      </c>
      <c r="H5154" s="174" t="s">
        <v>1742</v>
      </c>
      <c r="I5154" s="174" t="str">
        <f t="shared" si="1"/>
        <v>SUL</v>
      </c>
    </row>
    <row r="5155" ht="14.25" customHeight="1">
      <c r="G5155" s="174" t="s">
        <v>6649</v>
      </c>
      <c r="H5155" s="174" t="s">
        <v>1742</v>
      </c>
      <c r="I5155" s="174" t="str">
        <f t="shared" si="1"/>
        <v>SUL</v>
      </c>
    </row>
    <row r="5156" ht="14.25" customHeight="1">
      <c r="G5156" s="174" t="s">
        <v>6650</v>
      </c>
      <c r="H5156" s="174" t="s">
        <v>1719</v>
      </c>
      <c r="I5156" s="174" t="str">
        <f t="shared" si="1"/>
        <v>NORDESTE</v>
      </c>
    </row>
    <row r="5157" ht="14.25" customHeight="1">
      <c r="G5157" s="174" t="s">
        <v>6650</v>
      </c>
      <c r="H5157" s="174" t="s">
        <v>1685</v>
      </c>
      <c r="I5157" s="174" t="str">
        <f t="shared" si="1"/>
        <v>NORDESTE</v>
      </c>
    </row>
    <row r="5158" ht="14.25" customHeight="1">
      <c r="G5158" s="174" t="s">
        <v>6651</v>
      </c>
      <c r="H5158" s="174" t="s">
        <v>1742</v>
      </c>
      <c r="I5158" s="174" t="str">
        <f t="shared" si="1"/>
        <v>SUL</v>
      </c>
    </row>
    <row r="5159" ht="14.25" customHeight="1">
      <c r="G5159" s="174" t="s">
        <v>6652</v>
      </c>
      <c r="H5159" s="174" t="s">
        <v>1666</v>
      </c>
      <c r="I5159" s="174" t="str">
        <f t="shared" si="1"/>
        <v>SUDESTE</v>
      </c>
    </row>
    <row r="5160" ht="14.25" customHeight="1">
      <c r="G5160" s="174" t="s">
        <v>6652</v>
      </c>
      <c r="H5160" s="174" t="s">
        <v>1702</v>
      </c>
      <c r="I5160" s="174" t="str">
        <f t="shared" si="1"/>
        <v>SUL</v>
      </c>
    </row>
    <row r="5161" ht="14.25" customHeight="1">
      <c r="G5161" s="174" t="s">
        <v>6653</v>
      </c>
      <c r="H5161" s="174" t="s">
        <v>1666</v>
      </c>
      <c r="I5161" s="174" t="str">
        <f t="shared" si="1"/>
        <v>SUDESTE</v>
      </c>
    </row>
    <row r="5162" ht="14.25" customHeight="1">
      <c r="G5162" s="174" t="s">
        <v>6653</v>
      </c>
      <c r="H5162" s="174" t="s">
        <v>1750</v>
      </c>
      <c r="I5162" s="174" t="str">
        <f t="shared" si="1"/>
        <v>SUDESTE</v>
      </c>
    </row>
    <row r="5163" ht="14.25" customHeight="1">
      <c r="G5163" s="174" t="s">
        <v>6654</v>
      </c>
      <c r="H5163" s="174" t="s">
        <v>1685</v>
      </c>
      <c r="I5163" s="174" t="str">
        <f t="shared" si="1"/>
        <v>NORDESTE</v>
      </c>
    </row>
    <row r="5164" ht="14.25" customHeight="1">
      <c r="G5164" s="174" t="s">
        <v>6655</v>
      </c>
      <c r="H5164" s="174" t="s">
        <v>1750</v>
      </c>
      <c r="I5164" s="174" t="str">
        <f t="shared" si="1"/>
        <v>SUDESTE</v>
      </c>
    </row>
    <row r="5165" ht="14.25" customHeight="1">
      <c r="G5165" s="174" t="s">
        <v>6656</v>
      </c>
      <c r="H5165" s="174" t="s">
        <v>1713</v>
      </c>
      <c r="I5165" s="174" t="str">
        <f t="shared" si="1"/>
        <v>CENTRO OESTE</v>
      </c>
    </row>
    <row r="5166" ht="14.25" customHeight="1">
      <c r="G5166" s="174" t="s">
        <v>6657</v>
      </c>
      <c r="H5166" s="174" t="s">
        <v>1742</v>
      </c>
      <c r="I5166" s="174" t="str">
        <f t="shared" si="1"/>
        <v>SUL</v>
      </c>
    </row>
    <row r="5167" ht="14.25" customHeight="1">
      <c r="G5167" s="174" t="s">
        <v>6658</v>
      </c>
      <c r="H5167" s="174" t="s">
        <v>1666</v>
      </c>
      <c r="I5167" s="174" t="str">
        <f t="shared" si="1"/>
        <v>SUDESTE</v>
      </c>
    </row>
    <row r="5168" ht="14.25" customHeight="1">
      <c r="G5168" s="174" t="s">
        <v>6659</v>
      </c>
      <c r="H5168" s="174" t="s">
        <v>1750</v>
      </c>
      <c r="I5168" s="174" t="str">
        <f t="shared" si="1"/>
        <v>SUDESTE</v>
      </c>
    </row>
    <row r="5169" ht="14.25" customHeight="1">
      <c r="G5169" s="174" t="s">
        <v>6660</v>
      </c>
      <c r="H5169" s="174" t="s">
        <v>1658</v>
      </c>
      <c r="I5169" s="174" t="str">
        <f t="shared" si="1"/>
        <v>CENTRO OESTE</v>
      </c>
    </row>
    <row r="5170" ht="14.25" customHeight="1">
      <c r="G5170" s="174" t="s">
        <v>6661</v>
      </c>
      <c r="H5170" s="174" t="s">
        <v>1664</v>
      </c>
      <c r="I5170" s="174" t="str">
        <f t="shared" si="1"/>
        <v>NORDESTE</v>
      </c>
    </row>
    <row r="5171" ht="14.25" customHeight="1">
      <c r="G5171" s="174" t="s">
        <v>6662</v>
      </c>
      <c r="H5171" s="174" t="s">
        <v>1742</v>
      </c>
      <c r="I5171" s="174" t="str">
        <f t="shared" si="1"/>
        <v>SUL</v>
      </c>
    </row>
    <row r="5172" ht="14.25" customHeight="1">
      <c r="G5172" s="174" t="s">
        <v>6663</v>
      </c>
      <c r="H5172" s="174" t="s">
        <v>1750</v>
      </c>
      <c r="I5172" s="174" t="str">
        <f t="shared" si="1"/>
        <v>SUDESTE</v>
      </c>
    </row>
    <row r="5173" ht="14.25" customHeight="1">
      <c r="G5173" s="174" t="s">
        <v>6664</v>
      </c>
      <c r="H5173" s="174" t="s">
        <v>1717</v>
      </c>
      <c r="I5173" s="174" t="str">
        <f t="shared" si="1"/>
        <v>NORDESTE</v>
      </c>
    </row>
    <row r="5174" ht="14.25" customHeight="1">
      <c r="G5174" s="174" t="s">
        <v>6665</v>
      </c>
      <c r="H5174" s="174" t="s">
        <v>1750</v>
      </c>
      <c r="I5174" s="174" t="str">
        <f t="shared" si="1"/>
        <v>SUDESTE</v>
      </c>
    </row>
    <row r="5175" ht="14.25" customHeight="1">
      <c r="G5175" s="174" t="s">
        <v>6666</v>
      </c>
      <c r="H5175" s="174" t="s">
        <v>1750</v>
      </c>
      <c r="I5175" s="174" t="str">
        <f t="shared" si="1"/>
        <v>SUDESTE</v>
      </c>
    </row>
    <row r="5176" ht="14.25" customHeight="1">
      <c r="G5176" s="174" t="s">
        <v>6667</v>
      </c>
      <c r="H5176" s="174" t="s">
        <v>1742</v>
      </c>
      <c r="I5176" s="174" t="str">
        <f t="shared" si="1"/>
        <v>SUL</v>
      </c>
    </row>
    <row r="5177" ht="14.25" customHeight="1">
      <c r="G5177" s="174" t="s">
        <v>6668</v>
      </c>
      <c r="H5177" s="174" t="s">
        <v>1710</v>
      </c>
      <c r="I5177" s="174" t="str">
        <f t="shared" si="1"/>
        <v>CENTRO OESTE</v>
      </c>
    </row>
    <row r="5178" ht="14.25" customHeight="1">
      <c r="G5178" s="174" t="s">
        <v>6669</v>
      </c>
      <c r="H5178" s="174" t="s">
        <v>1750</v>
      </c>
      <c r="I5178" s="174" t="str">
        <f t="shared" si="1"/>
        <v>SUDESTE</v>
      </c>
    </row>
    <row r="5179" ht="14.25" customHeight="1">
      <c r="G5179" s="174" t="s">
        <v>6670</v>
      </c>
      <c r="H5179" s="174" t="s">
        <v>1656</v>
      </c>
      <c r="I5179" s="174" t="str">
        <f t="shared" si="1"/>
        <v>NORTE</v>
      </c>
    </row>
    <row r="5180" ht="14.25" customHeight="1">
      <c r="G5180" s="174" t="s">
        <v>6671</v>
      </c>
      <c r="H5180" s="174" t="s">
        <v>1690</v>
      </c>
      <c r="I5180" s="174" t="str">
        <f t="shared" si="1"/>
        <v>NORDESTE</v>
      </c>
    </row>
    <row r="5181" ht="14.25" customHeight="1">
      <c r="G5181" s="174" t="s">
        <v>6672</v>
      </c>
      <c r="H5181" s="174" t="s">
        <v>1679</v>
      </c>
      <c r="I5181" s="174" t="str">
        <f t="shared" si="1"/>
        <v>NORTE</v>
      </c>
    </row>
    <row r="5182" ht="14.25" customHeight="1">
      <c r="G5182" s="174" t="s">
        <v>6673</v>
      </c>
      <c r="H5182" s="174" t="s">
        <v>1750</v>
      </c>
      <c r="I5182" s="174" t="str">
        <f t="shared" si="1"/>
        <v>SUDESTE</v>
      </c>
    </row>
    <row r="5183" ht="14.25" customHeight="1">
      <c r="G5183" s="174" t="s">
        <v>6674</v>
      </c>
      <c r="H5183" s="174" t="s">
        <v>1666</v>
      </c>
      <c r="I5183" s="174" t="str">
        <f t="shared" si="1"/>
        <v>SUDESTE</v>
      </c>
    </row>
    <row r="5184" ht="14.25" customHeight="1">
      <c r="G5184" s="174" t="s">
        <v>6675</v>
      </c>
      <c r="H5184" s="174" t="s">
        <v>1704</v>
      </c>
      <c r="I5184" s="174" t="str">
        <f t="shared" si="1"/>
        <v>NORDESTE</v>
      </c>
    </row>
    <row r="5185" ht="14.25" customHeight="1">
      <c r="G5185" s="174" t="s">
        <v>6676</v>
      </c>
      <c r="H5185" s="174" t="s">
        <v>1750</v>
      </c>
      <c r="I5185" s="174" t="str">
        <f t="shared" si="1"/>
        <v>SUDESTE</v>
      </c>
    </row>
    <row r="5186" ht="14.25" customHeight="1">
      <c r="G5186" s="174" t="s">
        <v>6677</v>
      </c>
      <c r="H5186" s="174" t="s">
        <v>1690</v>
      </c>
      <c r="I5186" s="174" t="str">
        <f t="shared" si="1"/>
        <v>NORDESTE</v>
      </c>
    </row>
    <row r="5187" ht="14.25" customHeight="1">
      <c r="G5187" s="174" t="s">
        <v>6678</v>
      </c>
      <c r="H5187" s="174" t="s">
        <v>1750</v>
      </c>
      <c r="I5187" s="174" t="str">
        <f t="shared" si="1"/>
        <v>SUDESTE</v>
      </c>
    </row>
    <row r="5188" ht="14.25" customHeight="1">
      <c r="G5188" s="174" t="s">
        <v>6679</v>
      </c>
      <c r="H5188" s="174" t="s">
        <v>1719</v>
      </c>
      <c r="I5188" s="174" t="str">
        <f t="shared" si="1"/>
        <v>NORDESTE</v>
      </c>
    </row>
    <row r="5189" ht="14.25" customHeight="1">
      <c r="G5189" s="174" t="s">
        <v>6679</v>
      </c>
      <c r="H5189" s="174" t="s">
        <v>1742</v>
      </c>
      <c r="I5189" s="174" t="str">
        <f t="shared" si="1"/>
        <v>SUL</v>
      </c>
    </row>
    <row r="5190" ht="14.25" customHeight="1">
      <c r="G5190" s="174" t="s">
        <v>6680</v>
      </c>
      <c r="H5190" s="174" t="s">
        <v>1672</v>
      </c>
      <c r="I5190" s="174" t="str">
        <f t="shared" si="1"/>
        <v>NORTE</v>
      </c>
    </row>
    <row r="5191" ht="14.25" customHeight="1">
      <c r="G5191" s="174" t="s">
        <v>6681</v>
      </c>
      <c r="H5191" s="174" t="s">
        <v>1719</v>
      </c>
      <c r="I5191" s="174" t="str">
        <f t="shared" si="1"/>
        <v>NORDESTE</v>
      </c>
    </row>
    <row r="5192" ht="14.25" customHeight="1">
      <c r="G5192" s="174" t="s">
        <v>6682</v>
      </c>
      <c r="H5192" s="174" t="s">
        <v>1685</v>
      </c>
      <c r="I5192" s="174" t="str">
        <f t="shared" si="1"/>
        <v>NORDESTE</v>
      </c>
    </row>
    <row r="5193" ht="14.25" customHeight="1">
      <c r="G5193" s="174" t="s">
        <v>6683</v>
      </c>
      <c r="H5193" s="174" t="s">
        <v>1702</v>
      </c>
      <c r="I5193" s="174" t="str">
        <f t="shared" si="1"/>
        <v>SUL</v>
      </c>
    </row>
    <row r="5194" ht="14.25" customHeight="1">
      <c r="G5194" s="174" t="s">
        <v>6684</v>
      </c>
      <c r="H5194" s="174" t="s">
        <v>1666</v>
      </c>
      <c r="I5194" s="174" t="str">
        <f t="shared" si="1"/>
        <v>SUDESTE</v>
      </c>
    </row>
    <row r="5195" ht="14.25" customHeight="1">
      <c r="G5195" s="174" t="s">
        <v>6685</v>
      </c>
      <c r="H5195" s="174" t="s">
        <v>1736</v>
      </c>
      <c r="I5195" s="174" t="str">
        <f t="shared" si="1"/>
        <v>NORTE</v>
      </c>
    </row>
    <row r="5196" ht="14.25" customHeight="1">
      <c r="G5196" s="174" t="s">
        <v>6686</v>
      </c>
      <c r="H5196" s="174" t="s">
        <v>1690</v>
      </c>
      <c r="I5196" s="174" t="str">
        <f t="shared" si="1"/>
        <v>NORDESTE</v>
      </c>
    </row>
    <row r="5197" ht="14.25" customHeight="1">
      <c r="G5197" s="174" t="s">
        <v>6687</v>
      </c>
      <c r="H5197" s="174" t="s">
        <v>1750</v>
      </c>
      <c r="I5197" s="174" t="str">
        <f t="shared" si="1"/>
        <v>SUDESTE</v>
      </c>
    </row>
    <row r="5198" ht="14.25" customHeight="1">
      <c r="G5198" s="174" t="s">
        <v>6688</v>
      </c>
      <c r="H5198" s="174" t="s">
        <v>1702</v>
      </c>
      <c r="I5198" s="174" t="str">
        <f t="shared" si="1"/>
        <v>SUL</v>
      </c>
    </row>
    <row r="5199" ht="14.25" customHeight="1">
      <c r="G5199" s="174" t="s">
        <v>6689</v>
      </c>
      <c r="H5199" s="174" t="s">
        <v>1747</v>
      </c>
      <c r="I5199" s="174" t="str">
        <f t="shared" si="1"/>
        <v>NORDESTE</v>
      </c>
    </row>
    <row r="5200" ht="14.25" customHeight="1">
      <c r="G5200" s="174" t="s">
        <v>6690</v>
      </c>
      <c r="H5200" s="174" t="s">
        <v>1733</v>
      </c>
      <c r="I5200" s="174" t="str">
        <f t="shared" si="1"/>
        <v>NORDESTE</v>
      </c>
    </row>
    <row r="5201" ht="14.25" customHeight="1">
      <c r="G5201" s="174" t="s">
        <v>6691</v>
      </c>
      <c r="H5201" s="174" t="s">
        <v>1733</v>
      </c>
      <c r="I5201" s="174" t="str">
        <f t="shared" si="1"/>
        <v>NORDESTE</v>
      </c>
    </row>
    <row r="5202" ht="14.25" customHeight="1">
      <c r="G5202" s="174" t="s">
        <v>6692</v>
      </c>
      <c r="H5202" s="174" t="s">
        <v>1742</v>
      </c>
      <c r="I5202" s="174" t="str">
        <f t="shared" si="1"/>
        <v>SUL</v>
      </c>
    </row>
    <row r="5203" ht="14.25" customHeight="1">
      <c r="G5203" s="174" t="s">
        <v>6693</v>
      </c>
      <c r="H5203" s="174" t="s">
        <v>1719</v>
      </c>
      <c r="I5203" s="174" t="str">
        <f t="shared" si="1"/>
        <v>NORDESTE</v>
      </c>
    </row>
    <row r="5204" ht="14.25" customHeight="1">
      <c r="G5204" s="174" t="s">
        <v>6694</v>
      </c>
      <c r="H5204" s="174" t="s">
        <v>1685</v>
      </c>
      <c r="I5204" s="174" t="str">
        <f t="shared" si="1"/>
        <v>NORDESTE</v>
      </c>
    </row>
    <row r="5205" ht="14.25" customHeight="1">
      <c r="G5205" s="174" t="s">
        <v>6694</v>
      </c>
      <c r="H5205" s="174" t="s">
        <v>1750</v>
      </c>
      <c r="I5205" s="174" t="str">
        <f t="shared" si="1"/>
        <v>SUDESTE</v>
      </c>
    </row>
    <row r="5206" ht="14.25" customHeight="1">
      <c r="G5206" s="174" t="s">
        <v>6695</v>
      </c>
      <c r="H5206" s="174" t="s">
        <v>1685</v>
      </c>
      <c r="I5206" s="174" t="str">
        <f t="shared" si="1"/>
        <v>NORDESTE</v>
      </c>
    </row>
    <row r="5207" ht="14.25" customHeight="1">
      <c r="G5207" s="174" t="s">
        <v>6696</v>
      </c>
      <c r="H5207" s="174" t="s">
        <v>1666</v>
      </c>
      <c r="I5207" s="174" t="str">
        <f t="shared" si="1"/>
        <v>SUDESTE</v>
      </c>
    </row>
    <row r="5208" ht="14.25" customHeight="1">
      <c r="G5208" s="174" t="s">
        <v>6697</v>
      </c>
      <c r="H5208" s="174" t="s">
        <v>1685</v>
      </c>
      <c r="I5208" s="174" t="str">
        <f t="shared" si="1"/>
        <v>NORDESTE</v>
      </c>
    </row>
    <row r="5209" ht="14.25" customHeight="1">
      <c r="G5209" s="174" t="s">
        <v>6698</v>
      </c>
      <c r="H5209" s="174" t="s">
        <v>1664</v>
      </c>
      <c r="I5209" s="174" t="str">
        <f t="shared" si="1"/>
        <v>NORDESTE</v>
      </c>
    </row>
    <row r="5210" ht="14.25" customHeight="1">
      <c r="G5210" s="174" t="s">
        <v>6699</v>
      </c>
      <c r="H5210" s="174" t="s">
        <v>1710</v>
      </c>
      <c r="I5210" s="174" t="str">
        <f t="shared" si="1"/>
        <v>CENTRO OESTE</v>
      </c>
    </row>
    <row r="5211" ht="14.25" customHeight="1">
      <c r="G5211" s="174" t="s">
        <v>6700</v>
      </c>
      <c r="H5211" s="174" t="s">
        <v>1725</v>
      </c>
      <c r="I5211" s="174" t="str">
        <f t="shared" si="1"/>
        <v>NORDESTE</v>
      </c>
    </row>
    <row r="5212" ht="14.25" customHeight="1">
      <c r="G5212" s="174" t="s">
        <v>6701</v>
      </c>
      <c r="H5212" s="174" t="s">
        <v>1658</v>
      </c>
      <c r="I5212" s="174" t="str">
        <f t="shared" si="1"/>
        <v>CENTRO OESTE</v>
      </c>
    </row>
    <row r="5213" ht="14.25" customHeight="1">
      <c r="G5213" s="174" t="s">
        <v>6702</v>
      </c>
      <c r="H5213" s="174" t="s">
        <v>1730</v>
      </c>
      <c r="I5213" s="174" t="str">
        <f t="shared" si="1"/>
        <v>SUDESTE</v>
      </c>
    </row>
    <row r="5214" ht="14.25" customHeight="1">
      <c r="G5214" s="174" t="s">
        <v>6703</v>
      </c>
      <c r="H5214" s="174" t="s">
        <v>1717</v>
      </c>
      <c r="I5214" s="174" t="str">
        <f t="shared" si="1"/>
        <v>NORDESTE</v>
      </c>
    </row>
    <row r="5215" ht="14.25" customHeight="1">
      <c r="G5215" s="174" t="s">
        <v>6704</v>
      </c>
      <c r="H5215" s="174" t="s">
        <v>1658</v>
      </c>
      <c r="I5215" s="174" t="str">
        <f t="shared" si="1"/>
        <v>CENTRO OESTE</v>
      </c>
    </row>
    <row r="5216" ht="14.25" customHeight="1">
      <c r="G5216" s="174" t="s">
        <v>6705</v>
      </c>
      <c r="H5216" s="174" t="s">
        <v>1687</v>
      </c>
      <c r="I5216" s="174" t="str">
        <f t="shared" si="1"/>
        <v>NORTE</v>
      </c>
    </row>
    <row r="5217" ht="14.25" customHeight="1">
      <c r="G5217" s="174" t="s">
        <v>6706</v>
      </c>
      <c r="H5217" s="174" t="s">
        <v>1702</v>
      </c>
      <c r="I5217" s="174" t="str">
        <f t="shared" si="1"/>
        <v>SUL</v>
      </c>
    </row>
    <row r="5218" ht="14.25" customHeight="1">
      <c r="G5218" s="174" t="s">
        <v>6707</v>
      </c>
      <c r="H5218" s="174" t="s">
        <v>1742</v>
      </c>
      <c r="I5218" s="174" t="str">
        <f t="shared" si="1"/>
        <v>SUL</v>
      </c>
    </row>
    <row r="5219" ht="14.25" customHeight="1">
      <c r="G5219" s="174" t="s">
        <v>6708</v>
      </c>
      <c r="H5219" s="174" t="s">
        <v>1717</v>
      </c>
      <c r="I5219" s="174" t="str">
        <f t="shared" si="1"/>
        <v>NORDESTE</v>
      </c>
    </row>
    <row r="5220" ht="14.25" customHeight="1">
      <c r="G5220" s="174" t="s">
        <v>6708</v>
      </c>
      <c r="H5220" s="174" t="s">
        <v>1685</v>
      </c>
      <c r="I5220" s="174" t="str">
        <f t="shared" si="1"/>
        <v>NORDESTE</v>
      </c>
    </row>
    <row r="5221" ht="14.25" customHeight="1">
      <c r="G5221" s="174" t="s">
        <v>6709</v>
      </c>
      <c r="H5221" s="174" t="s">
        <v>1713</v>
      </c>
      <c r="I5221" s="174" t="str">
        <f t="shared" si="1"/>
        <v>CENTRO OESTE</v>
      </c>
    </row>
    <row r="5222" ht="14.25" customHeight="1">
      <c r="G5222" s="174" t="s">
        <v>6710</v>
      </c>
      <c r="H5222" s="174" t="s">
        <v>1702</v>
      </c>
      <c r="I5222" s="174" t="str">
        <f t="shared" si="1"/>
        <v>SUL</v>
      </c>
    </row>
    <row r="5223" ht="14.25" customHeight="1">
      <c r="G5223" s="174" t="s">
        <v>6711</v>
      </c>
      <c r="H5223" s="174" t="s">
        <v>1750</v>
      </c>
      <c r="I5223" s="174" t="str">
        <f t="shared" si="1"/>
        <v>SUDESTE</v>
      </c>
    </row>
    <row r="5224" ht="14.25" customHeight="1">
      <c r="G5224" s="174" t="s">
        <v>6711</v>
      </c>
      <c r="H5224" s="174" t="s">
        <v>1702</v>
      </c>
      <c r="I5224" s="174" t="str">
        <f t="shared" si="1"/>
        <v>SUL</v>
      </c>
    </row>
    <row r="5225" ht="14.25" customHeight="1">
      <c r="G5225" s="174" t="s">
        <v>6712</v>
      </c>
      <c r="H5225" s="174" t="s">
        <v>1687</v>
      </c>
      <c r="I5225" s="174" t="str">
        <f t="shared" si="1"/>
        <v>NORTE</v>
      </c>
    </row>
    <row r="5226" ht="14.25" customHeight="1">
      <c r="G5226" s="174" t="s">
        <v>6713</v>
      </c>
      <c r="H5226" s="174" t="s">
        <v>1713</v>
      </c>
      <c r="I5226" s="174" t="str">
        <f t="shared" si="1"/>
        <v>CENTRO OESTE</v>
      </c>
    </row>
    <row r="5227" ht="14.25" customHeight="1">
      <c r="G5227" s="174" t="s">
        <v>6714</v>
      </c>
      <c r="H5227" s="174" t="s">
        <v>1742</v>
      </c>
      <c r="I5227" s="174" t="str">
        <f t="shared" si="1"/>
        <v>SUL</v>
      </c>
    </row>
    <row r="5228" ht="14.25" customHeight="1">
      <c r="G5228" s="174" t="s">
        <v>6715</v>
      </c>
      <c r="H5228" s="174" t="s">
        <v>1736</v>
      </c>
      <c r="I5228" s="174" t="str">
        <f t="shared" si="1"/>
        <v>NORTE</v>
      </c>
    </row>
    <row r="5229" ht="14.25" customHeight="1">
      <c r="G5229" s="174" t="s">
        <v>6716</v>
      </c>
      <c r="H5229" s="174" t="s">
        <v>1690</v>
      </c>
      <c r="I5229" s="174" t="str">
        <f t="shared" si="1"/>
        <v>NORDESTE</v>
      </c>
    </row>
    <row r="5230" ht="14.25" customHeight="1">
      <c r="G5230" s="174" t="s">
        <v>6717</v>
      </c>
      <c r="H5230" s="174" t="s">
        <v>1702</v>
      </c>
      <c r="I5230" s="174" t="str">
        <f t="shared" si="1"/>
        <v>SUL</v>
      </c>
    </row>
    <row r="5231" ht="14.25" customHeight="1">
      <c r="G5231" s="174" t="s">
        <v>6718</v>
      </c>
      <c r="H5231" s="174" t="s">
        <v>1733</v>
      </c>
      <c r="I5231" s="174" t="str">
        <f t="shared" si="1"/>
        <v>NORDESTE</v>
      </c>
    </row>
    <row r="5232" ht="14.25" customHeight="1">
      <c r="G5232" s="174" t="s">
        <v>6719</v>
      </c>
      <c r="H5232" s="174" t="s">
        <v>1733</v>
      </c>
      <c r="I5232" s="174" t="str">
        <f t="shared" si="1"/>
        <v>NORDESTE</v>
      </c>
    </row>
    <row r="5233" ht="14.25" customHeight="1">
      <c r="G5233" s="174" t="s">
        <v>6720</v>
      </c>
      <c r="H5233" s="174" t="s">
        <v>1750</v>
      </c>
      <c r="I5233" s="174" t="str">
        <f t="shared" si="1"/>
        <v>SUDESTE</v>
      </c>
    </row>
    <row r="5234" ht="14.25" customHeight="1">
      <c r="G5234" s="174" t="s">
        <v>6721</v>
      </c>
      <c r="H5234" s="174" t="s">
        <v>1706</v>
      </c>
      <c r="I5234" s="174" t="str">
        <f t="shared" si="1"/>
        <v>SUL</v>
      </c>
    </row>
    <row r="5235" ht="14.25" customHeight="1">
      <c r="G5235" s="174" t="s">
        <v>6722</v>
      </c>
      <c r="H5235" s="174" t="s">
        <v>1706</v>
      </c>
      <c r="I5235" s="174" t="str">
        <f t="shared" si="1"/>
        <v>SUL</v>
      </c>
    </row>
    <row r="5236" ht="14.25" customHeight="1">
      <c r="G5236" s="174" t="s">
        <v>6723</v>
      </c>
      <c r="H5236" s="174" t="s">
        <v>1702</v>
      </c>
      <c r="I5236" s="174" t="str">
        <f t="shared" si="1"/>
        <v>SUL</v>
      </c>
    </row>
    <row r="5237" ht="14.25" customHeight="1">
      <c r="G5237" s="174" t="s">
        <v>6724</v>
      </c>
      <c r="H5237" s="174" t="s">
        <v>1717</v>
      </c>
      <c r="I5237" s="174" t="str">
        <f t="shared" si="1"/>
        <v>NORDESTE</v>
      </c>
    </row>
    <row r="5238" ht="14.25" customHeight="1">
      <c r="G5238" s="174" t="s">
        <v>6725</v>
      </c>
      <c r="H5238" s="174" t="s">
        <v>1733</v>
      </c>
      <c r="I5238" s="174" t="str">
        <f t="shared" si="1"/>
        <v>NORDESTE</v>
      </c>
    </row>
    <row r="5239" ht="14.25" customHeight="1">
      <c r="G5239" s="174" t="s">
        <v>6726</v>
      </c>
      <c r="H5239" s="174" t="s">
        <v>1706</v>
      </c>
      <c r="I5239" s="174" t="str">
        <f t="shared" si="1"/>
        <v>SUL</v>
      </c>
    </row>
    <row r="5240" ht="14.25" customHeight="1">
      <c r="G5240" s="174" t="s">
        <v>6727</v>
      </c>
      <c r="H5240" s="174" t="s">
        <v>1704</v>
      </c>
      <c r="I5240" s="174" t="str">
        <f t="shared" si="1"/>
        <v>NORDESTE</v>
      </c>
    </row>
    <row r="5241" ht="14.25" customHeight="1">
      <c r="G5241" s="174" t="s">
        <v>6728</v>
      </c>
      <c r="H5241" s="174" t="s">
        <v>1706</v>
      </c>
      <c r="I5241" s="174" t="str">
        <f t="shared" si="1"/>
        <v>SUL</v>
      </c>
    </row>
    <row r="5242" ht="14.25" customHeight="1">
      <c r="G5242" s="174" t="s">
        <v>6729</v>
      </c>
      <c r="H5242" s="174" t="s">
        <v>1706</v>
      </c>
      <c r="I5242" s="174" t="str">
        <f t="shared" si="1"/>
        <v>SUL</v>
      </c>
    </row>
    <row r="5243" ht="14.25" customHeight="1">
      <c r="G5243" s="174" t="s">
        <v>6730</v>
      </c>
      <c r="H5243" s="174" t="s">
        <v>1750</v>
      </c>
      <c r="I5243" s="174" t="str">
        <f t="shared" si="1"/>
        <v>SUDESTE</v>
      </c>
    </row>
    <row r="5244" ht="14.25" customHeight="1">
      <c r="G5244" s="174" t="s">
        <v>6731</v>
      </c>
      <c r="H5244" s="174" t="s">
        <v>1704</v>
      </c>
      <c r="I5244" s="174" t="str">
        <f t="shared" si="1"/>
        <v>NORDESTE</v>
      </c>
    </row>
    <row r="5245" ht="14.25" customHeight="1">
      <c r="G5245" s="174" t="s">
        <v>6732</v>
      </c>
      <c r="H5245" s="174" t="s">
        <v>1666</v>
      </c>
      <c r="I5245" s="174" t="str">
        <f t="shared" si="1"/>
        <v>SUDESTE</v>
      </c>
    </row>
    <row r="5246" ht="14.25" customHeight="1">
      <c r="G5246" s="174" t="s">
        <v>6733</v>
      </c>
      <c r="H5246" s="174" t="s">
        <v>1742</v>
      </c>
      <c r="I5246" s="174" t="str">
        <f t="shared" si="1"/>
        <v>SUL</v>
      </c>
    </row>
    <row r="5247" ht="14.25" customHeight="1">
      <c r="G5247" s="174" t="s">
        <v>6734</v>
      </c>
      <c r="H5247" s="174" t="s">
        <v>1666</v>
      </c>
      <c r="I5247" s="174" t="str">
        <f t="shared" si="1"/>
        <v>SUDESTE</v>
      </c>
    </row>
    <row r="5248" ht="14.25" customHeight="1">
      <c r="G5248" s="174" t="s">
        <v>6735</v>
      </c>
      <c r="H5248" s="174" t="s">
        <v>1742</v>
      </c>
      <c r="I5248" s="174" t="str">
        <f t="shared" si="1"/>
        <v>SUL</v>
      </c>
    </row>
    <row r="5249" ht="14.25" customHeight="1">
      <c r="G5249" s="174" t="s">
        <v>6736</v>
      </c>
      <c r="H5249" s="174" t="s">
        <v>1666</v>
      </c>
      <c r="I5249" s="174" t="str">
        <f t="shared" si="1"/>
        <v>SUDESTE</v>
      </c>
    </row>
    <row r="5250" ht="14.25" customHeight="1">
      <c r="G5250" s="174" t="s">
        <v>6737</v>
      </c>
      <c r="H5250" s="174" t="s">
        <v>1747</v>
      </c>
      <c r="I5250" s="174" t="str">
        <f t="shared" si="1"/>
        <v>NORDESTE</v>
      </c>
    </row>
    <row r="5251" ht="14.25" customHeight="1">
      <c r="G5251" s="174" t="s">
        <v>6738</v>
      </c>
      <c r="H5251" s="174" t="s">
        <v>1721</v>
      </c>
      <c r="I5251" s="174" t="str">
        <f t="shared" si="1"/>
        <v>NORTE</v>
      </c>
    </row>
    <row r="5252" ht="14.25" customHeight="1">
      <c r="G5252" s="174" t="s">
        <v>6739</v>
      </c>
      <c r="H5252" s="174" t="s">
        <v>1721</v>
      </c>
      <c r="I5252" s="174" t="str">
        <f t="shared" si="1"/>
        <v>NORTE</v>
      </c>
    </row>
    <row r="5253" ht="14.25" customHeight="1">
      <c r="G5253" s="174" t="s">
        <v>6740</v>
      </c>
      <c r="H5253" s="174" t="s">
        <v>1666</v>
      </c>
      <c r="I5253" s="174" t="str">
        <f t="shared" si="1"/>
        <v>SUDESTE</v>
      </c>
    </row>
    <row r="5254" ht="14.25" customHeight="1">
      <c r="G5254" s="174" t="s">
        <v>6741</v>
      </c>
      <c r="H5254" s="174" t="s">
        <v>1666</v>
      </c>
      <c r="I5254" s="174" t="str">
        <f t="shared" si="1"/>
        <v>SUDESTE</v>
      </c>
    </row>
    <row r="5255" ht="14.25" customHeight="1">
      <c r="G5255" s="174" t="s">
        <v>6742</v>
      </c>
      <c r="H5255" s="174" t="s">
        <v>1666</v>
      </c>
      <c r="I5255" s="174" t="str">
        <f t="shared" si="1"/>
        <v>SUDESTE</v>
      </c>
    </row>
    <row r="5256" ht="14.25" customHeight="1">
      <c r="G5256" s="174" t="s">
        <v>6742</v>
      </c>
      <c r="H5256" s="174" t="s">
        <v>1702</v>
      </c>
      <c r="I5256" s="174" t="str">
        <f t="shared" si="1"/>
        <v>SUL</v>
      </c>
    </row>
    <row r="5257" ht="14.25" customHeight="1">
      <c r="G5257" s="174" t="s">
        <v>6743</v>
      </c>
      <c r="H5257" s="174" t="s">
        <v>1747</v>
      </c>
      <c r="I5257" s="174" t="str">
        <f t="shared" si="1"/>
        <v>NORDESTE</v>
      </c>
    </row>
    <row r="5258" ht="14.25" customHeight="1">
      <c r="G5258" s="174" t="s">
        <v>6744</v>
      </c>
      <c r="H5258" s="174" t="s">
        <v>1702</v>
      </c>
      <c r="I5258" s="174" t="str">
        <f t="shared" si="1"/>
        <v>SUL</v>
      </c>
    </row>
    <row r="5259" ht="14.25" customHeight="1">
      <c r="G5259" s="174" t="s">
        <v>6745</v>
      </c>
      <c r="H5259" s="174" t="s">
        <v>1666</v>
      </c>
      <c r="I5259" s="174" t="str">
        <f t="shared" si="1"/>
        <v>SUDESTE</v>
      </c>
    </row>
    <row r="5260" ht="14.25" customHeight="1">
      <c r="G5260" s="174" t="s">
        <v>6746</v>
      </c>
      <c r="H5260" s="174" t="s">
        <v>1687</v>
      </c>
      <c r="I5260" s="174" t="str">
        <f t="shared" si="1"/>
        <v>NORTE</v>
      </c>
    </row>
    <row r="5261" ht="14.25" customHeight="1">
      <c r="G5261" s="174" t="s">
        <v>6747</v>
      </c>
      <c r="H5261" s="174" t="s">
        <v>1672</v>
      </c>
      <c r="I5261" s="174" t="str">
        <f t="shared" si="1"/>
        <v>NORTE</v>
      </c>
    </row>
    <row r="5262" ht="14.25" customHeight="1">
      <c r="G5262" s="174" t="s">
        <v>6748</v>
      </c>
      <c r="H5262" s="174" t="s">
        <v>1717</v>
      </c>
      <c r="I5262" s="174" t="str">
        <f t="shared" si="1"/>
        <v>NORDESTE</v>
      </c>
    </row>
    <row r="5263" ht="14.25" customHeight="1">
      <c r="G5263" s="174" t="s">
        <v>6749</v>
      </c>
      <c r="H5263" s="174" t="s">
        <v>1713</v>
      </c>
      <c r="I5263" s="174" t="str">
        <f t="shared" si="1"/>
        <v>CENTRO OESTE</v>
      </c>
    </row>
    <row r="5264" ht="14.25" customHeight="1">
      <c r="G5264" s="174" t="s">
        <v>6750</v>
      </c>
      <c r="H5264" s="174" t="s">
        <v>1742</v>
      </c>
      <c r="I5264" s="174" t="str">
        <f t="shared" si="1"/>
        <v>SUL</v>
      </c>
    </row>
    <row r="5265" ht="14.25" customHeight="1">
      <c r="G5265" s="174" t="s">
        <v>6751</v>
      </c>
      <c r="H5265" s="174" t="s">
        <v>1750</v>
      </c>
      <c r="I5265" s="174" t="str">
        <f t="shared" si="1"/>
        <v>SUDESTE</v>
      </c>
    </row>
    <row r="5266" ht="14.25" customHeight="1">
      <c r="G5266" s="174" t="s">
        <v>6752</v>
      </c>
      <c r="H5266" s="174" t="s">
        <v>1742</v>
      </c>
      <c r="I5266" s="174" t="str">
        <f t="shared" si="1"/>
        <v>SUL</v>
      </c>
    </row>
    <row r="5267" ht="14.25" customHeight="1">
      <c r="G5267" s="174" t="s">
        <v>6753</v>
      </c>
      <c r="H5267" s="174" t="s">
        <v>1750</v>
      </c>
      <c r="I5267" s="174" t="str">
        <f t="shared" si="1"/>
        <v>SUDESTE</v>
      </c>
    </row>
    <row r="5268" ht="14.25" customHeight="1">
      <c r="G5268" s="174" t="s">
        <v>6754</v>
      </c>
      <c r="H5268" s="174" t="s">
        <v>1733</v>
      </c>
      <c r="I5268" s="174" t="str">
        <f t="shared" si="1"/>
        <v>NORDESTE</v>
      </c>
    </row>
    <row r="5269" ht="14.25" customHeight="1">
      <c r="G5269" s="174" t="s">
        <v>6755</v>
      </c>
      <c r="H5269" s="174" t="s">
        <v>1750</v>
      </c>
      <c r="I5269" s="174" t="str">
        <f t="shared" si="1"/>
        <v>SUDESTE</v>
      </c>
    </row>
    <row r="5270" ht="14.25" customHeight="1">
      <c r="G5270" s="174" t="s">
        <v>6756</v>
      </c>
      <c r="H5270" s="174" t="s">
        <v>1687</v>
      </c>
      <c r="I5270" s="174" t="str">
        <f t="shared" si="1"/>
        <v>NORTE</v>
      </c>
    </row>
    <row r="5271" ht="14.25" customHeight="1">
      <c r="G5271" s="174" t="s">
        <v>6757</v>
      </c>
      <c r="H5271" s="174" t="s">
        <v>1717</v>
      </c>
      <c r="I5271" s="174" t="str">
        <f t="shared" si="1"/>
        <v>NORDESTE</v>
      </c>
    </row>
    <row r="5272" ht="14.25" customHeight="1">
      <c r="G5272" s="174" t="s">
        <v>6758</v>
      </c>
      <c r="H5272" s="174" t="s">
        <v>1664</v>
      </c>
      <c r="I5272" s="174" t="str">
        <f t="shared" si="1"/>
        <v>NORDESTE</v>
      </c>
    </row>
    <row r="5273" ht="14.25" customHeight="1">
      <c r="G5273" s="174" t="s">
        <v>6759</v>
      </c>
      <c r="H5273" s="174" t="s">
        <v>1687</v>
      </c>
      <c r="I5273" s="174" t="str">
        <f t="shared" si="1"/>
        <v>NORTE</v>
      </c>
    </row>
    <row r="5274" ht="14.25" customHeight="1">
      <c r="G5274" s="174" t="s">
        <v>6760</v>
      </c>
      <c r="H5274" s="174" t="s">
        <v>1690</v>
      </c>
      <c r="I5274" s="174" t="str">
        <f t="shared" si="1"/>
        <v>NORDESTE</v>
      </c>
    </row>
    <row r="5275" ht="14.25" customHeight="1">
      <c r="G5275" s="174" t="s">
        <v>6761</v>
      </c>
      <c r="H5275" s="174" t="s">
        <v>1730</v>
      </c>
      <c r="I5275" s="174" t="str">
        <f t="shared" si="1"/>
        <v>SUDESTE</v>
      </c>
    </row>
    <row r="5276" ht="14.25" customHeight="1">
      <c r="G5276" s="174" t="s">
        <v>6762</v>
      </c>
      <c r="H5276" s="174" t="s">
        <v>1742</v>
      </c>
      <c r="I5276" s="174" t="str">
        <f t="shared" si="1"/>
        <v>SUL</v>
      </c>
    </row>
    <row r="5277" ht="14.25" customHeight="1">
      <c r="G5277" s="174" t="s">
        <v>6763</v>
      </c>
      <c r="H5277" s="174" t="s">
        <v>1742</v>
      </c>
      <c r="I5277" s="174" t="str">
        <f t="shared" si="1"/>
        <v>SUL</v>
      </c>
    </row>
    <row r="5278" ht="14.25" customHeight="1">
      <c r="G5278" s="174" t="s">
        <v>6764</v>
      </c>
      <c r="H5278" s="174" t="s">
        <v>1685</v>
      </c>
      <c r="I5278" s="174" t="str">
        <f t="shared" si="1"/>
        <v>NORDESTE</v>
      </c>
    </row>
    <row r="5279" ht="14.25" customHeight="1">
      <c r="G5279" s="174" t="s">
        <v>6765</v>
      </c>
      <c r="H5279" s="174" t="s">
        <v>1750</v>
      </c>
      <c r="I5279" s="174" t="str">
        <f t="shared" si="1"/>
        <v>SUDESTE</v>
      </c>
    </row>
    <row r="5280" ht="14.25" customHeight="1">
      <c r="G5280" s="174" t="s">
        <v>6766</v>
      </c>
      <c r="H5280" s="174" t="s">
        <v>1742</v>
      </c>
      <c r="I5280" s="174" t="str">
        <f t="shared" si="1"/>
        <v>SUL</v>
      </c>
    </row>
    <row r="5281" ht="14.25" customHeight="1">
      <c r="G5281" s="174" t="s">
        <v>6767</v>
      </c>
      <c r="H5281" s="174" t="s">
        <v>1706</v>
      </c>
      <c r="I5281" s="174" t="str">
        <f t="shared" si="1"/>
        <v>SUL</v>
      </c>
    </row>
    <row r="5282" ht="14.25" customHeight="1">
      <c r="G5282" s="174" t="s">
        <v>6768</v>
      </c>
      <c r="H5282" s="174" t="s">
        <v>1702</v>
      </c>
      <c r="I5282" s="174" t="str">
        <f t="shared" si="1"/>
        <v>SUL</v>
      </c>
    </row>
    <row r="5283" ht="14.25" customHeight="1">
      <c r="G5283" s="174" t="s">
        <v>6769</v>
      </c>
      <c r="H5283" s="174" t="s">
        <v>1742</v>
      </c>
      <c r="I5283" s="174" t="str">
        <f t="shared" si="1"/>
        <v>SUL</v>
      </c>
    </row>
    <row r="5284" ht="14.25" customHeight="1">
      <c r="G5284" s="174" t="s">
        <v>6770</v>
      </c>
      <c r="H5284" s="174" t="s">
        <v>1666</v>
      </c>
      <c r="I5284" s="174" t="str">
        <f t="shared" si="1"/>
        <v>SUDESTE</v>
      </c>
    </row>
    <row r="5285" ht="14.25" customHeight="1">
      <c r="G5285" s="174" t="s">
        <v>6771</v>
      </c>
      <c r="H5285" s="174" t="s">
        <v>1742</v>
      </c>
      <c r="I5285" s="174" t="str">
        <f t="shared" si="1"/>
        <v>SUL</v>
      </c>
    </row>
    <row r="5286" ht="14.25" customHeight="1">
      <c r="G5286" s="174" t="s">
        <v>6772</v>
      </c>
      <c r="H5286" s="174" t="s">
        <v>1742</v>
      </c>
      <c r="I5286" s="174" t="str">
        <f t="shared" si="1"/>
        <v>SUL</v>
      </c>
    </row>
    <row r="5287" ht="14.25" customHeight="1">
      <c r="G5287" s="174" t="s">
        <v>6773</v>
      </c>
      <c r="H5287" s="174" t="s">
        <v>1742</v>
      </c>
      <c r="I5287" s="174" t="str">
        <f t="shared" si="1"/>
        <v>SUL</v>
      </c>
    </row>
    <row r="5288" ht="14.25" customHeight="1">
      <c r="G5288" s="174" t="s">
        <v>6774</v>
      </c>
      <c r="H5288" s="174" t="s">
        <v>1750</v>
      </c>
      <c r="I5288" s="174" t="str">
        <f t="shared" si="1"/>
        <v>SUDESTE</v>
      </c>
    </row>
    <row r="5289" ht="14.25" customHeight="1">
      <c r="G5289" s="174" t="s">
        <v>6775</v>
      </c>
      <c r="H5289" s="174" t="s">
        <v>1710</v>
      </c>
      <c r="I5289" s="174" t="str">
        <f t="shared" si="1"/>
        <v>CENTRO OESTE</v>
      </c>
    </row>
    <row r="5290" ht="14.25" customHeight="1">
      <c r="G5290" s="174" t="s">
        <v>6776</v>
      </c>
      <c r="H5290" s="174" t="s">
        <v>1666</v>
      </c>
      <c r="I5290" s="174" t="str">
        <f t="shared" si="1"/>
        <v>SUDESTE</v>
      </c>
    </row>
    <row r="5291" ht="14.25" customHeight="1">
      <c r="G5291" s="174" t="s">
        <v>6777</v>
      </c>
      <c r="H5291" s="174" t="s">
        <v>1742</v>
      </c>
      <c r="I5291" s="174" t="str">
        <f t="shared" si="1"/>
        <v>SUL</v>
      </c>
    </row>
    <row r="5292" ht="14.25" customHeight="1">
      <c r="G5292" s="174" t="s">
        <v>6778</v>
      </c>
      <c r="H5292" s="174" t="s">
        <v>1742</v>
      </c>
      <c r="I5292" s="174" t="str">
        <f t="shared" si="1"/>
        <v>SUL</v>
      </c>
    </row>
    <row r="5293" ht="14.25" customHeight="1">
      <c r="G5293" s="174" t="s">
        <v>6779</v>
      </c>
      <c r="H5293" s="174" t="s">
        <v>1666</v>
      </c>
      <c r="I5293" s="174" t="str">
        <f t="shared" si="1"/>
        <v>SUDESTE</v>
      </c>
    </row>
    <row r="5294" ht="14.25" customHeight="1">
      <c r="G5294" s="174" t="s">
        <v>6780</v>
      </c>
      <c r="H5294" s="174" t="s">
        <v>1658</v>
      </c>
      <c r="I5294" s="174" t="str">
        <f t="shared" si="1"/>
        <v>CENTRO OESTE</v>
      </c>
    </row>
    <row r="5295" ht="14.25" customHeight="1">
      <c r="G5295" s="174" t="s">
        <v>6781</v>
      </c>
      <c r="H5295" s="174" t="s">
        <v>1730</v>
      </c>
      <c r="I5295" s="174" t="str">
        <f t="shared" si="1"/>
        <v>SUDESTE</v>
      </c>
    </row>
    <row r="5296" ht="14.25" customHeight="1">
      <c r="G5296" s="174" t="s">
        <v>6782</v>
      </c>
      <c r="H5296" s="174" t="s">
        <v>1706</v>
      </c>
      <c r="I5296" s="174" t="str">
        <f t="shared" si="1"/>
        <v>SUL</v>
      </c>
    </row>
    <row r="5297" ht="14.25" customHeight="1">
      <c r="G5297" s="174" t="s">
        <v>6783</v>
      </c>
      <c r="H5297" s="174" t="s">
        <v>1706</v>
      </c>
      <c r="I5297" s="174" t="str">
        <f t="shared" si="1"/>
        <v>SUL</v>
      </c>
    </row>
    <row r="5298" ht="14.25" customHeight="1">
      <c r="G5298" s="174" t="s">
        <v>6784</v>
      </c>
      <c r="H5298" s="174" t="s">
        <v>1706</v>
      </c>
      <c r="I5298" s="174" t="str">
        <f t="shared" si="1"/>
        <v>SUL</v>
      </c>
    </row>
    <row r="5299" ht="14.25" customHeight="1">
      <c r="G5299" s="174" t="s">
        <v>6785</v>
      </c>
      <c r="H5299" s="174" t="s">
        <v>1717</v>
      </c>
      <c r="I5299" s="174" t="str">
        <f t="shared" si="1"/>
        <v>NORDESTE</v>
      </c>
    </row>
    <row r="5300" ht="14.25" customHeight="1">
      <c r="G5300" s="174" t="s">
        <v>6785</v>
      </c>
      <c r="H5300" s="174" t="s">
        <v>1658</v>
      </c>
      <c r="I5300" s="174" t="str">
        <f t="shared" si="1"/>
        <v>CENTRO OESTE</v>
      </c>
    </row>
    <row r="5301" ht="14.25" customHeight="1">
      <c r="G5301" s="174" t="s">
        <v>6786</v>
      </c>
      <c r="H5301" s="174" t="s">
        <v>1742</v>
      </c>
      <c r="I5301" s="174" t="str">
        <f t="shared" si="1"/>
        <v>SUL</v>
      </c>
    </row>
    <row r="5302" ht="14.25" customHeight="1">
      <c r="G5302" s="174" t="s">
        <v>6787</v>
      </c>
      <c r="H5302" s="174" t="s">
        <v>1719</v>
      </c>
      <c r="I5302" s="174" t="str">
        <f t="shared" si="1"/>
        <v>NORDESTE</v>
      </c>
    </row>
    <row r="5303" ht="14.25" customHeight="1">
      <c r="G5303" s="174" t="s">
        <v>6787</v>
      </c>
      <c r="H5303" s="174" t="s">
        <v>1717</v>
      </c>
      <c r="I5303" s="174" t="str">
        <f t="shared" si="1"/>
        <v>NORDESTE</v>
      </c>
    </row>
    <row r="5304" ht="14.25" customHeight="1">
      <c r="G5304" s="174" t="s">
        <v>6787</v>
      </c>
      <c r="H5304" s="174" t="s">
        <v>1742</v>
      </c>
      <c r="I5304" s="174" t="str">
        <f t="shared" si="1"/>
        <v>SUL</v>
      </c>
    </row>
    <row r="5305" ht="14.25" customHeight="1">
      <c r="G5305" s="174" t="s">
        <v>6788</v>
      </c>
      <c r="H5305" s="174" t="s">
        <v>1733</v>
      </c>
      <c r="I5305" s="174" t="str">
        <f t="shared" si="1"/>
        <v>NORDESTE</v>
      </c>
    </row>
    <row r="5306" ht="14.25" customHeight="1">
      <c r="G5306" s="174" t="s">
        <v>6789</v>
      </c>
      <c r="H5306" s="174" t="s">
        <v>1704</v>
      </c>
      <c r="I5306" s="174" t="str">
        <f t="shared" si="1"/>
        <v>NORDESTE</v>
      </c>
    </row>
    <row r="5307" ht="14.25" customHeight="1">
      <c r="G5307" s="174" t="s">
        <v>6790</v>
      </c>
      <c r="H5307" s="174" t="s">
        <v>1658</v>
      </c>
      <c r="I5307" s="174" t="str">
        <f t="shared" si="1"/>
        <v>CENTRO OESTE</v>
      </c>
    </row>
    <row r="5308" ht="14.25" customHeight="1">
      <c r="G5308" s="174" t="s">
        <v>6791</v>
      </c>
      <c r="H5308" s="174" t="s">
        <v>1706</v>
      </c>
      <c r="I5308" s="174" t="str">
        <f t="shared" si="1"/>
        <v>SUL</v>
      </c>
    </row>
    <row r="5309" ht="14.25" customHeight="1">
      <c r="G5309" s="174" t="s">
        <v>6792</v>
      </c>
      <c r="H5309" s="174" t="s">
        <v>1706</v>
      </c>
      <c r="I5309" s="174" t="str">
        <f t="shared" si="1"/>
        <v>SUL</v>
      </c>
    </row>
    <row r="5310" ht="14.25" customHeight="1">
      <c r="G5310" s="174" t="s">
        <v>6793</v>
      </c>
      <c r="H5310" s="174" t="s">
        <v>1685</v>
      </c>
      <c r="I5310" s="174" t="str">
        <f t="shared" si="1"/>
        <v>NORDESTE</v>
      </c>
    </row>
    <row r="5311" ht="14.25" customHeight="1">
      <c r="G5311" s="174" t="s">
        <v>6794</v>
      </c>
      <c r="H5311" s="174" t="s">
        <v>1687</v>
      </c>
      <c r="I5311" s="174" t="str">
        <f t="shared" si="1"/>
        <v>NORTE</v>
      </c>
    </row>
    <row r="5312" ht="14.25" customHeight="1">
      <c r="G5312" s="174" t="s">
        <v>6795</v>
      </c>
      <c r="H5312" s="174" t="s">
        <v>1742</v>
      </c>
      <c r="I5312" s="174" t="str">
        <f t="shared" si="1"/>
        <v>SUL</v>
      </c>
    </row>
    <row r="5313" ht="14.25" customHeight="1">
      <c r="G5313" s="174" t="s">
        <v>6796</v>
      </c>
      <c r="H5313" s="174" t="s">
        <v>1687</v>
      </c>
      <c r="I5313" s="174" t="str">
        <f t="shared" si="1"/>
        <v>NORTE</v>
      </c>
    </row>
    <row r="5314" ht="14.25" customHeight="1">
      <c r="G5314" s="174" t="s">
        <v>6797</v>
      </c>
      <c r="H5314" s="174" t="s">
        <v>1704</v>
      </c>
      <c r="I5314" s="174" t="str">
        <f t="shared" si="1"/>
        <v>NORDESTE</v>
      </c>
    </row>
    <row r="5315" ht="14.25" customHeight="1">
      <c r="G5315" s="174" t="s">
        <v>6798</v>
      </c>
      <c r="H5315" s="174" t="s">
        <v>1750</v>
      </c>
      <c r="I5315" s="174" t="str">
        <f t="shared" si="1"/>
        <v>SUDESTE</v>
      </c>
    </row>
    <row r="5316" ht="14.25" customHeight="1">
      <c r="G5316" s="174" t="s">
        <v>6799</v>
      </c>
      <c r="H5316" s="174" t="s">
        <v>1666</v>
      </c>
      <c r="I5316" s="174" t="str">
        <f t="shared" si="1"/>
        <v>SUDESTE</v>
      </c>
    </row>
    <row r="5317" ht="14.25" customHeight="1">
      <c r="G5317" s="174" t="s">
        <v>6800</v>
      </c>
      <c r="H5317" s="174" t="s">
        <v>1706</v>
      </c>
      <c r="I5317" s="174" t="str">
        <f t="shared" si="1"/>
        <v>SUL</v>
      </c>
    </row>
    <row r="5318" ht="14.25" customHeight="1">
      <c r="G5318" s="174" t="s">
        <v>6801</v>
      </c>
      <c r="H5318" s="174" t="s">
        <v>1742</v>
      </c>
      <c r="I5318" s="174" t="str">
        <f t="shared" si="1"/>
        <v>SUL</v>
      </c>
    </row>
    <row r="5319" ht="14.25" customHeight="1">
      <c r="G5319" s="174" t="s">
        <v>6802</v>
      </c>
      <c r="H5319" s="174" t="s">
        <v>1702</v>
      </c>
      <c r="I5319" s="174" t="str">
        <f t="shared" si="1"/>
        <v>SUL</v>
      </c>
    </row>
    <row r="5320" ht="14.25" customHeight="1">
      <c r="G5320" s="174" t="s">
        <v>6803</v>
      </c>
      <c r="H5320" s="174" t="s">
        <v>1702</v>
      </c>
      <c r="I5320" s="174" t="str">
        <f t="shared" si="1"/>
        <v>SUL</v>
      </c>
    </row>
    <row r="5321" ht="14.25" customHeight="1">
      <c r="G5321" s="174" t="s">
        <v>6804</v>
      </c>
      <c r="H5321" s="174" t="s">
        <v>1704</v>
      </c>
      <c r="I5321" s="174" t="str">
        <f t="shared" si="1"/>
        <v>NORDESTE</v>
      </c>
    </row>
    <row r="5322" ht="14.25" customHeight="1">
      <c r="G5322" s="174" t="s">
        <v>6805</v>
      </c>
      <c r="H5322" s="174" t="s">
        <v>1750</v>
      </c>
      <c r="I5322" s="174" t="str">
        <f t="shared" si="1"/>
        <v>SUDESTE</v>
      </c>
    </row>
    <row r="5323" ht="14.25" customHeight="1">
      <c r="G5323" s="174" t="s">
        <v>6806</v>
      </c>
      <c r="H5323" s="174" t="s">
        <v>1666</v>
      </c>
      <c r="I5323" s="174" t="str">
        <f t="shared" si="1"/>
        <v>SUDESTE</v>
      </c>
    </row>
    <row r="5324" ht="14.25" customHeight="1">
      <c r="G5324" s="174" t="s">
        <v>6807</v>
      </c>
      <c r="H5324" s="174" t="s">
        <v>1717</v>
      </c>
      <c r="I5324" s="174" t="str">
        <f t="shared" si="1"/>
        <v>NORDESTE</v>
      </c>
    </row>
    <row r="5325" ht="14.25" customHeight="1">
      <c r="G5325" s="174" t="s">
        <v>6808</v>
      </c>
      <c r="H5325" s="174" t="s">
        <v>1742</v>
      </c>
      <c r="I5325" s="174" t="str">
        <f t="shared" si="1"/>
        <v>SUL</v>
      </c>
    </row>
    <row r="5326" ht="14.25" customHeight="1">
      <c r="G5326" s="174" t="s">
        <v>6809</v>
      </c>
      <c r="H5326" s="174" t="s">
        <v>1742</v>
      </c>
      <c r="I5326" s="174" t="str">
        <f t="shared" si="1"/>
        <v>SUL</v>
      </c>
    </row>
    <row r="5327" ht="14.25" customHeight="1">
      <c r="G5327" s="174" t="s">
        <v>6810</v>
      </c>
      <c r="H5327" s="174" t="s">
        <v>1742</v>
      </c>
      <c r="I5327" s="174" t="str">
        <f t="shared" si="1"/>
        <v>SUL</v>
      </c>
    </row>
    <row r="5328" ht="14.25" customHeight="1">
      <c r="G5328" s="174" t="s">
        <v>6811</v>
      </c>
      <c r="H5328" s="174" t="s">
        <v>1742</v>
      </c>
      <c r="I5328" s="174" t="str">
        <f t="shared" si="1"/>
        <v>SUL</v>
      </c>
    </row>
    <row r="5329" ht="14.25" customHeight="1">
      <c r="G5329" s="174" t="s">
        <v>6812</v>
      </c>
      <c r="H5329" s="174" t="s">
        <v>1717</v>
      </c>
      <c r="I5329" s="174" t="str">
        <f t="shared" si="1"/>
        <v>NORDESTE</v>
      </c>
    </row>
    <row r="5330" ht="14.25" customHeight="1">
      <c r="G5330" s="174" t="s">
        <v>6813</v>
      </c>
      <c r="H5330" s="174" t="s">
        <v>1702</v>
      </c>
      <c r="I5330" s="174" t="str">
        <f t="shared" si="1"/>
        <v>SUL</v>
      </c>
    </row>
    <row r="5331" ht="14.25" customHeight="1">
      <c r="G5331" s="174" t="s">
        <v>6814</v>
      </c>
      <c r="H5331" s="174" t="s">
        <v>1750</v>
      </c>
      <c r="I5331" s="174" t="str">
        <f t="shared" si="1"/>
        <v>SUDESTE</v>
      </c>
    </row>
    <row r="5332" ht="14.25" customHeight="1">
      <c r="G5332" s="174" t="s">
        <v>6815</v>
      </c>
      <c r="H5332" s="174" t="s">
        <v>1721</v>
      </c>
      <c r="I5332" s="174" t="str">
        <f t="shared" si="1"/>
        <v>NORTE</v>
      </c>
    </row>
    <row r="5333" ht="14.25" customHeight="1">
      <c r="G5333" s="174" t="s">
        <v>6816</v>
      </c>
      <c r="H5333" s="174" t="s">
        <v>1721</v>
      </c>
      <c r="I5333" s="174" t="str">
        <f t="shared" si="1"/>
        <v>NORTE</v>
      </c>
    </row>
    <row r="5334" ht="14.25" customHeight="1">
      <c r="G5334" s="174" t="s">
        <v>6817</v>
      </c>
      <c r="H5334" s="174" t="s">
        <v>1704</v>
      </c>
      <c r="I5334" s="174" t="str">
        <f t="shared" si="1"/>
        <v>NORDESTE</v>
      </c>
    </row>
    <row r="5335" ht="14.25" customHeight="1">
      <c r="G5335" s="174" t="s">
        <v>6818</v>
      </c>
      <c r="H5335" s="174" t="s">
        <v>1704</v>
      </c>
      <c r="I5335" s="174" t="str">
        <f t="shared" si="1"/>
        <v>NORDESTE</v>
      </c>
    </row>
    <row r="5336" ht="14.25" customHeight="1">
      <c r="G5336" s="174" t="s">
        <v>6819</v>
      </c>
      <c r="H5336" s="174" t="s">
        <v>1750</v>
      </c>
      <c r="I5336" s="174" t="str">
        <f t="shared" si="1"/>
        <v>SUDESTE</v>
      </c>
    </row>
    <row r="5337" ht="14.25" customHeight="1">
      <c r="G5337" s="174" t="s">
        <v>6820</v>
      </c>
      <c r="H5337" s="174" t="s">
        <v>1666</v>
      </c>
      <c r="I5337" s="174" t="str">
        <f t="shared" si="1"/>
        <v>SUDESTE</v>
      </c>
    </row>
    <row r="5338" ht="14.25" customHeight="1">
      <c r="G5338" s="174" t="s">
        <v>6820</v>
      </c>
      <c r="H5338" s="174" t="s">
        <v>1750</v>
      </c>
      <c r="I5338" s="174" t="str">
        <f t="shared" si="1"/>
        <v>SUDESTE</v>
      </c>
    </row>
    <row r="5339" ht="14.25" customHeight="1">
      <c r="G5339" s="174" t="s">
        <v>6821</v>
      </c>
      <c r="H5339" s="174" t="s">
        <v>1742</v>
      </c>
      <c r="I5339" s="174" t="str">
        <f t="shared" si="1"/>
        <v>SUL</v>
      </c>
    </row>
    <row r="5340" ht="14.25" customHeight="1">
      <c r="G5340" s="174" t="s">
        <v>6822</v>
      </c>
      <c r="H5340" s="174" t="s">
        <v>1690</v>
      </c>
      <c r="I5340" s="174" t="str">
        <f t="shared" si="1"/>
        <v>NORDESTE</v>
      </c>
    </row>
    <row r="5341" ht="14.25" customHeight="1">
      <c r="G5341" s="174" t="s">
        <v>6823</v>
      </c>
      <c r="H5341" s="174" t="s">
        <v>1658</v>
      </c>
      <c r="I5341" s="174" t="str">
        <f t="shared" si="1"/>
        <v>CENTRO OESTE</v>
      </c>
    </row>
    <row r="5342" ht="14.25" customHeight="1">
      <c r="G5342" s="174" t="s">
        <v>6824</v>
      </c>
      <c r="H5342" s="174" t="s">
        <v>1658</v>
      </c>
      <c r="I5342" s="174" t="str">
        <f t="shared" si="1"/>
        <v>CENTRO OESTE</v>
      </c>
    </row>
    <row r="5343" ht="14.25" customHeight="1">
      <c r="G5343" s="174" t="s">
        <v>6825</v>
      </c>
      <c r="H5343" s="174" t="s">
        <v>1702</v>
      </c>
      <c r="I5343" s="174" t="str">
        <f t="shared" si="1"/>
        <v>SUL</v>
      </c>
    </row>
    <row r="5344" ht="14.25" customHeight="1">
      <c r="G5344" s="174" t="s">
        <v>6825</v>
      </c>
      <c r="H5344" s="174" t="s">
        <v>1706</v>
      </c>
      <c r="I5344" s="174" t="str">
        <f t="shared" si="1"/>
        <v>SUL</v>
      </c>
    </row>
    <row r="5345" ht="14.25" customHeight="1">
      <c r="G5345" s="174" t="s">
        <v>6826</v>
      </c>
      <c r="H5345" s="174" t="s">
        <v>1666</v>
      </c>
      <c r="I5345" s="174" t="str">
        <f t="shared" si="1"/>
        <v>SUDESTE</v>
      </c>
    </row>
    <row r="5346" ht="14.25" customHeight="1">
      <c r="G5346" s="174" t="s">
        <v>6827</v>
      </c>
      <c r="H5346" s="174" t="s">
        <v>1704</v>
      </c>
      <c r="I5346" s="174" t="str">
        <f t="shared" si="1"/>
        <v>NORDESTE</v>
      </c>
    </row>
    <row r="5347" ht="14.25" customHeight="1">
      <c r="G5347" s="174" t="s">
        <v>6828</v>
      </c>
      <c r="H5347" s="174" t="s">
        <v>1672</v>
      </c>
      <c r="I5347" s="174" t="str">
        <f t="shared" si="1"/>
        <v>NORTE</v>
      </c>
    </row>
    <row r="5348" ht="14.25" customHeight="1">
      <c r="G5348" s="174" t="s">
        <v>6829</v>
      </c>
      <c r="H5348" s="174" t="s">
        <v>1685</v>
      </c>
      <c r="I5348" s="174" t="str">
        <f t="shared" si="1"/>
        <v>NORDESTE</v>
      </c>
    </row>
    <row r="5349" ht="14.25" customHeight="1">
      <c r="G5349" s="174" t="s">
        <v>6830</v>
      </c>
      <c r="H5349" s="174" t="s">
        <v>1666</v>
      </c>
      <c r="I5349" s="174" t="str">
        <f t="shared" si="1"/>
        <v>SUDESTE</v>
      </c>
    </row>
    <row r="5350" ht="14.25" customHeight="1">
      <c r="G5350" s="174" t="s">
        <v>6831</v>
      </c>
      <c r="H5350" s="174" t="s">
        <v>1666</v>
      </c>
      <c r="I5350" s="174" t="str">
        <f t="shared" si="1"/>
        <v>SUDESTE</v>
      </c>
    </row>
    <row r="5351" ht="14.25" customHeight="1">
      <c r="G5351" s="174" t="s">
        <v>6832</v>
      </c>
      <c r="H5351" s="174" t="s">
        <v>1685</v>
      </c>
      <c r="I5351" s="174" t="str">
        <f t="shared" si="1"/>
        <v>NORDESTE</v>
      </c>
    </row>
    <row r="5352" ht="14.25" customHeight="1">
      <c r="G5352" s="174" t="s">
        <v>6833</v>
      </c>
      <c r="H5352" s="174" t="s">
        <v>1685</v>
      </c>
      <c r="I5352" s="174" t="str">
        <f t="shared" si="1"/>
        <v>NORDESTE</v>
      </c>
    </row>
    <row r="5353" ht="14.25" customHeight="1">
      <c r="G5353" s="174" t="s">
        <v>6834</v>
      </c>
      <c r="H5353" s="174" t="s">
        <v>1690</v>
      </c>
      <c r="I5353" s="174" t="str">
        <f t="shared" si="1"/>
        <v>NORDESTE</v>
      </c>
    </row>
    <row r="5354" ht="14.25" customHeight="1">
      <c r="G5354" s="174" t="s">
        <v>6835</v>
      </c>
      <c r="H5354" s="174" t="s">
        <v>1666</v>
      </c>
      <c r="I5354" s="174" t="str">
        <f t="shared" si="1"/>
        <v>SUDESTE</v>
      </c>
    </row>
    <row r="5355" ht="14.25" customHeight="1">
      <c r="G5355" s="174" t="s">
        <v>6836</v>
      </c>
      <c r="H5355" s="174" t="s">
        <v>1750</v>
      </c>
      <c r="I5355" s="174" t="str">
        <f t="shared" si="1"/>
        <v>SUDESTE</v>
      </c>
    </row>
    <row r="5356" ht="14.25" customHeight="1">
      <c r="G5356" s="174" t="s">
        <v>6837</v>
      </c>
      <c r="H5356" s="174" t="s">
        <v>1685</v>
      </c>
      <c r="I5356" s="174" t="str">
        <f t="shared" si="1"/>
        <v>NORDESTE</v>
      </c>
    </row>
    <row r="5357" ht="14.25" customHeight="1">
      <c r="G5357" s="174" t="s">
        <v>6838</v>
      </c>
      <c r="H5357" s="174" t="s">
        <v>1750</v>
      </c>
      <c r="I5357" s="174" t="str">
        <f t="shared" si="1"/>
        <v>SUDESTE</v>
      </c>
    </row>
    <row r="5358" ht="14.25" customHeight="1">
      <c r="G5358" s="174" t="s">
        <v>6839</v>
      </c>
      <c r="H5358" s="174" t="s">
        <v>1666</v>
      </c>
      <c r="I5358" s="174" t="str">
        <f t="shared" si="1"/>
        <v>SUDESTE</v>
      </c>
    </row>
    <row r="5359" ht="14.25" customHeight="1">
      <c r="G5359" s="174" t="s">
        <v>6840</v>
      </c>
      <c r="H5359" s="174" t="s">
        <v>1666</v>
      </c>
      <c r="I5359" s="174" t="str">
        <f t="shared" si="1"/>
        <v>SUDESTE</v>
      </c>
    </row>
    <row r="5360" ht="14.25" customHeight="1">
      <c r="G5360" s="174" t="s">
        <v>6841</v>
      </c>
      <c r="H5360" s="174" t="s">
        <v>1750</v>
      </c>
      <c r="I5360" s="174" t="str">
        <f t="shared" si="1"/>
        <v>SUDESTE</v>
      </c>
    </row>
    <row r="5361" ht="14.25" customHeight="1">
      <c r="G5361" s="174" t="s">
        <v>6842</v>
      </c>
      <c r="H5361" s="174" t="s">
        <v>1702</v>
      </c>
      <c r="I5361" s="174" t="str">
        <f t="shared" si="1"/>
        <v>SUL</v>
      </c>
    </row>
    <row r="5362" ht="14.25" customHeight="1">
      <c r="G5362" s="174" t="s">
        <v>6843</v>
      </c>
      <c r="H5362" s="174" t="s">
        <v>1742</v>
      </c>
      <c r="I5362" s="174" t="str">
        <f t="shared" si="1"/>
        <v>SUL</v>
      </c>
    </row>
    <row r="5363" ht="14.25" customHeight="1">
      <c r="G5363" s="174" t="s">
        <v>6844</v>
      </c>
      <c r="H5363" s="174" t="s">
        <v>1750</v>
      </c>
      <c r="I5363" s="174" t="str">
        <f t="shared" si="1"/>
        <v>SUDESTE</v>
      </c>
    </row>
    <row r="5364" ht="14.25" customHeight="1">
      <c r="G5364" s="174" t="s">
        <v>6845</v>
      </c>
      <c r="H5364" s="174" t="s">
        <v>1685</v>
      </c>
      <c r="I5364" s="174" t="str">
        <f t="shared" si="1"/>
        <v>NORDESTE</v>
      </c>
    </row>
    <row r="5365" ht="14.25" customHeight="1">
      <c r="G5365" s="174" t="s">
        <v>6846</v>
      </c>
      <c r="H5365" s="174" t="s">
        <v>1739</v>
      </c>
      <c r="I5365" s="174" t="str">
        <f t="shared" si="1"/>
        <v>NORTE</v>
      </c>
    </row>
    <row r="5366" ht="14.25" customHeight="1">
      <c r="G5366" s="174" t="s">
        <v>6847</v>
      </c>
      <c r="H5366" s="174" t="s">
        <v>1658</v>
      </c>
      <c r="I5366" s="174" t="str">
        <f t="shared" si="1"/>
        <v>CENTRO OESTE</v>
      </c>
    </row>
    <row r="5367" ht="14.25" customHeight="1">
      <c r="G5367" s="174" t="s">
        <v>6848</v>
      </c>
      <c r="H5367" s="174" t="s">
        <v>1719</v>
      </c>
      <c r="I5367" s="174" t="str">
        <f t="shared" si="1"/>
        <v>NORDESTE</v>
      </c>
    </row>
    <row r="5368" ht="14.25" customHeight="1">
      <c r="G5368" s="174" t="s">
        <v>6849</v>
      </c>
      <c r="H5368" s="174" t="s">
        <v>1687</v>
      </c>
      <c r="I5368" s="174" t="str">
        <f t="shared" si="1"/>
        <v>NORTE</v>
      </c>
    </row>
    <row r="5369" ht="14.25" customHeight="1">
      <c r="G5369" s="174" t="s">
        <v>6850</v>
      </c>
      <c r="H5369" s="174" t="s">
        <v>1690</v>
      </c>
      <c r="I5369" s="174" t="str">
        <f t="shared" si="1"/>
        <v>NORDESTE</v>
      </c>
    </row>
    <row r="5370" ht="14.25" customHeight="1">
      <c r="G5370" s="174" t="s">
        <v>6851</v>
      </c>
      <c r="H5370" s="174" t="s">
        <v>1733</v>
      </c>
      <c r="I5370" s="174" t="str">
        <f t="shared" si="1"/>
        <v>NORDESTE</v>
      </c>
    </row>
    <row r="5371" ht="14.25" customHeight="1">
      <c r="G5371" s="174" t="s">
        <v>6852</v>
      </c>
      <c r="H5371" s="174" t="s">
        <v>1747</v>
      </c>
      <c r="I5371" s="174" t="str">
        <f t="shared" si="1"/>
        <v>NORDESTE</v>
      </c>
    </row>
    <row r="5372" ht="14.25" customHeight="1">
      <c r="G5372" s="174" t="s">
        <v>6853</v>
      </c>
      <c r="H5372" s="174" t="s">
        <v>1685</v>
      </c>
      <c r="I5372" s="174" t="str">
        <f t="shared" si="1"/>
        <v>NORDESTE</v>
      </c>
    </row>
    <row r="5373" ht="14.25" customHeight="1">
      <c r="G5373" s="174" t="s">
        <v>6854</v>
      </c>
      <c r="H5373" s="174" t="s">
        <v>1666</v>
      </c>
      <c r="I5373" s="174" t="str">
        <f t="shared" si="1"/>
        <v>SUDESTE</v>
      </c>
    </row>
    <row r="5374" ht="14.25" customHeight="1">
      <c r="G5374" s="174" t="s">
        <v>6855</v>
      </c>
      <c r="H5374" s="174" t="s">
        <v>1719</v>
      </c>
      <c r="I5374" s="174" t="str">
        <f t="shared" si="1"/>
        <v>NORDESTE</v>
      </c>
    </row>
    <row r="5375" ht="14.25" customHeight="1">
      <c r="G5375" s="174" t="s">
        <v>6856</v>
      </c>
      <c r="H5375" s="174" t="s">
        <v>1690</v>
      </c>
      <c r="I5375" s="174" t="str">
        <f t="shared" si="1"/>
        <v>NORDESTE</v>
      </c>
    </row>
    <row r="5376" ht="14.25" customHeight="1">
      <c r="G5376" s="174" t="s">
        <v>6857</v>
      </c>
      <c r="H5376" s="174" t="s">
        <v>1702</v>
      </c>
      <c r="I5376" s="174" t="str">
        <f t="shared" si="1"/>
        <v>SUL</v>
      </c>
    </row>
    <row r="5377" ht="14.25" customHeight="1">
      <c r="G5377" s="174" t="s">
        <v>6858</v>
      </c>
      <c r="H5377" s="174" t="s">
        <v>1685</v>
      </c>
      <c r="I5377" s="174" t="str">
        <f t="shared" si="1"/>
        <v>NORDESTE</v>
      </c>
    </row>
    <row r="5378" ht="14.25" customHeight="1">
      <c r="G5378" s="174" t="s">
        <v>6859</v>
      </c>
      <c r="H5378" s="174" t="s">
        <v>1666</v>
      </c>
      <c r="I5378" s="174" t="str">
        <f t="shared" si="1"/>
        <v>SUDESTE</v>
      </c>
    </row>
    <row r="5379" ht="14.25" customHeight="1">
      <c r="G5379" s="174" t="s">
        <v>6860</v>
      </c>
      <c r="H5379" s="174" t="s">
        <v>1725</v>
      </c>
      <c r="I5379" s="174" t="str">
        <f t="shared" si="1"/>
        <v>NORDESTE</v>
      </c>
    </row>
    <row r="5380" ht="14.25" customHeight="1">
      <c r="G5380" s="174" t="s">
        <v>6861</v>
      </c>
      <c r="H5380" s="174" t="s">
        <v>1742</v>
      </c>
      <c r="I5380" s="174" t="str">
        <f t="shared" si="1"/>
        <v>SUL</v>
      </c>
    </row>
    <row r="5381" ht="14.25" customHeight="1">
      <c r="G5381" s="174" t="s">
        <v>6862</v>
      </c>
      <c r="H5381" s="174" t="s">
        <v>1702</v>
      </c>
      <c r="I5381" s="174" t="str">
        <f t="shared" si="1"/>
        <v>SUL</v>
      </c>
    </row>
    <row r="5382" ht="14.25" customHeight="1">
      <c r="G5382" s="174" t="s">
        <v>6863</v>
      </c>
      <c r="H5382" s="174" t="s">
        <v>1666</v>
      </c>
      <c r="I5382" s="174" t="str">
        <f t="shared" si="1"/>
        <v>SUDESTE</v>
      </c>
    </row>
    <row r="5383" ht="14.25" customHeight="1">
      <c r="G5383" s="174" t="s">
        <v>6864</v>
      </c>
      <c r="H5383" s="174" t="s">
        <v>1706</v>
      </c>
      <c r="I5383" s="174" t="str">
        <f t="shared" si="1"/>
        <v>SUL</v>
      </c>
    </row>
    <row r="5384" ht="14.25" customHeight="1">
      <c r="G5384" s="174" t="s">
        <v>6865</v>
      </c>
      <c r="H5384" s="174" t="s">
        <v>1713</v>
      </c>
      <c r="I5384" s="174" t="str">
        <f t="shared" si="1"/>
        <v>CENTRO OESTE</v>
      </c>
    </row>
    <row r="5385" ht="14.25" customHeight="1">
      <c r="G5385" s="174" t="s">
        <v>6866</v>
      </c>
      <c r="H5385" s="174" t="s">
        <v>1664</v>
      </c>
      <c r="I5385" s="174" t="str">
        <f t="shared" si="1"/>
        <v>NORDESTE</v>
      </c>
    </row>
    <row r="5386" ht="14.25" customHeight="1">
      <c r="G5386" s="174" t="s">
        <v>6867</v>
      </c>
      <c r="H5386" s="174" t="s">
        <v>1750</v>
      </c>
      <c r="I5386" s="174" t="str">
        <f t="shared" si="1"/>
        <v>SUDESTE</v>
      </c>
    </row>
    <row r="5387" ht="14.25" customHeight="1">
      <c r="G5387" s="174" t="s">
        <v>6868</v>
      </c>
      <c r="H5387" s="174" t="s">
        <v>1702</v>
      </c>
      <c r="I5387" s="174" t="str">
        <f t="shared" si="1"/>
        <v>SUL</v>
      </c>
    </row>
    <row r="5388" ht="14.25" customHeight="1">
      <c r="G5388" s="174" t="s">
        <v>6869</v>
      </c>
      <c r="H5388" s="174" t="s">
        <v>1742</v>
      </c>
      <c r="I5388" s="174" t="str">
        <f t="shared" si="1"/>
        <v>SUL</v>
      </c>
    </row>
    <row r="5389" ht="14.25" customHeight="1">
      <c r="G5389" s="174" t="s">
        <v>6870</v>
      </c>
      <c r="H5389" s="174" t="s">
        <v>1733</v>
      </c>
      <c r="I5389" s="174" t="str">
        <f t="shared" si="1"/>
        <v>NORDESTE</v>
      </c>
    </row>
    <row r="5390" ht="14.25" customHeight="1">
      <c r="G5390" s="174" t="s">
        <v>6871</v>
      </c>
      <c r="H5390" s="174" t="s">
        <v>1702</v>
      </c>
      <c r="I5390" s="174" t="str">
        <f t="shared" si="1"/>
        <v>SUL</v>
      </c>
    </row>
    <row r="5391" ht="14.25" customHeight="1">
      <c r="G5391" s="174" t="s">
        <v>6872</v>
      </c>
      <c r="H5391" s="174" t="s">
        <v>1685</v>
      </c>
      <c r="I5391" s="174" t="str">
        <f t="shared" si="1"/>
        <v>NORDESTE</v>
      </c>
    </row>
    <row r="5392" ht="14.25" customHeight="1">
      <c r="G5392" s="174" t="s">
        <v>6873</v>
      </c>
      <c r="H5392" s="174" t="s">
        <v>1750</v>
      </c>
      <c r="I5392" s="174" t="str">
        <f t="shared" si="1"/>
        <v>SUDESTE</v>
      </c>
    </row>
    <row r="5393" ht="14.25" customHeight="1">
      <c r="G5393" s="174" t="s">
        <v>6874</v>
      </c>
      <c r="H5393" s="174" t="s">
        <v>1704</v>
      </c>
      <c r="I5393" s="174" t="str">
        <f t="shared" si="1"/>
        <v>NORDESTE</v>
      </c>
    </row>
    <row r="5394" ht="14.25" customHeight="1">
      <c r="G5394" s="174" t="s">
        <v>6875</v>
      </c>
      <c r="H5394" s="174" t="s">
        <v>1750</v>
      </c>
      <c r="I5394" s="174" t="str">
        <f t="shared" si="1"/>
        <v>SUDESTE</v>
      </c>
    </row>
    <row r="5395" ht="14.25" customHeight="1">
      <c r="G5395" s="174" t="s">
        <v>6876</v>
      </c>
      <c r="H5395" s="174" t="s">
        <v>1658</v>
      </c>
      <c r="I5395" s="174" t="str">
        <f t="shared" si="1"/>
        <v>CENTRO OESTE</v>
      </c>
    </row>
    <row r="5396" ht="14.25" customHeight="1">
      <c r="G5396" s="174" t="s">
        <v>6877</v>
      </c>
      <c r="H5396" s="174" t="s">
        <v>1658</v>
      </c>
      <c r="I5396" s="174" t="str">
        <f t="shared" si="1"/>
        <v>CENTRO OESTE</v>
      </c>
    </row>
    <row r="5397" ht="14.25" customHeight="1">
      <c r="G5397" s="174" t="s">
        <v>6878</v>
      </c>
      <c r="H5397" s="174" t="s">
        <v>1666</v>
      </c>
      <c r="I5397" s="174" t="str">
        <f t="shared" si="1"/>
        <v>SUDESTE</v>
      </c>
    </row>
    <row r="5398" ht="14.25" customHeight="1">
      <c r="G5398" s="174" t="s">
        <v>6879</v>
      </c>
      <c r="H5398" s="174" t="s">
        <v>1687</v>
      </c>
      <c r="I5398" s="174" t="str">
        <f t="shared" si="1"/>
        <v>NORTE</v>
      </c>
    </row>
    <row r="5399" ht="14.25" customHeight="1">
      <c r="G5399" s="174" t="s">
        <v>6880</v>
      </c>
      <c r="H5399" s="174" t="s">
        <v>1706</v>
      </c>
      <c r="I5399" s="174" t="str">
        <f t="shared" si="1"/>
        <v>SUL</v>
      </c>
    </row>
    <row r="5400" ht="14.25" customHeight="1">
      <c r="G5400" s="174" t="s">
        <v>6881</v>
      </c>
      <c r="H5400" s="174" t="s">
        <v>1690</v>
      </c>
      <c r="I5400" s="174" t="str">
        <f t="shared" si="1"/>
        <v>NORDESTE</v>
      </c>
    </row>
    <row r="5401" ht="14.25" customHeight="1">
      <c r="G5401" s="174" t="s">
        <v>6882</v>
      </c>
      <c r="H5401" s="174" t="s">
        <v>1666</v>
      </c>
      <c r="I5401" s="174" t="str">
        <f t="shared" si="1"/>
        <v>SUDESTE</v>
      </c>
    </row>
    <row r="5402" ht="14.25" customHeight="1">
      <c r="G5402" s="174" t="s">
        <v>6883</v>
      </c>
      <c r="H5402" s="174" t="s">
        <v>1672</v>
      </c>
      <c r="I5402" s="174" t="str">
        <f t="shared" si="1"/>
        <v>NORTE</v>
      </c>
    </row>
    <row r="5403" ht="14.25" customHeight="1">
      <c r="G5403" s="174" t="s">
        <v>6884</v>
      </c>
      <c r="H5403" s="174" t="s">
        <v>1685</v>
      </c>
      <c r="I5403" s="174" t="str">
        <f t="shared" si="1"/>
        <v>NORDESTE</v>
      </c>
    </row>
    <row r="5404" ht="14.25" customHeight="1">
      <c r="G5404" s="174" t="s">
        <v>6885</v>
      </c>
      <c r="H5404" s="174" t="s">
        <v>1725</v>
      </c>
      <c r="I5404" s="174" t="str">
        <f t="shared" si="1"/>
        <v>NORDESTE</v>
      </c>
    </row>
    <row r="5405" ht="14.25" customHeight="1">
      <c r="G5405" s="174" t="s">
        <v>6886</v>
      </c>
      <c r="H5405" s="174" t="s">
        <v>1666</v>
      </c>
      <c r="I5405" s="174" t="str">
        <f t="shared" si="1"/>
        <v>SUDESTE</v>
      </c>
    </row>
    <row r="5406" ht="14.25" customHeight="1">
      <c r="G5406" s="174" t="s">
        <v>6887</v>
      </c>
      <c r="H5406" s="174" t="s">
        <v>1672</v>
      </c>
      <c r="I5406" s="174" t="str">
        <f t="shared" si="1"/>
        <v>NORTE</v>
      </c>
    </row>
    <row r="5407" ht="14.25" customHeight="1">
      <c r="G5407" s="174" t="s">
        <v>6888</v>
      </c>
      <c r="H5407" s="174" t="s">
        <v>1742</v>
      </c>
      <c r="I5407" s="174" t="str">
        <f t="shared" si="1"/>
        <v>SUL</v>
      </c>
    </row>
    <row r="5408" ht="14.25" customHeight="1">
      <c r="G5408" s="174" t="s">
        <v>6889</v>
      </c>
      <c r="H5408" s="174" t="s">
        <v>1690</v>
      </c>
      <c r="I5408" s="174" t="str">
        <f t="shared" si="1"/>
        <v>NORDESTE</v>
      </c>
    </row>
    <row r="5409" ht="14.25" customHeight="1">
      <c r="G5409" s="174" t="s">
        <v>6890</v>
      </c>
      <c r="H5409" s="174" t="s">
        <v>1736</v>
      </c>
      <c r="I5409" s="174" t="str">
        <f t="shared" si="1"/>
        <v>NORTE</v>
      </c>
    </row>
    <row r="5410" ht="14.25" customHeight="1">
      <c r="G5410" s="174" t="s">
        <v>6891</v>
      </c>
      <c r="H5410" s="174" t="s">
        <v>1706</v>
      </c>
      <c r="I5410" s="174" t="str">
        <f t="shared" si="1"/>
        <v>SUL</v>
      </c>
    </row>
    <row r="5411" ht="14.25" customHeight="1">
      <c r="G5411" s="174" t="s">
        <v>6892</v>
      </c>
      <c r="H5411" s="174" t="s">
        <v>1750</v>
      </c>
      <c r="I5411" s="174" t="str">
        <f t="shared" si="1"/>
        <v>SUDESTE</v>
      </c>
    </row>
    <row r="5412" ht="14.25" customHeight="1">
      <c r="G5412" s="174" t="s">
        <v>6893</v>
      </c>
      <c r="H5412" s="174" t="s">
        <v>1706</v>
      </c>
      <c r="I5412" s="174" t="str">
        <f t="shared" si="1"/>
        <v>SUL</v>
      </c>
    </row>
    <row r="5413" ht="14.25" customHeight="1">
      <c r="G5413" s="174" t="s">
        <v>6894</v>
      </c>
      <c r="H5413" s="174" t="s">
        <v>1658</v>
      </c>
      <c r="I5413" s="174" t="str">
        <f t="shared" si="1"/>
        <v>CENTRO OESTE</v>
      </c>
    </row>
    <row r="5414" ht="14.25" customHeight="1">
      <c r="G5414" s="174" t="s">
        <v>6895</v>
      </c>
      <c r="H5414" s="174" t="s">
        <v>1685</v>
      </c>
      <c r="I5414" s="174" t="str">
        <f t="shared" si="1"/>
        <v>NORDESTE</v>
      </c>
    </row>
    <row r="5415" ht="14.25" customHeight="1">
      <c r="G5415" s="174" t="s">
        <v>6896</v>
      </c>
      <c r="H5415" s="174" t="s">
        <v>1742</v>
      </c>
      <c r="I5415" s="174" t="str">
        <f t="shared" si="1"/>
        <v>SUL</v>
      </c>
    </row>
    <row r="5416" ht="14.25" customHeight="1">
      <c r="G5416" s="174" t="s">
        <v>6897</v>
      </c>
      <c r="H5416" s="174" t="s">
        <v>1713</v>
      </c>
      <c r="I5416" s="174" t="str">
        <f t="shared" si="1"/>
        <v>CENTRO OESTE</v>
      </c>
    </row>
    <row r="5417" ht="14.25" customHeight="1">
      <c r="G5417" s="174" t="s">
        <v>6898</v>
      </c>
      <c r="H5417" s="174" t="s">
        <v>1736</v>
      </c>
      <c r="I5417" s="174" t="str">
        <f t="shared" si="1"/>
        <v>NORTE</v>
      </c>
    </row>
    <row r="5418" ht="14.25" customHeight="1">
      <c r="G5418" s="174" t="s">
        <v>6899</v>
      </c>
      <c r="H5418" s="174" t="s">
        <v>1736</v>
      </c>
      <c r="I5418" s="174" t="str">
        <f t="shared" si="1"/>
        <v>NORTE</v>
      </c>
    </row>
    <row r="5419" ht="14.25" customHeight="1">
      <c r="G5419" s="174" t="s">
        <v>6900</v>
      </c>
      <c r="H5419" s="174" t="s">
        <v>1742</v>
      </c>
      <c r="I5419" s="174" t="str">
        <f t="shared" si="1"/>
        <v>SUL</v>
      </c>
    </row>
    <row r="5420" ht="14.25" customHeight="1">
      <c r="G5420" s="174" t="s">
        <v>6901</v>
      </c>
      <c r="H5420" s="174" t="s">
        <v>1742</v>
      </c>
      <c r="I5420" s="174" t="str">
        <f t="shared" si="1"/>
        <v>SUL</v>
      </c>
    </row>
    <row r="5421" ht="14.25" customHeight="1">
      <c r="G5421" s="174" t="s">
        <v>6902</v>
      </c>
      <c r="H5421" s="174" t="s">
        <v>1742</v>
      </c>
      <c r="I5421" s="174" t="str">
        <f t="shared" si="1"/>
        <v>SUL</v>
      </c>
    </row>
    <row r="5422" ht="14.25" customHeight="1">
      <c r="G5422" s="174" t="s">
        <v>6903</v>
      </c>
      <c r="H5422" s="174" t="s">
        <v>1685</v>
      </c>
      <c r="I5422" s="174" t="str">
        <f t="shared" si="1"/>
        <v>NORDESTE</v>
      </c>
    </row>
    <row r="5423" ht="14.25" customHeight="1">
      <c r="G5423" s="174" t="s">
        <v>6903</v>
      </c>
      <c r="H5423" s="174" t="s">
        <v>1730</v>
      </c>
      <c r="I5423" s="174" t="str">
        <f t="shared" si="1"/>
        <v>SUDESTE</v>
      </c>
    </row>
    <row r="5424" ht="14.25" customHeight="1">
      <c r="G5424" s="174" t="s">
        <v>6904</v>
      </c>
      <c r="H5424" s="174" t="s">
        <v>1725</v>
      </c>
      <c r="I5424" s="174" t="str">
        <f t="shared" si="1"/>
        <v>NORDESTE</v>
      </c>
    </row>
    <row r="5425" ht="14.25" customHeight="1">
      <c r="G5425" s="174" t="s">
        <v>6905</v>
      </c>
      <c r="H5425" s="174" t="s">
        <v>1685</v>
      </c>
      <c r="I5425" s="174" t="str">
        <f t="shared" si="1"/>
        <v>NORDESTE</v>
      </c>
    </row>
    <row r="5426" ht="14.25" customHeight="1">
      <c r="G5426" s="174" t="s">
        <v>6906</v>
      </c>
      <c r="H5426" s="174" t="s">
        <v>1750</v>
      </c>
      <c r="I5426" s="174" t="str">
        <f t="shared" si="1"/>
        <v>SUDESTE</v>
      </c>
    </row>
    <row r="5427" ht="14.25" customHeight="1">
      <c r="G5427" s="174" t="s">
        <v>6907</v>
      </c>
      <c r="H5427" s="174" t="s">
        <v>1750</v>
      </c>
      <c r="I5427" s="174" t="str">
        <f t="shared" si="1"/>
        <v>SUDESTE</v>
      </c>
    </row>
    <row r="5428" ht="14.25" customHeight="1">
      <c r="G5428" s="174" t="s">
        <v>6908</v>
      </c>
      <c r="H5428" s="174" t="s">
        <v>1750</v>
      </c>
      <c r="I5428" s="174" t="str">
        <f t="shared" si="1"/>
        <v>SUDESTE</v>
      </c>
    </row>
    <row r="5429" ht="14.25" customHeight="1">
      <c r="G5429" s="174" t="s">
        <v>6909</v>
      </c>
      <c r="H5429" s="174" t="s">
        <v>1658</v>
      </c>
      <c r="I5429" s="174" t="str">
        <f t="shared" si="1"/>
        <v>CENTRO OESTE</v>
      </c>
    </row>
    <row r="5430" ht="14.25" customHeight="1">
      <c r="G5430" s="174" t="s">
        <v>6910</v>
      </c>
      <c r="H5430" s="174" t="s">
        <v>1742</v>
      </c>
      <c r="I5430" s="174" t="str">
        <f t="shared" si="1"/>
        <v>SUL</v>
      </c>
    </row>
    <row r="5431" ht="14.25" customHeight="1">
      <c r="G5431" s="174" t="s">
        <v>6911</v>
      </c>
      <c r="H5431" s="174" t="s">
        <v>1706</v>
      </c>
      <c r="I5431" s="174" t="str">
        <f t="shared" si="1"/>
        <v>SUL</v>
      </c>
    </row>
    <row r="5432" ht="14.25" customHeight="1">
      <c r="G5432" s="174" t="s">
        <v>6912</v>
      </c>
      <c r="H5432" s="174" t="s">
        <v>1750</v>
      </c>
      <c r="I5432" s="174" t="str">
        <f t="shared" si="1"/>
        <v>SUDESTE</v>
      </c>
    </row>
    <row r="5433" ht="14.25" customHeight="1">
      <c r="G5433" s="174" t="s">
        <v>6912</v>
      </c>
      <c r="H5433" s="174" t="s">
        <v>1706</v>
      </c>
      <c r="I5433" s="174" t="str">
        <f t="shared" si="1"/>
        <v>SUL</v>
      </c>
    </row>
    <row r="5434" ht="14.25" customHeight="1">
      <c r="G5434" s="174" t="s">
        <v>6913</v>
      </c>
      <c r="H5434" s="174" t="s">
        <v>1666</v>
      </c>
      <c r="I5434" s="174" t="str">
        <f t="shared" si="1"/>
        <v>SUDESTE</v>
      </c>
    </row>
    <row r="5435" ht="14.25" customHeight="1">
      <c r="G5435" s="174" t="s">
        <v>6914</v>
      </c>
      <c r="H5435" s="174" t="s">
        <v>1698</v>
      </c>
      <c r="I5435" s="174" t="str">
        <f t="shared" si="1"/>
        <v>SUDESTE</v>
      </c>
    </row>
    <row r="5436" ht="14.25" customHeight="1">
      <c r="G5436" s="174" t="s">
        <v>6915</v>
      </c>
      <c r="H5436" s="174" t="s">
        <v>1666</v>
      </c>
      <c r="I5436" s="174" t="str">
        <f t="shared" si="1"/>
        <v>SUDESTE</v>
      </c>
    </row>
    <row r="5437" ht="14.25" customHeight="1">
      <c r="G5437" s="174" t="s">
        <v>6915</v>
      </c>
      <c r="H5437" s="174" t="s">
        <v>1706</v>
      </c>
      <c r="I5437" s="174" t="str">
        <f t="shared" si="1"/>
        <v>SUL</v>
      </c>
    </row>
    <row r="5438" ht="14.25" customHeight="1">
      <c r="G5438" s="174" t="s">
        <v>6916</v>
      </c>
      <c r="H5438" s="174" t="s">
        <v>1704</v>
      </c>
      <c r="I5438" s="174" t="str">
        <f t="shared" si="1"/>
        <v>NORDESTE</v>
      </c>
    </row>
    <row r="5439" ht="14.25" customHeight="1">
      <c r="G5439" s="174" t="s">
        <v>6917</v>
      </c>
      <c r="H5439" s="174" t="s">
        <v>1666</v>
      </c>
      <c r="I5439" s="174" t="str">
        <f t="shared" si="1"/>
        <v>SUDESTE</v>
      </c>
    </row>
    <row r="5440" ht="14.25" customHeight="1">
      <c r="G5440" s="174" t="s">
        <v>6918</v>
      </c>
      <c r="H5440" s="174" t="s">
        <v>1750</v>
      </c>
      <c r="I5440" s="174" t="str">
        <f t="shared" si="1"/>
        <v>SUDESTE</v>
      </c>
    </row>
    <row r="5441" ht="14.25" customHeight="1">
      <c r="G5441" s="174" t="s">
        <v>6919</v>
      </c>
      <c r="H5441" s="174" t="s">
        <v>1750</v>
      </c>
      <c r="I5441" s="174" t="str">
        <f t="shared" si="1"/>
        <v>SUDESTE</v>
      </c>
    </row>
    <row r="5442" ht="14.25" customHeight="1">
      <c r="G5442" s="174" t="s">
        <v>6920</v>
      </c>
      <c r="H5442" s="174" t="s">
        <v>1666</v>
      </c>
      <c r="I5442" s="174" t="str">
        <f t="shared" si="1"/>
        <v>SUDESTE</v>
      </c>
    </row>
    <row r="5443" ht="14.25" customHeight="1">
      <c r="G5443" s="174" t="s">
        <v>6921</v>
      </c>
      <c r="H5443" s="174" t="s">
        <v>1658</v>
      </c>
      <c r="I5443" s="174" t="str">
        <f t="shared" si="1"/>
        <v>CENTRO OESTE</v>
      </c>
    </row>
    <row r="5444" ht="14.25" customHeight="1">
      <c r="G5444" s="174" t="s">
        <v>6922</v>
      </c>
      <c r="H5444" s="174" t="s">
        <v>1666</v>
      </c>
      <c r="I5444" s="174" t="str">
        <f t="shared" si="1"/>
        <v>SUDESTE</v>
      </c>
    </row>
    <row r="5445" ht="14.25" customHeight="1">
      <c r="G5445" s="174" t="s">
        <v>6923</v>
      </c>
      <c r="H5445" s="174" t="s">
        <v>1690</v>
      </c>
      <c r="I5445" s="174" t="str">
        <f t="shared" si="1"/>
        <v>NORDESTE</v>
      </c>
    </row>
    <row r="5446" ht="14.25" customHeight="1">
      <c r="G5446" s="174" t="s">
        <v>6924</v>
      </c>
      <c r="H5446" s="174" t="s">
        <v>1730</v>
      </c>
      <c r="I5446" s="174" t="str">
        <f t="shared" si="1"/>
        <v>SUDESTE</v>
      </c>
    </row>
    <row r="5447" ht="14.25" customHeight="1">
      <c r="G5447" s="174" t="s">
        <v>6925</v>
      </c>
      <c r="H5447" s="174" t="s">
        <v>1733</v>
      </c>
      <c r="I5447" s="174" t="str">
        <f t="shared" si="1"/>
        <v>NORDESTE</v>
      </c>
    </row>
    <row r="5448" ht="14.25" customHeight="1">
      <c r="G5448" s="174" t="s">
        <v>6925</v>
      </c>
      <c r="H5448" s="174" t="s">
        <v>1719</v>
      </c>
      <c r="I5448" s="174" t="str">
        <f t="shared" si="1"/>
        <v>NORDESTE</v>
      </c>
    </row>
    <row r="5449" ht="14.25" customHeight="1">
      <c r="G5449" s="174" t="s">
        <v>6926</v>
      </c>
      <c r="H5449" s="174" t="s">
        <v>1690</v>
      </c>
      <c r="I5449" s="174" t="str">
        <f t="shared" si="1"/>
        <v>NORDESTE</v>
      </c>
    </row>
    <row r="5450" ht="14.25" customHeight="1">
      <c r="G5450" s="174" t="s">
        <v>6927</v>
      </c>
      <c r="H5450" s="174" t="s">
        <v>1725</v>
      </c>
      <c r="I5450" s="174" t="str">
        <f t="shared" si="1"/>
        <v>NORDESTE</v>
      </c>
    </row>
    <row r="5451" ht="14.25" customHeight="1">
      <c r="G5451" s="174" t="s">
        <v>6928</v>
      </c>
      <c r="H5451" s="174" t="s">
        <v>1666</v>
      </c>
      <c r="I5451" s="174" t="str">
        <f t="shared" si="1"/>
        <v>SUDESTE</v>
      </c>
    </row>
    <row r="5452" ht="14.25" customHeight="1">
      <c r="G5452" s="174" t="s">
        <v>6929</v>
      </c>
      <c r="H5452" s="174" t="s">
        <v>1685</v>
      </c>
      <c r="I5452" s="174" t="str">
        <f t="shared" si="1"/>
        <v>NORDESTE</v>
      </c>
    </row>
    <row r="5453" ht="14.25" customHeight="1">
      <c r="G5453" s="174" t="s">
        <v>6930</v>
      </c>
      <c r="H5453" s="174" t="s">
        <v>1685</v>
      </c>
      <c r="I5453" s="174" t="str">
        <f t="shared" si="1"/>
        <v>NORDESTE</v>
      </c>
    </row>
    <row r="5454" ht="14.25" customHeight="1">
      <c r="G5454" s="174" t="s">
        <v>6931</v>
      </c>
      <c r="H5454" s="174" t="s">
        <v>1725</v>
      </c>
      <c r="I5454" s="174" t="str">
        <f t="shared" si="1"/>
        <v>NORDESTE</v>
      </c>
    </row>
    <row r="5455" ht="14.25" customHeight="1">
      <c r="G5455" s="174" t="s">
        <v>6931</v>
      </c>
      <c r="H5455" s="174" t="s">
        <v>1713</v>
      </c>
      <c r="I5455" s="174" t="str">
        <f t="shared" si="1"/>
        <v>CENTRO OESTE</v>
      </c>
    </row>
    <row r="5456" ht="14.25" customHeight="1">
      <c r="G5456" s="174" t="s">
        <v>6932</v>
      </c>
      <c r="H5456" s="174" t="s">
        <v>1685</v>
      </c>
      <c r="I5456" s="174" t="str">
        <f t="shared" si="1"/>
        <v>NORDESTE</v>
      </c>
    </row>
    <row r="5457" ht="14.25" customHeight="1">
      <c r="G5457" s="174" t="s">
        <v>6933</v>
      </c>
      <c r="H5457" s="174" t="s">
        <v>1750</v>
      </c>
      <c r="I5457" s="174" t="str">
        <f t="shared" si="1"/>
        <v>SUDESTE</v>
      </c>
    </row>
    <row r="5458" ht="14.25" customHeight="1">
      <c r="G5458" s="174" t="s">
        <v>6934</v>
      </c>
      <c r="H5458" s="174" t="s">
        <v>1685</v>
      </c>
      <c r="I5458" s="174" t="str">
        <f t="shared" si="1"/>
        <v>NORDESTE</v>
      </c>
    </row>
    <row r="5459" ht="14.25" customHeight="1">
      <c r="G5459" s="174" t="s">
        <v>6935</v>
      </c>
      <c r="H5459" s="174" t="s">
        <v>1666</v>
      </c>
      <c r="I5459" s="174" t="str">
        <f t="shared" si="1"/>
        <v>SUDESTE</v>
      </c>
    </row>
    <row r="5460" ht="14.25" customHeight="1">
      <c r="G5460" s="174" t="s">
        <v>6936</v>
      </c>
      <c r="H5460" s="174" t="s">
        <v>1730</v>
      </c>
      <c r="I5460" s="174" t="str">
        <f t="shared" si="1"/>
        <v>SUDESTE</v>
      </c>
    </row>
    <row r="5461" ht="14.25" customHeight="1">
      <c r="G5461" s="174" t="s">
        <v>6937</v>
      </c>
      <c r="H5461" s="174" t="s">
        <v>1666</v>
      </c>
      <c r="I5461" s="174" t="str">
        <f t="shared" si="1"/>
        <v>SUDESTE</v>
      </c>
    </row>
    <row r="5462" ht="14.25" customHeight="1">
      <c r="G5462" s="174" t="s">
        <v>6938</v>
      </c>
      <c r="H5462" s="174" t="s">
        <v>1742</v>
      </c>
      <c r="I5462" s="174" t="str">
        <f t="shared" si="1"/>
        <v>SUL</v>
      </c>
    </row>
    <row r="5463" ht="14.25" customHeight="1">
      <c r="G5463" s="174" t="s">
        <v>6939</v>
      </c>
      <c r="H5463" s="174" t="s">
        <v>1698</v>
      </c>
      <c r="I5463" s="174" t="str">
        <f t="shared" si="1"/>
        <v>SUDESTE</v>
      </c>
    </row>
    <row r="5464" ht="14.25" customHeight="1">
      <c r="G5464" s="174" t="s">
        <v>6940</v>
      </c>
      <c r="H5464" s="174" t="s">
        <v>1733</v>
      </c>
      <c r="I5464" s="174" t="str">
        <f t="shared" si="1"/>
        <v>NORDESTE</v>
      </c>
    </row>
    <row r="5465" ht="14.25" customHeight="1">
      <c r="G5465" s="174" t="s">
        <v>6941</v>
      </c>
      <c r="H5465" s="174" t="s">
        <v>1702</v>
      </c>
      <c r="I5465" s="174" t="str">
        <f t="shared" si="1"/>
        <v>SUL</v>
      </c>
    </row>
    <row r="5466" ht="14.25" customHeight="1">
      <c r="G5466" s="174" t="s">
        <v>6942</v>
      </c>
      <c r="H5466" s="174" t="s">
        <v>1717</v>
      </c>
      <c r="I5466" s="174" t="str">
        <f t="shared" si="1"/>
        <v>NORDESTE</v>
      </c>
    </row>
    <row r="5467" ht="14.25" customHeight="1">
      <c r="G5467" s="174" t="s">
        <v>6943</v>
      </c>
      <c r="H5467" s="174" t="s">
        <v>1713</v>
      </c>
      <c r="I5467" s="174" t="str">
        <f t="shared" si="1"/>
        <v>CENTRO OESTE</v>
      </c>
    </row>
    <row r="5468" ht="14.25" customHeight="1">
      <c r="G5468" s="174" t="s">
        <v>6944</v>
      </c>
      <c r="H5468" s="174" t="s">
        <v>1733</v>
      </c>
      <c r="I5468" s="174" t="str">
        <f t="shared" si="1"/>
        <v>NORDESTE</v>
      </c>
    </row>
    <row r="5469" ht="14.25" customHeight="1">
      <c r="G5469" s="174" t="s">
        <v>6944</v>
      </c>
      <c r="H5469" s="174" t="s">
        <v>1685</v>
      </c>
      <c r="I5469" s="174" t="str">
        <f t="shared" si="1"/>
        <v>NORDESTE</v>
      </c>
    </row>
    <row r="5470" ht="14.25" customHeight="1">
      <c r="G5470" s="174" t="s">
        <v>6944</v>
      </c>
      <c r="H5470" s="174" t="s">
        <v>1750</v>
      </c>
      <c r="I5470" s="174" t="str">
        <f t="shared" si="1"/>
        <v>SUDESTE</v>
      </c>
    </row>
    <row r="5471" ht="14.25" customHeight="1">
      <c r="G5471" s="174" t="s">
        <v>6944</v>
      </c>
      <c r="H5471" s="174" t="s">
        <v>1742</v>
      </c>
      <c r="I5471" s="174" t="str">
        <f t="shared" si="1"/>
        <v>SUL</v>
      </c>
    </row>
    <row r="5472" ht="14.25" customHeight="1">
      <c r="G5472" s="174" t="s">
        <v>6945</v>
      </c>
      <c r="H5472" s="174" t="s">
        <v>1702</v>
      </c>
      <c r="I5472" s="174" t="str">
        <f t="shared" si="1"/>
        <v>SUL</v>
      </c>
    </row>
    <row r="5473" ht="14.25" customHeight="1">
      <c r="G5473" s="174" t="s">
        <v>6946</v>
      </c>
      <c r="H5473" s="174" t="s">
        <v>1725</v>
      </c>
      <c r="I5473" s="174" t="str">
        <f t="shared" si="1"/>
        <v>NORDESTE</v>
      </c>
    </row>
    <row r="5474" ht="14.25" customHeight="1">
      <c r="G5474" s="174" t="s">
        <v>6947</v>
      </c>
      <c r="H5474" s="174" t="s">
        <v>1742</v>
      </c>
      <c r="I5474" s="174" t="str">
        <f t="shared" si="1"/>
        <v>SUL</v>
      </c>
    </row>
    <row r="5475" ht="14.25" customHeight="1">
      <c r="G5475" s="174" t="s">
        <v>6948</v>
      </c>
      <c r="H5475" s="174" t="s">
        <v>1717</v>
      </c>
      <c r="I5475" s="174" t="str">
        <f t="shared" si="1"/>
        <v>NORDESTE</v>
      </c>
    </row>
    <row r="5476" ht="14.25" customHeight="1">
      <c r="G5476" s="174" t="s">
        <v>6949</v>
      </c>
      <c r="H5476" s="174" t="s">
        <v>1666</v>
      </c>
      <c r="I5476" s="174" t="str">
        <f t="shared" si="1"/>
        <v>SUDESTE</v>
      </c>
    </row>
    <row r="5477" ht="14.25" customHeight="1">
      <c r="G5477" s="174" t="s">
        <v>6950</v>
      </c>
      <c r="H5477" s="174" t="s">
        <v>1702</v>
      </c>
      <c r="I5477" s="174" t="str">
        <f t="shared" si="1"/>
        <v>SUL</v>
      </c>
    </row>
    <row r="5478" ht="14.25" customHeight="1">
      <c r="G5478" s="174" t="s">
        <v>6951</v>
      </c>
      <c r="H5478" s="174" t="s">
        <v>1685</v>
      </c>
      <c r="I5478" s="174" t="str">
        <f t="shared" si="1"/>
        <v>NORDESTE</v>
      </c>
    </row>
    <row r="5479" ht="14.25" customHeight="1">
      <c r="G5479" s="174" t="s">
        <v>6952</v>
      </c>
      <c r="H5479" s="174" t="s">
        <v>1666</v>
      </c>
      <c r="I5479" s="174" t="str">
        <f t="shared" si="1"/>
        <v>SUDESTE</v>
      </c>
    </row>
    <row r="5480" ht="14.25" customHeight="1">
      <c r="G5480" s="174" t="s">
        <v>6953</v>
      </c>
      <c r="H5480" s="174" t="s">
        <v>1666</v>
      </c>
      <c r="I5480" s="174" t="str">
        <f t="shared" si="1"/>
        <v>SUDESTE</v>
      </c>
    </row>
    <row r="5481" ht="14.25" customHeight="1">
      <c r="G5481" s="174" t="s">
        <v>6954</v>
      </c>
      <c r="H5481" s="174" t="s">
        <v>1666</v>
      </c>
      <c r="I5481" s="174" t="str">
        <f t="shared" si="1"/>
        <v>SUDESTE</v>
      </c>
    </row>
    <row r="5482" ht="14.25" customHeight="1">
      <c r="G5482" s="174" t="s">
        <v>6955</v>
      </c>
      <c r="H5482" s="174" t="s">
        <v>1717</v>
      </c>
      <c r="I5482" s="174" t="str">
        <f t="shared" si="1"/>
        <v>NORDESTE</v>
      </c>
    </row>
    <row r="5483" ht="14.25" customHeight="1">
      <c r="G5483" s="174" t="s">
        <v>6956</v>
      </c>
      <c r="H5483" s="174" t="s">
        <v>1717</v>
      </c>
      <c r="I5483" s="174" t="str">
        <f t="shared" si="1"/>
        <v>NORDESTE</v>
      </c>
    </row>
    <row r="5484" ht="14.25" customHeight="1">
      <c r="G5484" s="174" t="s">
        <v>6957</v>
      </c>
      <c r="H5484" s="174" t="s">
        <v>1666</v>
      </c>
      <c r="I5484" s="174" t="str">
        <f t="shared" si="1"/>
        <v>SUDESTE</v>
      </c>
    </row>
    <row r="5485" ht="14.25" customHeight="1">
      <c r="G5485" s="174" t="s">
        <v>6958</v>
      </c>
      <c r="H5485" s="174" t="s">
        <v>1742</v>
      </c>
      <c r="I5485" s="174" t="str">
        <f t="shared" si="1"/>
        <v>SUL</v>
      </c>
    </row>
    <row r="5486" ht="14.25" customHeight="1">
      <c r="G5486" s="174" t="s">
        <v>6959</v>
      </c>
      <c r="H5486" s="174" t="s">
        <v>1742</v>
      </c>
      <c r="I5486" s="174" t="str">
        <f t="shared" si="1"/>
        <v>SUL</v>
      </c>
    </row>
    <row r="5487" ht="14.25" customHeight="1">
      <c r="G5487" s="174" t="s">
        <v>6960</v>
      </c>
      <c r="H5487" s="174" t="s">
        <v>1742</v>
      </c>
      <c r="I5487" s="174" t="str">
        <f t="shared" si="1"/>
        <v>SUL</v>
      </c>
    </row>
    <row r="5488" ht="14.25" customHeight="1">
      <c r="G5488" s="174" t="s">
        <v>6961</v>
      </c>
      <c r="H5488" s="174" t="s">
        <v>1704</v>
      </c>
      <c r="I5488" s="174" t="str">
        <f t="shared" si="1"/>
        <v>NORDESTE</v>
      </c>
    </row>
    <row r="5489" ht="14.25" customHeight="1">
      <c r="G5489" s="174" t="s">
        <v>6961</v>
      </c>
      <c r="H5489" s="174" t="s">
        <v>1698</v>
      </c>
      <c r="I5489" s="174" t="str">
        <f t="shared" si="1"/>
        <v>SUDESTE</v>
      </c>
    </row>
    <row r="5490" ht="14.25" customHeight="1">
      <c r="G5490" s="174" t="s">
        <v>6962</v>
      </c>
      <c r="H5490" s="174" t="s">
        <v>1658</v>
      </c>
      <c r="I5490" s="174" t="str">
        <f t="shared" si="1"/>
        <v>CENTRO OESTE</v>
      </c>
    </row>
    <row r="5491" ht="14.25" customHeight="1">
      <c r="G5491" s="174" t="s">
        <v>6963</v>
      </c>
      <c r="H5491" s="174" t="s">
        <v>1717</v>
      </c>
      <c r="I5491" s="174" t="str">
        <f t="shared" si="1"/>
        <v>NORDESTE</v>
      </c>
    </row>
    <row r="5492" ht="14.25" customHeight="1">
      <c r="G5492" s="174" t="s">
        <v>6964</v>
      </c>
      <c r="H5492" s="174" t="s">
        <v>1742</v>
      </c>
      <c r="I5492" s="174" t="str">
        <f t="shared" si="1"/>
        <v>SUL</v>
      </c>
    </row>
    <row r="5493" ht="14.25" customHeight="1">
      <c r="G5493" s="174" t="s">
        <v>6965</v>
      </c>
      <c r="H5493" s="174" t="s">
        <v>1710</v>
      </c>
      <c r="I5493" s="174" t="str">
        <f t="shared" si="1"/>
        <v>CENTRO OESTE</v>
      </c>
    </row>
    <row r="5494" ht="14.25" customHeight="1">
      <c r="G5494" s="174" t="s">
        <v>6966</v>
      </c>
      <c r="H5494" s="174" t="s">
        <v>1658</v>
      </c>
      <c r="I5494" s="174" t="str">
        <f t="shared" si="1"/>
        <v>CENTRO OESTE</v>
      </c>
    </row>
    <row r="5495" ht="14.25" customHeight="1">
      <c r="G5495" s="174" t="s">
        <v>6967</v>
      </c>
      <c r="H5495" s="174" t="s">
        <v>1733</v>
      </c>
      <c r="I5495" s="174" t="str">
        <f t="shared" si="1"/>
        <v>NORDESTE</v>
      </c>
    </row>
    <row r="5496" ht="14.25" customHeight="1">
      <c r="G5496" s="174" t="s">
        <v>6967</v>
      </c>
      <c r="H5496" s="174" t="s">
        <v>1664</v>
      </c>
      <c r="I5496" s="174" t="str">
        <f t="shared" si="1"/>
        <v>NORDESTE</v>
      </c>
    </row>
    <row r="5497" ht="14.25" customHeight="1">
      <c r="G5497" s="174" t="s">
        <v>6967</v>
      </c>
      <c r="H5497" s="174" t="s">
        <v>1666</v>
      </c>
      <c r="I5497" s="174" t="str">
        <f t="shared" si="1"/>
        <v>SUDESTE</v>
      </c>
    </row>
    <row r="5498" ht="14.25" customHeight="1">
      <c r="G5498" s="174" t="s">
        <v>6968</v>
      </c>
      <c r="H5498" s="174" t="s">
        <v>1690</v>
      </c>
      <c r="I5498" s="174" t="str">
        <f t="shared" si="1"/>
        <v>NORDESTE</v>
      </c>
    </row>
    <row r="5499" ht="14.25" customHeight="1">
      <c r="G5499" s="174" t="s">
        <v>6969</v>
      </c>
      <c r="H5499" s="174" t="s">
        <v>1742</v>
      </c>
      <c r="I5499" s="174" t="str">
        <f t="shared" si="1"/>
        <v>SUL</v>
      </c>
    </row>
    <row r="5500" ht="14.25" customHeight="1">
      <c r="G5500" s="174" t="s">
        <v>6970</v>
      </c>
      <c r="H5500" s="174" t="s">
        <v>1706</v>
      </c>
      <c r="I5500" s="174" t="str">
        <f t="shared" si="1"/>
        <v>SUL</v>
      </c>
    </row>
    <row r="5501" ht="14.25" customHeight="1">
      <c r="G5501" s="174" t="s">
        <v>6971</v>
      </c>
      <c r="H5501" s="174" t="s">
        <v>1706</v>
      </c>
      <c r="I5501" s="174" t="str">
        <f t="shared" si="1"/>
        <v>SUL</v>
      </c>
    </row>
    <row r="5502" ht="14.25" customHeight="1">
      <c r="G5502" s="174" t="s">
        <v>6972</v>
      </c>
      <c r="H5502" s="174" t="s">
        <v>1666</v>
      </c>
      <c r="I5502" s="174" t="str">
        <f t="shared" si="1"/>
        <v>SUDESTE</v>
      </c>
    </row>
    <row r="5503" ht="14.25" customHeight="1">
      <c r="G5503" s="174" t="s">
        <v>6973</v>
      </c>
      <c r="H5503" s="174" t="s">
        <v>1719</v>
      </c>
      <c r="I5503" s="174" t="str">
        <f t="shared" si="1"/>
        <v>NORDESTE</v>
      </c>
    </row>
    <row r="5504" ht="14.25" customHeight="1">
      <c r="G5504" s="174" t="s">
        <v>6974</v>
      </c>
      <c r="H5504" s="174" t="s">
        <v>1687</v>
      </c>
      <c r="I5504" s="174" t="str">
        <f t="shared" si="1"/>
        <v>NORTE</v>
      </c>
    </row>
    <row r="5505" ht="14.25" customHeight="1">
      <c r="G5505" s="174" t="s">
        <v>6975</v>
      </c>
      <c r="H5505" s="174" t="s">
        <v>1702</v>
      </c>
      <c r="I5505" s="174" t="str">
        <f t="shared" si="1"/>
        <v>SUL</v>
      </c>
    </row>
    <row r="5506" ht="14.25" customHeight="1">
      <c r="G5506" s="174" t="s">
        <v>6976</v>
      </c>
      <c r="H5506" s="174" t="s">
        <v>1713</v>
      </c>
      <c r="I5506" s="174" t="str">
        <f t="shared" si="1"/>
        <v>CENTRO OESTE</v>
      </c>
    </row>
    <row r="5507" ht="14.25" customHeight="1">
      <c r="G5507" s="174" t="s">
        <v>6977</v>
      </c>
      <c r="H5507" s="174" t="s">
        <v>1658</v>
      </c>
      <c r="I5507" s="174" t="str">
        <f t="shared" si="1"/>
        <v>CENTRO OESTE</v>
      </c>
    </row>
    <row r="5508" ht="14.25" customHeight="1">
      <c r="G5508" s="174" t="s">
        <v>6978</v>
      </c>
      <c r="H5508" s="174" t="s">
        <v>1733</v>
      </c>
      <c r="I5508" s="174" t="str">
        <f t="shared" si="1"/>
        <v>NORDESTE</v>
      </c>
    </row>
    <row r="5509" ht="14.25" customHeight="1">
      <c r="G5509" s="174" t="s">
        <v>6979</v>
      </c>
      <c r="H5509" s="174" t="s">
        <v>1742</v>
      </c>
      <c r="I5509" s="174" t="str">
        <f t="shared" si="1"/>
        <v>SUL</v>
      </c>
    </row>
    <row r="5510" ht="14.25" customHeight="1">
      <c r="G5510" s="174" t="s">
        <v>6980</v>
      </c>
      <c r="H5510" s="174" t="s">
        <v>1742</v>
      </c>
      <c r="I5510" s="174" t="str">
        <f t="shared" si="1"/>
        <v>SUL</v>
      </c>
    </row>
    <row r="5511" ht="14.25" customHeight="1">
      <c r="G5511" s="174" t="s">
        <v>6981</v>
      </c>
      <c r="H5511" s="174" t="s">
        <v>1742</v>
      </c>
      <c r="I5511" s="174" t="str">
        <f t="shared" si="1"/>
        <v>SUL</v>
      </c>
    </row>
    <row r="5512" ht="14.25" customHeight="1">
      <c r="G5512" s="174" t="s">
        <v>6982</v>
      </c>
      <c r="H5512" s="174" t="s">
        <v>1725</v>
      </c>
      <c r="I5512" s="174" t="str">
        <f t="shared" si="1"/>
        <v>NORDESTE</v>
      </c>
    </row>
    <row r="5513" ht="14.25" customHeight="1">
      <c r="G5513" s="174" t="s">
        <v>6983</v>
      </c>
      <c r="H5513" s="174" t="s">
        <v>1742</v>
      </c>
      <c r="I5513" s="174" t="str">
        <f t="shared" si="1"/>
        <v>SUL</v>
      </c>
    </row>
    <row r="5514" ht="14.25" customHeight="1">
      <c r="G5514" s="174" t="s">
        <v>6984</v>
      </c>
      <c r="H5514" s="174" t="s">
        <v>1704</v>
      </c>
      <c r="I5514" s="174" t="str">
        <f t="shared" si="1"/>
        <v>NORDESTE</v>
      </c>
    </row>
    <row r="5515" ht="14.25" customHeight="1">
      <c r="G5515" s="174" t="s">
        <v>6985</v>
      </c>
      <c r="H5515" s="174" t="s">
        <v>1698</v>
      </c>
      <c r="I5515" s="174" t="str">
        <f t="shared" si="1"/>
        <v>SUDESTE</v>
      </c>
    </row>
    <row r="5516" ht="14.25" customHeight="1">
      <c r="G5516" s="174" t="s">
        <v>6986</v>
      </c>
      <c r="H5516" s="174" t="s">
        <v>1658</v>
      </c>
      <c r="I5516" s="174" t="str">
        <f t="shared" si="1"/>
        <v>CENTRO OESTE</v>
      </c>
    </row>
    <row r="5517" ht="14.25" customHeight="1">
      <c r="G5517" s="174" t="s">
        <v>6987</v>
      </c>
      <c r="H5517" s="174" t="s">
        <v>1713</v>
      </c>
      <c r="I5517" s="174" t="str">
        <f t="shared" si="1"/>
        <v>CENTRO OESTE</v>
      </c>
    </row>
    <row r="5518" ht="14.25" customHeight="1">
      <c r="G5518" s="174" t="s">
        <v>6988</v>
      </c>
      <c r="H5518" s="174" t="s">
        <v>1698</v>
      </c>
      <c r="I5518" s="174" t="str">
        <f t="shared" si="1"/>
        <v>SUDESTE</v>
      </c>
    </row>
    <row r="5519" ht="14.25" customHeight="1">
      <c r="G5519" s="174" t="s">
        <v>6989</v>
      </c>
      <c r="H5519" s="174" t="s">
        <v>1698</v>
      </c>
      <c r="I5519" s="174" t="str">
        <f t="shared" si="1"/>
        <v>SUDESTE</v>
      </c>
    </row>
    <row r="5520" ht="14.25" customHeight="1">
      <c r="G5520" s="174" t="s">
        <v>6990</v>
      </c>
      <c r="H5520" s="174" t="s">
        <v>1736</v>
      </c>
      <c r="I5520" s="174" t="str">
        <f t="shared" si="1"/>
        <v>NORTE</v>
      </c>
    </row>
    <row r="5521" ht="14.25" customHeight="1">
      <c r="G5521" s="174" t="s">
        <v>6991</v>
      </c>
      <c r="H5521" s="174" t="s">
        <v>1750</v>
      </c>
      <c r="I5521" s="174" t="str">
        <f t="shared" si="1"/>
        <v>SUDESTE</v>
      </c>
    </row>
    <row r="5522" ht="14.25" customHeight="1">
      <c r="G5522" s="174" t="s">
        <v>6992</v>
      </c>
      <c r="H5522" s="174" t="s">
        <v>1750</v>
      </c>
      <c r="I5522" s="174" t="str">
        <f t="shared" si="1"/>
        <v>SUDESTE</v>
      </c>
    </row>
    <row r="5523" ht="14.25" customHeight="1">
      <c r="G5523" s="174" t="s">
        <v>6993</v>
      </c>
      <c r="H5523" s="174" t="s">
        <v>1666</v>
      </c>
      <c r="I5523" s="174" t="str">
        <f t="shared" si="1"/>
        <v>SUDESTE</v>
      </c>
    </row>
    <row r="5524" ht="14.25" customHeight="1">
      <c r="G5524" s="174" t="s">
        <v>6994</v>
      </c>
      <c r="H5524" s="174" t="s">
        <v>1666</v>
      </c>
      <c r="I5524" s="174" t="str">
        <f t="shared" si="1"/>
        <v>SUDESTE</v>
      </c>
    </row>
    <row r="5525" ht="14.25" customHeight="1">
      <c r="G5525" s="174" t="s">
        <v>6995</v>
      </c>
      <c r="H5525" s="174" t="s">
        <v>1666</v>
      </c>
      <c r="I5525" s="174" t="str">
        <f t="shared" si="1"/>
        <v>SUDESTE</v>
      </c>
    </row>
    <row r="5526" ht="14.25" customHeight="1">
      <c r="G5526" s="174" t="s">
        <v>6996</v>
      </c>
      <c r="H5526" s="174" t="s">
        <v>1666</v>
      </c>
      <c r="I5526" s="174" t="str">
        <f t="shared" si="1"/>
        <v>SUDESTE</v>
      </c>
    </row>
    <row r="5527" ht="14.25" customHeight="1">
      <c r="G5527" s="174" t="s">
        <v>6997</v>
      </c>
      <c r="H5527" s="174" t="s">
        <v>1702</v>
      </c>
      <c r="I5527" s="174" t="str">
        <f t="shared" si="1"/>
        <v>SUL</v>
      </c>
    </row>
    <row r="5528" ht="14.25" customHeight="1">
      <c r="G5528" s="174" t="s">
        <v>6998</v>
      </c>
      <c r="H5528" s="174" t="s">
        <v>1666</v>
      </c>
      <c r="I5528" s="174" t="str">
        <f t="shared" si="1"/>
        <v>SUDESTE</v>
      </c>
    </row>
    <row r="5529" ht="14.25" customHeight="1">
      <c r="G5529" s="174" t="s">
        <v>6999</v>
      </c>
      <c r="H5529" s="174" t="s">
        <v>1687</v>
      </c>
      <c r="I5529" s="174" t="str">
        <f t="shared" si="1"/>
        <v>NORTE</v>
      </c>
    </row>
    <row r="5530" ht="14.25" customHeight="1">
      <c r="G5530" s="174" t="s">
        <v>7000</v>
      </c>
      <c r="H5530" s="174" t="s">
        <v>1742</v>
      </c>
      <c r="I5530" s="174" t="str">
        <f t="shared" si="1"/>
        <v>SUL</v>
      </c>
    </row>
    <row r="5531" ht="14.25" customHeight="1">
      <c r="G5531" s="174" t="s">
        <v>7001</v>
      </c>
      <c r="H5531" s="174" t="s">
        <v>1750</v>
      </c>
      <c r="I5531" s="174" t="str">
        <f t="shared" si="1"/>
        <v>SUDESTE</v>
      </c>
    </row>
    <row r="5532" ht="14.25" customHeight="1">
      <c r="G5532" s="174" t="s">
        <v>7002</v>
      </c>
      <c r="H5532" s="174" t="s">
        <v>1742</v>
      </c>
      <c r="I5532" s="174" t="str">
        <f t="shared" si="1"/>
        <v>SUL</v>
      </c>
    </row>
    <row r="5533" ht="14.25" customHeight="1">
      <c r="G5533" s="174" t="s">
        <v>7003</v>
      </c>
      <c r="H5533" s="174" t="s">
        <v>1742</v>
      </c>
      <c r="I5533" s="174" t="str">
        <f t="shared" si="1"/>
        <v>SUL</v>
      </c>
    </row>
    <row r="5534" ht="14.25" customHeight="1">
      <c r="G5534" s="174" t="s">
        <v>7004</v>
      </c>
      <c r="H5534" s="174" t="s">
        <v>1719</v>
      </c>
      <c r="I5534" s="174" t="str">
        <f t="shared" si="1"/>
        <v>NORDESTE</v>
      </c>
    </row>
    <row r="5535" ht="14.25" customHeight="1">
      <c r="G5535" s="174" t="s">
        <v>7005</v>
      </c>
      <c r="H5535" s="174" t="s">
        <v>1706</v>
      </c>
      <c r="I5535" s="174" t="str">
        <f t="shared" si="1"/>
        <v>SUL</v>
      </c>
    </row>
    <row r="5536" ht="14.25" customHeight="1">
      <c r="G5536" s="174" t="s">
        <v>7006</v>
      </c>
      <c r="H5536" s="174" t="s">
        <v>1698</v>
      </c>
      <c r="I5536" s="174" t="str">
        <f t="shared" si="1"/>
        <v>SUDESTE</v>
      </c>
    </row>
    <row r="5537" ht="14.25" customHeight="1">
      <c r="G5537" s="174" t="s">
        <v>7007</v>
      </c>
      <c r="H5537" s="174" t="s">
        <v>1750</v>
      </c>
      <c r="I5537" s="174" t="str">
        <f t="shared" si="1"/>
        <v>SUDESTE</v>
      </c>
    </row>
    <row r="5538" ht="14.25" customHeight="1">
      <c r="G5538" s="174" t="s">
        <v>7008</v>
      </c>
      <c r="H5538" s="174" t="s">
        <v>1685</v>
      </c>
      <c r="I5538" s="174" t="str">
        <f t="shared" si="1"/>
        <v>NORDESTE</v>
      </c>
    </row>
    <row r="5539" ht="14.25" customHeight="1">
      <c r="G5539" s="174" t="s">
        <v>7009</v>
      </c>
      <c r="H5539" s="174" t="s">
        <v>1742</v>
      </c>
      <c r="I5539" s="174" t="str">
        <f t="shared" si="1"/>
        <v>SUL</v>
      </c>
    </row>
    <row r="5540" ht="14.25" customHeight="1">
      <c r="G5540" s="174" t="s">
        <v>7010</v>
      </c>
      <c r="H5540" s="174" t="s">
        <v>1717</v>
      </c>
      <c r="I5540" s="174" t="str">
        <f t="shared" si="1"/>
        <v>NORDESTE</v>
      </c>
    </row>
    <row r="5541" ht="14.25" customHeight="1">
      <c r="G5541" s="174" t="s">
        <v>7011</v>
      </c>
      <c r="H5541" s="174" t="s">
        <v>1679</v>
      </c>
      <c r="I5541" s="174" t="str">
        <f t="shared" si="1"/>
        <v>NORTE</v>
      </c>
    </row>
    <row r="5542" ht="14.25" customHeight="1">
      <c r="G5542" s="174" t="s">
        <v>7012</v>
      </c>
      <c r="H5542" s="174" t="s">
        <v>1704</v>
      </c>
      <c r="I5542" s="174" t="str">
        <f t="shared" si="1"/>
        <v>NORDESTE</v>
      </c>
    </row>
    <row r="5543" ht="14.25" customHeight="1">
      <c r="G5543" s="174" t="s">
        <v>7013</v>
      </c>
      <c r="H5543" s="174" t="s">
        <v>1687</v>
      </c>
      <c r="I5543" s="174" t="str">
        <f t="shared" si="1"/>
        <v>NORTE</v>
      </c>
    </row>
    <row r="5544" ht="14.25" customHeight="1">
      <c r="G5544" s="174" t="s">
        <v>7014</v>
      </c>
      <c r="H5544" s="174" t="s">
        <v>1702</v>
      </c>
      <c r="I5544" s="174" t="str">
        <f t="shared" si="1"/>
        <v>SUL</v>
      </c>
    </row>
    <row r="5545" ht="14.25" customHeight="1">
      <c r="G5545" s="174" t="s">
        <v>7015</v>
      </c>
      <c r="H5545" s="174" t="s">
        <v>1704</v>
      </c>
      <c r="I5545" s="174" t="str">
        <f t="shared" si="1"/>
        <v>NORDESTE</v>
      </c>
    </row>
    <row r="5546" ht="14.25" customHeight="1">
      <c r="G5546" s="174" t="s">
        <v>7016</v>
      </c>
      <c r="H5546" s="174" t="s">
        <v>1666</v>
      </c>
      <c r="I5546" s="174" t="str">
        <f t="shared" si="1"/>
        <v>SUDESTE</v>
      </c>
    </row>
    <row r="5547" ht="14.25" customHeight="1">
      <c r="G5547" s="174" t="s">
        <v>7017</v>
      </c>
      <c r="H5547" s="174" t="s">
        <v>1730</v>
      </c>
      <c r="I5547" s="174" t="str">
        <f t="shared" si="1"/>
        <v>SUDESTE</v>
      </c>
    </row>
    <row r="5548" ht="14.25" customHeight="1">
      <c r="G5548" s="174" t="s">
        <v>7018</v>
      </c>
      <c r="H5548" s="174" t="s">
        <v>1750</v>
      </c>
      <c r="I5548" s="174" t="str">
        <f t="shared" si="1"/>
        <v>SUDESTE</v>
      </c>
    </row>
    <row r="5549" ht="14.25" customHeight="1">
      <c r="G5549" s="174" t="s">
        <v>7019</v>
      </c>
      <c r="H5549" s="174" t="s">
        <v>1750</v>
      </c>
      <c r="I5549" s="174" t="str">
        <f t="shared" si="1"/>
        <v>SUDESTE</v>
      </c>
    </row>
    <row r="5550" ht="14.25" customHeight="1">
      <c r="G5550" s="174" t="s">
        <v>7020</v>
      </c>
      <c r="H5550" s="174" t="s">
        <v>1685</v>
      </c>
      <c r="I5550" s="174" t="str">
        <f t="shared" si="1"/>
        <v>NORDESTE</v>
      </c>
    </row>
    <row r="5551" ht="14.25" customHeight="1">
      <c r="G5551" s="174" t="s">
        <v>7021</v>
      </c>
      <c r="H5551" s="174" t="s">
        <v>1725</v>
      </c>
      <c r="I5551" s="174" t="str">
        <f t="shared" si="1"/>
        <v>NORDESTE</v>
      </c>
    </row>
    <row r="5552" ht="14.25" customHeight="1">
      <c r="G5552" s="174" t="s">
        <v>7022</v>
      </c>
      <c r="H5552" s="174" t="s">
        <v>1721</v>
      </c>
      <c r="I5552" s="174" t="str">
        <f t="shared" si="1"/>
        <v>NORTE</v>
      </c>
    </row>
    <row r="5553" ht="14.25" customHeight="1">
      <c r="G5553" s="174" t="s">
        <v>7023</v>
      </c>
      <c r="H5553" s="174" t="s">
        <v>1685</v>
      </c>
      <c r="I5553" s="174" t="str">
        <f t="shared" si="1"/>
        <v>NORDESTE</v>
      </c>
    </row>
    <row r="5554" ht="14.25" customHeight="1">
      <c r="G5554" s="174" t="s">
        <v>7024</v>
      </c>
      <c r="H5554" s="174" t="s">
        <v>1666</v>
      </c>
      <c r="I5554" s="174" t="str">
        <f t="shared" si="1"/>
        <v>SUDESTE</v>
      </c>
    </row>
    <row r="5555" ht="14.25" customHeight="1">
      <c r="G5555" s="174" t="s">
        <v>7024</v>
      </c>
      <c r="H5555" s="174" t="s">
        <v>1702</v>
      </c>
      <c r="I5555" s="174" t="str">
        <f t="shared" si="1"/>
        <v>SUL</v>
      </c>
    </row>
    <row r="5556" ht="14.25" customHeight="1">
      <c r="G5556" s="174" t="s">
        <v>7025</v>
      </c>
      <c r="H5556" s="174" t="s">
        <v>1685</v>
      </c>
      <c r="I5556" s="174" t="str">
        <f t="shared" si="1"/>
        <v>NORDESTE</v>
      </c>
    </row>
    <row r="5557" ht="14.25" customHeight="1">
      <c r="G5557" s="174" t="s">
        <v>7026</v>
      </c>
      <c r="H5557" s="174" t="s">
        <v>1742</v>
      </c>
      <c r="I5557" s="174" t="str">
        <f t="shared" si="1"/>
        <v>SUL</v>
      </c>
    </row>
    <row r="5558" ht="14.25" customHeight="1">
      <c r="G5558" s="174" t="s">
        <v>7027</v>
      </c>
      <c r="H5558" s="174" t="s">
        <v>1706</v>
      </c>
      <c r="I5558" s="174" t="str">
        <f t="shared" si="1"/>
        <v>SUL</v>
      </c>
    </row>
    <row r="5559" ht="14.25" customHeight="1">
      <c r="G5559" s="174" t="s">
        <v>7028</v>
      </c>
      <c r="H5559" s="174" t="s">
        <v>1721</v>
      </c>
      <c r="I5559" s="174" t="str">
        <f t="shared" si="1"/>
        <v>NORTE</v>
      </c>
    </row>
    <row r="5560" ht="14.25" customHeight="1">
      <c r="G5560" s="174" t="s">
        <v>7029</v>
      </c>
      <c r="H5560" s="174" t="s">
        <v>1702</v>
      </c>
      <c r="I5560" s="174" t="str">
        <f t="shared" si="1"/>
        <v>SUL</v>
      </c>
    </row>
    <row r="5561" ht="14.25" customHeight="1">
      <c r="G5561" s="174" t="s">
        <v>7030</v>
      </c>
      <c r="H5561" s="174" t="s">
        <v>1742</v>
      </c>
      <c r="I5561" s="174" t="str">
        <f t="shared" si="1"/>
        <v>SUL</v>
      </c>
    </row>
    <row r="5562" ht="14.25" customHeight="1">
      <c r="G5562" s="174" t="s">
        <v>7031</v>
      </c>
      <c r="H5562" s="174" t="s">
        <v>1706</v>
      </c>
      <c r="I5562" s="174" t="str">
        <f t="shared" si="1"/>
        <v>SUL</v>
      </c>
    </row>
    <row r="5563" ht="14.25" customHeight="1">
      <c r="G5563" s="174" t="s">
        <v>7032</v>
      </c>
      <c r="H5563" s="174" t="s">
        <v>1656</v>
      </c>
      <c r="I5563" s="174" t="str">
        <f t="shared" si="1"/>
        <v>NORTE</v>
      </c>
    </row>
    <row r="5564" ht="14.25" customHeight="1">
      <c r="G5564" s="174" t="s">
        <v>7033</v>
      </c>
      <c r="H5564" s="174" t="s">
        <v>1706</v>
      </c>
      <c r="I5564" s="174" t="str">
        <f t="shared" si="1"/>
        <v>SUL</v>
      </c>
    </row>
    <row r="5565" ht="14.25" customHeight="1">
      <c r="G5565" s="174" t="s">
        <v>7034</v>
      </c>
      <c r="H5565" s="174" t="s">
        <v>1706</v>
      </c>
      <c r="I5565" s="174" t="str">
        <f t="shared" si="1"/>
        <v>SUL</v>
      </c>
    </row>
    <row r="5566" ht="14.25" customHeight="1">
      <c r="G5566" s="174" t="s">
        <v>7035</v>
      </c>
      <c r="H5566" s="174" t="s">
        <v>1717</v>
      </c>
      <c r="I5566" s="174" t="str">
        <f t="shared" si="1"/>
        <v>NORDESTE</v>
      </c>
    </row>
    <row r="5567" ht="14.25" customHeight="1">
      <c r="G5567" s="174" t="s">
        <v>7036</v>
      </c>
      <c r="H5567" s="174" t="s">
        <v>1687</v>
      </c>
      <c r="I5567" s="174" t="str">
        <f t="shared" si="1"/>
        <v>NORTE</v>
      </c>
    </row>
    <row r="5568" ht="14.25" customHeight="1">
      <c r="G5568" s="174" t="s">
        <v>7037</v>
      </c>
      <c r="H5568" s="174" t="s">
        <v>1685</v>
      </c>
      <c r="I5568" s="174" t="str">
        <f t="shared" si="1"/>
        <v>NORDESTE</v>
      </c>
    </row>
    <row r="5569" ht="14.25" customHeight="1">
      <c r="G5569" s="174" t="s">
        <v>7038</v>
      </c>
      <c r="H5569" s="174" t="s">
        <v>1719</v>
      </c>
      <c r="I5569" s="174" t="str">
        <f t="shared" si="1"/>
        <v>NORDESTE</v>
      </c>
    </row>
    <row r="5570" ht="14.25" customHeight="1">
      <c r="G5570" s="174" t="s">
        <v>7039</v>
      </c>
      <c r="H5570" s="174" t="s">
        <v>1750</v>
      </c>
      <c r="I5570" s="174" t="str">
        <f t="shared" si="1"/>
        <v>SUDESTE</v>
      </c>
    </row>
    <row r="5571" ht="14.25" customHeight="1">
      <c r="G5571" s="174" t="s">
        <v>7040</v>
      </c>
      <c r="H5571" s="174" t="s">
        <v>1704</v>
      </c>
      <c r="I5571" s="174" t="str">
        <f t="shared" si="1"/>
        <v>NORDESTE</v>
      </c>
    </row>
    <row r="5572" ht="14.25" customHeight="1">
      <c r="G5572" s="174" t="s">
        <v>7041</v>
      </c>
      <c r="H5572" s="174" t="s">
        <v>1706</v>
      </c>
      <c r="I5572" s="174" t="str">
        <f t="shared" si="1"/>
        <v>SUL</v>
      </c>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2019-12-04T14:41:12Z</dcterms:created>
  <dc:creator>Gabriel</dc:creator>
</cp:coreProperties>
</file>